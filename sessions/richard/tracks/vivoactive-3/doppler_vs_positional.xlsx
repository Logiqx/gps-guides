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mike\projects\docs\gps-guides\sessions\richard\tracks\vivoactive-3\"/>
    </mc:Choice>
  </mc:AlternateContent>
  <xr:revisionPtr revIDLastSave="0" documentId="13_ncr:1_{44874A3E-EBEE-472B-BBD4-ACE5048A4FDC}" xr6:coauthVersionLast="47" xr6:coauthVersionMax="47" xr10:uidLastSave="{00000000-0000-0000-0000-000000000000}"/>
  <bookViews>
    <workbookView xWindow="-120" yWindow="-120" windowWidth="29040" windowHeight="16440" xr2:uid="{1A0D1499-61F0-4420-A350-725B2B0FF3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1" i="1" l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4" i="1"/>
  <c r="J3" i="1"/>
  <c r="J2" i="1"/>
  <c r="J25" i="1" l="1"/>
  <c r="J23" i="1"/>
  <c r="J24" i="1"/>
</calcChain>
</file>

<file path=xl/sharedStrings.xml><?xml version="1.0" encoding="utf-8"?>
<sst xmlns="http://schemas.openxmlformats.org/spreadsheetml/2006/main" count="11" uniqueCount="9">
  <si>
    <t>doppler</t>
  </si>
  <si>
    <t>non-doppler</t>
  </si>
  <si>
    <t>time</t>
  </si>
  <si>
    <t>m</t>
  </si>
  <si>
    <t>min</t>
  </si>
  <si>
    <t>avg</t>
  </si>
  <si>
    <t>max</t>
  </si>
  <si>
    <t>check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</si>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</sst>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Twenty 250m runs (Max) - Doppler</a:t>
            </a:r>
            <a:r>
              <a:rPr lang="en-GB" baseline="0"/>
              <a:t> vs Non-Doppler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doppler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Sheet1!$C$2:$C$21</c:f>
              <c:numCache>
                <c:formatCode>General</c:formatCode>
                <c:ptCount val="20"/>
                <c:pt idx="0">
                  <c:v>25.007000000000001</c:v>
                </c:pt>
                <c:pt idx="1">
                  <c:v>26.638999999999999</c:v>
                </c:pt>
                <c:pt idx="2">
                  <c:v>28.157</c:v>
                </c:pt>
                <c:pt idx="3">
                  <c:v>27.376000000000001</c:v>
                </c:pt>
                <c:pt idx="4">
                  <c:v>28.213999999999999</c:v>
                </c:pt>
                <c:pt idx="5">
                  <c:v>26.86</c:v>
                </c:pt>
                <c:pt idx="6">
                  <c:v>27.474</c:v>
                </c:pt>
                <c:pt idx="7">
                  <c:v>27.529</c:v>
                </c:pt>
                <c:pt idx="8">
                  <c:v>25.913</c:v>
                </c:pt>
                <c:pt idx="9">
                  <c:v>26.404</c:v>
                </c:pt>
                <c:pt idx="10">
                  <c:v>26.472000000000001</c:v>
                </c:pt>
                <c:pt idx="11">
                  <c:v>28.975999999999999</c:v>
                </c:pt>
                <c:pt idx="12">
                  <c:v>27.661000000000001</c:v>
                </c:pt>
                <c:pt idx="13">
                  <c:v>25.2</c:v>
                </c:pt>
                <c:pt idx="14">
                  <c:v>25.785</c:v>
                </c:pt>
                <c:pt idx="15">
                  <c:v>28.46</c:v>
                </c:pt>
                <c:pt idx="16">
                  <c:v>26.11</c:v>
                </c:pt>
                <c:pt idx="17">
                  <c:v>26.783999999999999</c:v>
                </c:pt>
                <c:pt idx="18">
                  <c:v>28.538</c:v>
                </c:pt>
                <c:pt idx="19">
                  <c:v>24.53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7-4052-B24A-4D93046CB5B9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non-doppler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Sheet1!$G$2:$G$21</c:f>
              <c:numCache>
                <c:formatCode>General</c:formatCode>
                <c:ptCount val="20"/>
                <c:pt idx="0">
                  <c:v>25.167999999999999</c:v>
                </c:pt>
                <c:pt idx="1">
                  <c:v>26.777000000000001</c:v>
                </c:pt>
                <c:pt idx="2">
                  <c:v>28.792999999999999</c:v>
                </c:pt>
                <c:pt idx="3">
                  <c:v>27.887</c:v>
                </c:pt>
                <c:pt idx="4">
                  <c:v>28.297000000000001</c:v>
                </c:pt>
                <c:pt idx="5">
                  <c:v>27.478000000000002</c:v>
                </c:pt>
                <c:pt idx="6">
                  <c:v>27.588000000000001</c:v>
                </c:pt>
                <c:pt idx="7">
                  <c:v>27.824999999999999</c:v>
                </c:pt>
                <c:pt idx="8">
                  <c:v>26.183</c:v>
                </c:pt>
                <c:pt idx="9">
                  <c:v>26.77</c:v>
                </c:pt>
                <c:pt idx="10">
                  <c:v>26.795999999999999</c:v>
                </c:pt>
                <c:pt idx="11">
                  <c:v>29.390999999999998</c:v>
                </c:pt>
                <c:pt idx="12">
                  <c:v>28.097000000000001</c:v>
                </c:pt>
                <c:pt idx="13">
                  <c:v>25.370999999999999</c:v>
                </c:pt>
                <c:pt idx="14">
                  <c:v>26.545000000000002</c:v>
                </c:pt>
                <c:pt idx="15">
                  <c:v>28.783999999999999</c:v>
                </c:pt>
                <c:pt idx="16">
                  <c:v>26.315000000000001</c:v>
                </c:pt>
                <c:pt idx="17">
                  <c:v>27.103999999999999</c:v>
                </c:pt>
                <c:pt idx="18">
                  <c:v>29.045999999999999</c:v>
                </c:pt>
                <c:pt idx="19">
                  <c:v>24.876999999999999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77-4052-B24A-4D93046CB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313464"/>
        <c:axId val="567318712"/>
      </c:barChart>
      <c:catAx>
        <c:axId val="567313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8712"/>
        <c:crosses val="autoZero"/>
        <c:auto val="1"/>
        <c:lblAlgn val="ctr"/>
        <c:lblOffset val="100"/>
        <c:noMultiLvlLbl val="0"/>
      </c:catAx>
      <c:valAx>
        <c:axId val="567318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313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19049</xdr:colOff>
      <xdr:row>1</xdr:row>
      <xdr:rowOff>0</xdr:rowOff>
    </xdr:from>
    <xdr:to>
      <xdr:col>21</xdr:col>
      <xdr:colOff>352424</xdr:colOff>
      <xdr:row>22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E4C4A-CB23-47DD-AE58-5C401561E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B82B-501B-496C-BA82-2B77B32B0676}">
  <dimension ref="A1:J26"/>
  <sheetViews>
    <sheetView tabSelected="1" workbookViewId="0">
      <selection activeCell="M25" sqref="M25"/>
    </sheetView>
  </sheetViews>
  <sheetFormatPr defaultRowHeight="15" x14ac:dyDescent="0.25"/>
  <sheetData>
    <row r="1" spans="1:10" s="3" customFormat="1" x14ac:dyDescent="0.25">
      <c r="A1" s="3" t="s">
        <v>2</v>
      </c>
      <c r="B1" s="3" t="s">
        <v>3</v>
      </c>
      <c r="C1" s="3" t="s">
        <v>0</v>
      </c>
      <c r="E1" s="3" t="s">
        <v>2</v>
      </c>
      <c r="F1" s="3" t="s">
        <v>3</v>
      </c>
      <c r="G1" s="3" t="s">
        <v>1</v>
      </c>
      <c r="I1" s="3" t="s">
        <v>7</v>
      </c>
      <c r="J1" s="3" t="s">
        <v>8</v>
      </c>
    </row>
    <row r="2" spans="1:10" x14ac:dyDescent="0.25">
      <c r="A2" s="1">
        <v>0.62313657407407408</v>
      </c>
      <c r="B2">
        <v>257.3</v>
      </c>
      <c r="C2">
        <v>25.007000000000001</v>
      </c>
      <c r="E2" s="1">
        <v>0.62314814814814812</v>
      </c>
      <c r="F2">
        <v>259</v>
      </c>
      <c r="G2">
        <v>25.167999999999999</v>
      </c>
      <c r="I2" t="str">
        <f t="shared" ref="I2:I21" si="0">IF(LEFT(A2,5)&lt;&gt;LEFT(E2,5),"err","")</f>
        <v/>
      </c>
      <c r="J2" s="2">
        <f>G2-C2</f>
        <v>0.16099999999999781</v>
      </c>
    </row>
    <row r="3" spans="1:10" x14ac:dyDescent="0.25">
      <c r="A3" s="1">
        <v>0.62763888888888886</v>
      </c>
      <c r="B3">
        <v>260.39999999999998</v>
      </c>
      <c r="C3">
        <v>26.638999999999999</v>
      </c>
      <c r="E3" s="1">
        <v>0.62765046296296301</v>
      </c>
      <c r="F3">
        <v>261.7</v>
      </c>
      <c r="G3">
        <v>26.777000000000001</v>
      </c>
      <c r="I3" t="str">
        <f t="shared" si="0"/>
        <v/>
      </c>
      <c r="J3" s="2">
        <f>G3-C3</f>
        <v>0.13800000000000168</v>
      </c>
    </row>
    <row r="4" spans="1:10" x14ac:dyDescent="0.25">
      <c r="A4" s="1">
        <v>0.62940972222222225</v>
      </c>
      <c r="B4">
        <v>260.7</v>
      </c>
      <c r="C4">
        <v>28.157</v>
      </c>
      <c r="E4" s="1">
        <v>0.62939814814814821</v>
      </c>
      <c r="F4">
        <v>251.8</v>
      </c>
      <c r="G4">
        <v>28.792999999999999</v>
      </c>
      <c r="I4" t="str">
        <f t="shared" si="0"/>
        <v/>
      </c>
      <c r="J4" s="2">
        <f>G4-C4</f>
        <v>0.63599999999999923</v>
      </c>
    </row>
    <row r="5" spans="1:10" x14ac:dyDescent="0.25">
      <c r="A5" s="1">
        <v>0.63450231481481478</v>
      </c>
      <c r="B5">
        <v>253.5</v>
      </c>
      <c r="C5">
        <v>27.376000000000001</v>
      </c>
      <c r="E5" s="1">
        <v>0.63450231481481478</v>
      </c>
      <c r="F5">
        <v>258.2</v>
      </c>
      <c r="G5">
        <v>27.887</v>
      </c>
      <c r="I5" t="str">
        <f t="shared" si="0"/>
        <v/>
      </c>
      <c r="J5" s="2"/>
    </row>
    <row r="6" spans="1:10" x14ac:dyDescent="0.25">
      <c r="A6" s="1">
        <v>0.63589120370370367</v>
      </c>
      <c r="B6">
        <v>261.3</v>
      </c>
      <c r="C6">
        <v>28.213999999999999</v>
      </c>
      <c r="E6" s="1">
        <v>0.63511574074074073</v>
      </c>
      <c r="F6">
        <v>262</v>
      </c>
      <c r="G6">
        <v>28.297000000000001</v>
      </c>
      <c r="I6" t="str">
        <f t="shared" si="0"/>
        <v/>
      </c>
      <c r="J6" s="2"/>
    </row>
    <row r="7" spans="1:10" x14ac:dyDescent="0.25">
      <c r="A7" s="1">
        <v>0.6375925925925926</v>
      </c>
      <c r="B7">
        <v>262.5</v>
      </c>
      <c r="C7">
        <v>26.86</v>
      </c>
      <c r="E7" s="1">
        <v>0.63758101851851856</v>
      </c>
      <c r="F7">
        <v>254.4</v>
      </c>
      <c r="G7">
        <v>27.478000000000002</v>
      </c>
      <c r="I7" t="str">
        <f t="shared" si="0"/>
        <v/>
      </c>
      <c r="J7" s="2">
        <f t="shared" ref="J7:J21" si="1">G7-C7</f>
        <v>0.6180000000000021</v>
      </c>
    </row>
    <row r="8" spans="1:10" x14ac:dyDescent="0.25">
      <c r="A8" s="1">
        <v>0.64729166666666671</v>
      </c>
      <c r="B8">
        <v>254.4</v>
      </c>
      <c r="C8">
        <v>27.474</v>
      </c>
      <c r="E8" s="1">
        <v>0.64729166666666671</v>
      </c>
      <c r="F8">
        <v>255.5</v>
      </c>
      <c r="G8">
        <v>27.588000000000001</v>
      </c>
      <c r="I8" t="str">
        <f t="shared" si="0"/>
        <v/>
      </c>
      <c r="J8" s="2">
        <f t="shared" si="1"/>
        <v>0.11400000000000077</v>
      </c>
    </row>
    <row r="9" spans="1:10" x14ac:dyDescent="0.25">
      <c r="A9" s="1">
        <v>0.64818287037037037</v>
      </c>
      <c r="B9">
        <v>254.9</v>
      </c>
      <c r="C9">
        <v>27.529</v>
      </c>
      <c r="E9" s="1">
        <v>0.64818287037037037</v>
      </c>
      <c r="F9">
        <v>257.7</v>
      </c>
      <c r="G9">
        <v>27.824999999999999</v>
      </c>
      <c r="I9" t="str">
        <f t="shared" si="0"/>
        <v/>
      </c>
      <c r="J9" s="2">
        <f t="shared" si="1"/>
        <v>0.29599999999999937</v>
      </c>
    </row>
    <row r="10" spans="1:10" x14ac:dyDescent="0.25">
      <c r="A10" s="1">
        <v>0.65098379629629632</v>
      </c>
      <c r="B10">
        <v>253.3</v>
      </c>
      <c r="C10">
        <v>25.913</v>
      </c>
      <c r="E10" s="1">
        <v>0.65098379629629632</v>
      </c>
      <c r="F10">
        <v>255.9</v>
      </c>
      <c r="G10">
        <v>26.183</v>
      </c>
      <c r="I10" t="str">
        <f t="shared" si="0"/>
        <v/>
      </c>
      <c r="J10" s="2">
        <f t="shared" si="1"/>
        <v>0.26999999999999957</v>
      </c>
    </row>
    <row r="11" spans="1:10" x14ac:dyDescent="0.25">
      <c r="A11" s="1">
        <v>0.65396990740740735</v>
      </c>
      <c r="B11">
        <v>258.10000000000002</v>
      </c>
      <c r="C11">
        <v>26.404</v>
      </c>
      <c r="E11" s="1">
        <v>0.65396990740740735</v>
      </c>
      <c r="F11">
        <v>261.7</v>
      </c>
      <c r="G11">
        <v>26.77</v>
      </c>
      <c r="I11" t="str">
        <f t="shared" si="0"/>
        <v/>
      </c>
      <c r="J11" s="2">
        <f t="shared" si="1"/>
        <v>0.36599999999999966</v>
      </c>
    </row>
    <row r="12" spans="1:10" x14ac:dyDescent="0.25">
      <c r="A12" s="1">
        <v>0.65737268518518521</v>
      </c>
      <c r="B12">
        <v>258.8</v>
      </c>
      <c r="C12">
        <v>26.472000000000001</v>
      </c>
      <c r="E12" s="1">
        <v>0.65737268518518521</v>
      </c>
      <c r="F12">
        <v>261.89999999999998</v>
      </c>
      <c r="G12">
        <v>26.795999999999999</v>
      </c>
      <c r="I12" t="str">
        <f t="shared" si="0"/>
        <v/>
      </c>
      <c r="J12" s="2">
        <f t="shared" si="1"/>
        <v>0.32399999999999807</v>
      </c>
    </row>
    <row r="13" spans="1:10" x14ac:dyDescent="0.25">
      <c r="A13" s="1">
        <v>0.65798611111111105</v>
      </c>
      <c r="B13">
        <v>253.4</v>
      </c>
      <c r="C13">
        <v>28.975999999999999</v>
      </c>
      <c r="E13" s="1">
        <v>0.65798611111111105</v>
      </c>
      <c r="F13">
        <v>257</v>
      </c>
      <c r="G13">
        <v>29.390999999999998</v>
      </c>
      <c r="I13" t="str">
        <f t="shared" si="0"/>
        <v/>
      </c>
      <c r="J13" s="2">
        <f t="shared" si="1"/>
        <v>0.41499999999999915</v>
      </c>
    </row>
    <row r="14" spans="1:10" x14ac:dyDescent="0.25">
      <c r="A14" s="1">
        <v>0.65949074074074077</v>
      </c>
      <c r="B14">
        <v>256.10000000000002</v>
      </c>
      <c r="C14">
        <v>27.661000000000001</v>
      </c>
      <c r="E14" s="1">
        <v>0.65949074074074077</v>
      </c>
      <c r="F14">
        <v>260.2</v>
      </c>
      <c r="G14">
        <v>28.097000000000001</v>
      </c>
      <c r="I14" t="str">
        <f t="shared" si="0"/>
        <v/>
      </c>
      <c r="J14" s="2">
        <f t="shared" si="1"/>
        <v>0.43599999999999994</v>
      </c>
    </row>
    <row r="15" spans="1:10" x14ac:dyDescent="0.25">
      <c r="A15" s="1">
        <v>0.6781018518518519</v>
      </c>
      <c r="B15">
        <v>259.3</v>
      </c>
      <c r="C15">
        <v>25.2</v>
      </c>
      <c r="E15" s="1">
        <v>0.67811342592592594</v>
      </c>
      <c r="F15">
        <v>261</v>
      </c>
      <c r="G15">
        <v>25.370999999999999</v>
      </c>
      <c r="I15" t="str">
        <f t="shared" si="0"/>
        <v/>
      </c>
      <c r="J15" s="2">
        <f t="shared" si="1"/>
        <v>0.17099999999999937</v>
      </c>
    </row>
    <row r="16" spans="1:10" x14ac:dyDescent="0.25">
      <c r="A16" s="1">
        <v>0.67991898148148155</v>
      </c>
      <c r="B16">
        <v>252</v>
      </c>
      <c r="C16">
        <v>25.785</v>
      </c>
      <c r="E16" s="1">
        <v>0.67991898148148155</v>
      </c>
      <c r="F16">
        <v>259.5</v>
      </c>
      <c r="G16">
        <v>26.545000000000002</v>
      </c>
      <c r="I16" t="str">
        <f t="shared" si="0"/>
        <v/>
      </c>
      <c r="J16" s="2">
        <f t="shared" si="1"/>
        <v>0.76000000000000156</v>
      </c>
    </row>
    <row r="17" spans="1:10" x14ac:dyDescent="0.25">
      <c r="A17" s="1">
        <v>0.68121527777777768</v>
      </c>
      <c r="B17">
        <v>263.5</v>
      </c>
      <c r="C17">
        <v>28.46</v>
      </c>
      <c r="E17" s="1">
        <v>0.68121527777777768</v>
      </c>
      <c r="F17">
        <v>251.7</v>
      </c>
      <c r="G17">
        <v>28.783999999999999</v>
      </c>
      <c r="I17" t="str">
        <f t="shared" si="0"/>
        <v/>
      </c>
      <c r="J17" s="2">
        <f t="shared" si="1"/>
        <v>0.32399999999999807</v>
      </c>
    </row>
    <row r="18" spans="1:10" x14ac:dyDescent="0.25">
      <c r="A18" s="1">
        <v>0.68556712962962962</v>
      </c>
      <c r="B18">
        <v>255.2</v>
      </c>
      <c r="C18">
        <v>26.11</v>
      </c>
      <c r="E18" s="1">
        <v>0.68556712962962962</v>
      </c>
      <c r="F18">
        <v>257.2</v>
      </c>
      <c r="G18">
        <v>26.315000000000001</v>
      </c>
      <c r="I18" t="str">
        <f t="shared" si="0"/>
        <v/>
      </c>
      <c r="J18" s="2">
        <f t="shared" si="1"/>
        <v>0.20500000000000185</v>
      </c>
    </row>
    <row r="19" spans="1:10" x14ac:dyDescent="0.25">
      <c r="A19" s="1">
        <v>0.68680555555555556</v>
      </c>
      <c r="B19">
        <v>261.8</v>
      </c>
      <c r="C19">
        <v>26.783999999999999</v>
      </c>
      <c r="E19" s="1">
        <v>0.68679398148148152</v>
      </c>
      <c r="F19">
        <v>251</v>
      </c>
      <c r="G19">
        <v>27.103999999999999</v>
      </c>
      <c r="I19" t="str">
        <f t="shared" si="0"/>
        <v/>
      </c>
      <c r="J19" s="2">
        <f t="shared" si="1"/>
        <v>0.32000000000000028</v>
      </c>
    </row>
    <row r="20" spans="1:10" x14ac:dyDescent="0.25">
      <c r="A20" s="1">
        <v>0.69013888888888886</v>
      </c>
      <c r="B20">
        <v>264.3</v>
      </c>
      <c r="C20">
        <v>28.538</v>
      </c>
      <c r="E20" s="1">
        <v>0.69012731481481471</v>
      </c>
      <c r="F20">
        <v>254</v>
      </c>
      <c r="G20">
        <v>29.045999999999999</v>
      </c>
      <c r="I20" t="str">
        <f t="shared" si="0"/>
        <v/>
      </c>
      <c r="J20" s="2">
        <f t="shared" si="1"/>
        <v>0.50799999999999912</v>
      </c>
    </row>
    <row r="21" spans="1:10" x14ac:dyDescent="0.25">
      <c r="A21" s="1">
        <v>0.69234953703703705</v>
      </c>
      <c r="B21">
        <v>252.4</v>
      </c>
      <c r="C21">
        <v>24.53</v>
      </c>
      <c r="E21" s="1">
        <v>0.69236111111111109</v>
      </c>
      <c r="F21">
        <v>256</v>
      </c>
      <c r="G21">
        <v>24.876999999999999</v>
      </c>
      <c r="I21" t="str">
        <f t="shared" si="0"/>
        <v/>
      </c>
      <c r="J21" s="2">
        <f t="shared" si="1"/>
        <v>0.34699999999999775</v>
      </c>
    </row>
    <row r="22" spans="1:10" x14ac:dyDescent="0.25">
      <c r="J22" s="2"/>
    </row>
    <row r="23" spans="1:10" x14ac:dyDescent="0.25">
      <c r="H23" t="s">
        <v>4</v>
      </c>
      <c r="J23" s="2">
        <f>MIN($J$2:$J$21)</f>
        <v>0.11400000000000077</v>
      </c>
    </row>
    <row r="24" spans="1:10" x14ac:dyDescent="0.25">
      <c r="H24" t="s">
        <v>5</v>
      </c>
      <c r="J24" s="2">
        <f>AVERAGE($J$2:$J$21)</f>
        <v>0.35605555555555529</v>
      </c>
    </row>
    <row r="25" spans="1:10" x14ac:dyDescent="0.25">
      <c r="H25" t="s">
        <v>6</v>
      </c>
      <c r="J25" s="2">
        <f>MAX($J$2:$J$21)</f>
        <v>0.76000000000000156</v>
      </c>
    </row>
    <row r="26" spans="1:10" x14ac:dyDescent="0.25">
      <c r="J26" s="2"/>
    </row>
  </sheetData>
  <conditionalFormatting sqref="J2:J21">
    <cfRule type="colorScale" priority="1">
      <colorScale>
        <cfvo type="min"/>
        <cfvo type="max"/>
        <color theme="7" tint="0.79998168889431442"/>
        <color rgb="FFFF0000"/>
      </colorScale>
    </cfRule>
  </conditionalFormatting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2022-04-05T21:22:20Z</dcterms:created>
  <dcterms:modified xsi:type="dcterms:W3CDTF">2022-04-05T21:41:41Z</dcterms:modified>
</cp:coreProperties>
</file>