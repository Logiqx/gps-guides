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mike\projects\docs\gps-guides\sessions\contacts\mark\analysis\"/>
    </mc:Choice>
  </mc:AlternateContent>
  <xr:revisionPtr revIDLastSave="0" documentId="13_ncr:1_{FCAA3399-1EFD-41A7-A71B-6314BCF5DA01}" xr6:coauthVersionLast="47" xr6:coauthVersionMax="47" xr10:uidLastSave="{00000000-0000-0000-0000-000000000000}"/>
  <bookViews>
    <workbookView xWindow="-120" yWindow="-120" windowWidth="29040" windowHeight="16440" xr2:uid="{1A0D1499-61F0-4420-A350-725B2B0FF3B8}"/>
  </bookViews>
  <sheets>
    <sheet name="fenix-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1" i="1" l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4" i="1"/>
  <c r="J3" i="1"/>
  <c r="J2" i="1"/>
  <c r="J25" i="1" l="1"/>
  <c r="J23" i="1"/>
  <c r="J24" i="1"/>
</calcChain>
</file>

<file path=xl/sharedStrings.xml><?xml version="1.0" encoding="utf-8"?>
<sst xmlns="http://schemas.openxmlformats.org/spreadsheetml/2006/main" count="11" uniqueCount="9">
  <si>
    <t>doppler</t>
  </si>
  <si>
    <t>non-doppler</t>
  </si>
  <si>
    <t>time</t>
  </si>
  <si>
    <t>m</t>
  </si>
  <si>
    <t>min</t>
  </si>
  <si>
    <t>avg</t>
  </si>
  <si>
    <t>max</t>
  </si>
  <si>
    <t>check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</si>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</sst>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Garmin Fenix 5</a:t>
            </a:r>
          </a:p>
          <a:p>
            <a:pPr>
              <a:defRPr/>
            </a:pPr>
            <a:r>
              <a:rPr lang="en-GB" sz="1200"/>
              <a:t>Twenty 250m runs - Doppler</a:t>
            </a:r>
            <a:r>
              <a:rPr lang="en-GB" sz="1200" baseline="0"/>
              <a:t> vs Non-Doppler</a:t>
            </a:r>
            <a:endParaRPr lang="en-GB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'fenix-5'!$C$1</c:f>
              <c:strCache>
                <c:ptCount val="1"/>
                <c:pt idx="0">
                  <c:v>doppler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'fenix-5'!$C$2:$C$21</c:f>
              <c:numCache>
                <c:formatCode>General</c:formatCode>
                <c:ptCount val="20"/>
                <c:pt idx="0">
                  <c:v>33.72</c:v>
                </c:pt>
                <c:pt idx="1">
                  <c:v>34.262999999999998</c:v>
                </c:pt>
                <c:pt idx="2">
                  <c:v>33.384</c:v>
                </c:pt>
                <c:pt idx="3">
                  <c:v>33.335000000000001</c:v>
                </c:pt>
                <c:pt idx="4">
                  <c:v>33.500999999999998</c:v>
                </c:pt>
                <c:pt idx="5">
                  <c:v>33.47</c:v>
                </c:pt>
                <c:pt idx="6">
                  <c:v>34.008000000000003</c:v>
                </c:pt>
                <c:pt idx="7">
                  <c:v>33.292000000000002</c:v>
                </c:pt>
                <c:pt idx="8">
                  <c:v>34.084000000000003</c:v>
                </c:pt>
                <c:pt idx="9">
                  <c:v>33.427</c:v>
                </c:pt>
                <c:pt idx="10">
                  <c:v>33.368000000000002</c:v>
                </c:pt>
                <c:pt idx="11">
                  <c:v>34.286999999999999</c:v>
                </c:pt>
                <c:pt idx="12">
                  <c:v>34.356000000000002</c:v>
                </c:pt>
                <c:pt idx="13">
                  <c:v>33.448</c:v>
                </c:pt>
                <c:pt idx="14">
                  <c:v>33.421999999999997</c:v>
                </c:pt>
                <c:pt idx="15">
                  <c:v>33.356999999999999</c:v>
                </c:pt>
                <c:pt idx="16">
                  <c:v>33.94</c:v>
                </c:pt>
                <c:pt idx="17">
                  <c:v>34.003999999999998</c:v>
                </c:pt>
                <c:pt idx="18">
                  <c:v>33.692999999999998</c:v>
                </c:pt>
                <c:pt idx="19">
                  <c:v>33.793999999999997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7-4052-B24A-4D93046CB5B9}"/>
            </c:ext>
          </c:extLst>
        </c:ser>
        <c:ser>
          <c:idx val="1"/>
          <c:order val="1"/>
          <c:tx>
            <c:strRef>
              <c:f>'fenix-5'!$G$1</c:f>
              <c:strCache>
                <c:ptCount val="1"/>
                <c:pt idx="0">
                  <c:v>non-doppler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'fenix-5'!$G$2:$G$21</c:f>
              <c:numCache>
                <c:formatCode>General</c:formatCode>
                <c:ptCount val="20"/>
                <c:pt idx="0">
                  <c:v>34.247</c:v>
                </c:pt>
                <c:pt idx="1">
                  <c:v>34.755000000000003</c:v>
                </c:pt>
                <c:pt idx="2">
                  <c:v>33.869999999999997</c:v>
                </c:pt>
                <c:pt idx="3">
                  <c:v>34.005000000000003</c:v>
                </c:pt>
                <c:pt idx="4">
                  <c:v>33.497999999999998</c:v>
                </c:pt>
                <c:pt idx="5">
                  <c:v>34.435000000000002</c:v>
                </c:pt>
                <c:pt idx="6">
                  <c:v>34.055</c:v>
                </c:pt>
                <c:pt idx="7">
                  <c:v>33.534999999999997</c:v>
                </c:pt>
                <c:pt idx="8">
                  <c:v>34.277999999999999</c:v>
                </c:pt>
                <c:pt idx="9">
                  <c:v>33.97</c:v>
                </c:pt>
                <c:pt idx="10">
                  <c:v>33.487000000000002</c:v>
                </c:pt>
                <c:pt idx="11">
                  <c:v>35.054000000000002</c:v>
                </c:pt>
                <c:pt idx="12">
                  <c:v>34.899000000000001</c:v>
                </c:pt>
                <c:pt idx="13">
                  <c:v>34.365000000000002</c:v>
                </c:pt>
                <c:pt idx="14">
                  <c:v>33.616</c:v>
                </c:pt>
                <c:pt idx="15">
                  <c:v>33.496000000000002</c:v>
                </c:pt>
                <c:pt idx="16">
                  <c:v>34.216999999999999</c:v>
                </c:pt>
                <c:pt idx="17">
                  <c:v>34.164999999999999</c:v>
                </c:pt>
                <c:pt idx="18">
                  <c:v>33.938000000000002</c:v>
                </c:pt>
                <c:pt idx="19">
                  <c:v>34.295000000000002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77-4052-B24A-4D93046CB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313464"/>
        <c:axId val="567318712"/>
      </c:barChart>
      <c:catAx>
        <c:axId val="567313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18712"/>
        <c:crosses val="autoZero"/>
        <c:auto val="1"/>
        <c:lblAlgn val="ctr"/>
        <c:lblOffset val="100"/>
        <c:noMultiLvlLbl val="0"/>
      </c:catAx>
      <c:valAx>
        <c:axId val="567318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13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19049</xdr:colOff>
      <xdr:row>1</xdr:row>
      <xdr:rowOff>0</xdr:rowOff>
    </xdr:from>
    <xdr:to>
      <xdr:col>21</xdr:col>
      <xdr:colOff>352424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6E4C4A-CB23-47DD-AE58-5C401561E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B82B-501B-496C-BA82-2B77B32B0676}">
  <dimension ref="A1:J26"/>
  <sheetViews>
    <sheetView tabSelected="1" workbookViewId="0">
      <selection activeCell="E23" sqref="E23"/>
    </sheetView>
  </sheetViews>
  <sheetFormatPr defaultRowHeight="15" x14ac:dyDescent="0.25"/>
  <sheetData>
    <row r="1" spans="1:10" s="3" customFormat="1" x14ac:dyDescent="0.25">
      <c r="A1" s="3" t="s">
        <v>2</v>
      </c>
      <c r="B1" s="3" t="s">
        <v>3</v>
      </c>
      <c r="C1" s="3" t="s">
        <v>0</v>
      </c>
      <c r="E1" s="3" t="s">
        <v>2</v>
      </c>
      <c r="F1" s="3" t="s">
        <v>3</v>
      </c>
      <c r="G1" s="3" t="s">
        <v>1</v>
      </c>
      <c r="I1" s="3" t="s">
        <v>7</v>
      </c>
      <c r="J1" s="3" t="s">
        <v>8</v>
      </c>
    </row>
    <row r="2" spans="1:10" x14ac:dyDescent="0.25">
      <c r="A2" s="1">
        <v>0.56892361111111112</v>
      </c>
      <c r="B2">
        <v>260.2</v>
      </c>
      <c r="C2">
        <v>33.72</v>
      </c>
      <c r="E2" s="1">
        <v>0.56892361111111112</v>
      </c>
      <c r="F2">
        <v>264.3</v>
      </c>
      <c r="G2">
        <v>34.247</v>
      </c>
      <c r="I2" t="str">
        <f t="shared" ref="I2:I21" si="0">IF(LEFT(A2,5)&lt;&gt;LEFT(E2,5),"err","")</f>
        <v/>
      </c>
      <c r="J2" s="2">
        <f>G2-C2</f>
        <v>0.52700000000000102</v>
      </c>
    </row>
    <row r="3" spans="1:10" x14ac:dyDescent="0.25">
      <c r="A3" s="1">
        <v>0.57510416666666664</v>
      </c>
      <c r="B3">
        <v>264.39999999999998</v>
      </c>
      <c r="C3">
        <v>34.262999999999998</v>
      </c>
      <c r="E3" s="1">
        <v>0.57510416666666664</v>
      </c>
      <c r="F3">
        <v>250.3</v>
      </c>
      <c r="G3">
        <v>34.755000000000003</v>
      </c>
      <c r="I3" t="str">
        <f t="shared" si="0"/>
        <v/>
      </c>
      <c r="J3" s="2">
        <f>G3-C3</f>
        <v>0.49200000000000443</v>
      </c>
    </row>
    <row r="4" spans="1:10" x14ac:dyDescent="0.25">
      <c r="A4" s="1">
        <v>0.57695601851851852</v>
      </c>
      <c r="B4">
        <v>257.60000000000002</v>
      </c>
      <c r="C4">
        <v>33.384</v>
      </c>
      <c r="E4" s="1">
        <v>0.57695601851851852</v>
      </c>
      <c r="F4">
        <v>261.39999999999998</v>
      </c>
      <c r="G4">
        <v>33.869999999999997</v>
      </c>
      <c r="I4" t="str">
        <f t="shared" si="0"/>
        <v/>
      </c>
      <c r="J4" s="2">
        <f>G4-C4</f>
        <v>0.4859999999999971</v>
      </c>
    </row>
    <row r="5" spans="1:10" x14ac:dyDescent="0.25">
      <c r="A5" s="1">
        <v>0.58630787037037035</v>
      </c>
      <c r="B5">
        <v>257.2</v>
      </c>
      <c r="C5">
        <v>33.335000000000001</v>
      </c>
      <c r="E5" s="1">
        <v>0.58126157407407408</v>
      </c>
      <c r="F5">
        <v>262.39999999999998</v>
      </c>
      <c r="G5">
        <v>34.005000000000003</v>
      </c>
      <c r="I5" t="str">
        <f t="shared" si="0"/>
        <v>err</v>
      </c>
      <c r="J5" s="2"/>
    </row>
    <row r="6" spans="1:10" x14ac:dyDescent="0.25">
      <c r="A6" s="1">
        <v>0.59284722222222219</v>
      </c>
      <c r="B6">
        <v>258.5</v>
      </c>
      <c r="C6">
        <v>33.500999999999998</v>
      </c>
      <c r="E6" s="1">
        <v>0.5863194444444445</v>
      </c>
      <c r="F6">
        <v>258.5</v>
      </c>
      <c r="G6">
        <v>33.497999999999998</v>
      </c>
      <c r="I6" t="str">
        <f t="shared" si="0"/>
        <v>err</v>
      </c>
      <c r="J6" s="2"/>
    </row>
    <row r="7" spans="1:10" x14ac:dyDescent="0.25">
      <c r="A7" s="1">
        <v>0.5965625</v>
      </c>
      <c r="B7">
        <v>258.3</v>
      </c>
      <c r="C7">
        <v>33.47</v>
      </c>
      <c r="E7" s="1">
        <v>0.5965625</v>
      </c>
      <c r="F7">
        <v>265.7</v>
      </c>
      <c r="G7">
        <v>34.435000000000002</v>
      </c>
      <c r="I7" t="str">
        <f t="shared" si="0"/>
        <v/>
      </c>
      <c r="J7" s="2">
        <f t="shared" ref="J7:J21" si="1">G7-C7</f>
        <v>0.96500000000000341</v>
      </c>
    </row>
    <row r="8" spans="1:10" x14ac:dyDescent="0.25">
      <c r="A8" s="1">
        <v>0.59907407407407409</v>
      </c>
      <c r="B8">
        <v>262.39999999999998</v>
      </c>
      <c r="C8">
        <v>34.008000000000003</v>
      </c>
      <c r="E8" s="1">
        <v>0.59908564814814813</v>
      </c>
      <c r="F8">
        <v>262.8</v>
      </c>
      <c r="G8">
        <v>34.055</v>
      </c>
      <c r="I8" t="str">
        <f t="shared" si="0"/>
        <v/>
      </c>
      <c r="J8" s="2">
        <f t="shared" si="1"/>
        <v>4.6999999999997044E-2</v>
      </c>
    </row>
    <row r="9" spans="1:10" x14ac:dyDescent="0.25">
      <c r="A9" s="1">
        <v>0.60106481481481489</v>
      </c>
      <c r="B9">
        <v>256.89999999999998</v>
      </c>
      <c r="C9">
        <v>33.292000000000002</v>
      </c>
      <c r="E9" s="1">
        <v>0.60106481481481489</v>
      </c>
      <c r="F9">
        <v>258.8</v>
      </c>
      <c r="G9">
        <v>33.534999999999997</v>
      </c>
      <c r="I9" t="str">
        <f t="shared" si="0"/>
        <v/>
      </c>
      <c r="J9" s="2">
        <f t="shared" si="1"/>
        <v>0.242999999999995</v>
      </c>
    </row>
    <row r="10" spans="1:10" x14ac:dyDescent="0.25">
      <c r="A10" s="1">
        <v>0.60723379629629626</v>
      </c>
      <c r="B10">
        <v>263</v>
      </c>
      <c r="C10">
        <v>34.084000000000003</v>
      </c>
      <c r="E10" s="1">
        <v>0.60723379629629626</v>
      </c>
      <c r="F10">
        <v>264.5</v>
      </c>
      <c r="G10">
        <v>34.277999999999999</v>
      </c>
      <c r="I10" t="str">
        <f t="shared" si="0"/>
        <v/>
      </c>
      <c r="J10" s="2">
        <f t="shared" si="1"/>
        <v>0.19399999999999551</v>
      </c>
    </row>
    <row r="11" spans="1:10" x14ac:dyDescent="0.25">
      <c r="A11" s="1">
        <v>0.60957175925925922</v>
      </c>
      <c r="B11">
        <v>257.89999999999998</v>
      </c>
      <c r="C11">
        <v>33.427</v>
      </c>
      <c r="E11" s="1">
        <v>0.60957175925925922</v>
      </c>
      <c r="F11">
        <v>262.10000000000002</v>
      </c>
      <c r="G11">
        <v>33.97</v>
      </c>
      <c r="I11" t="str">
        <f t="shared" si="0"/>
        <v/>
      </c>
      <c r="J11" s="2">
        <f t="shared" si="1"/>
        <v>0.54299999999999926</v>
      </c>
    </row>
    <row r="12" spans="1:10" x14ac:dyDescent="0.25">
      <c r="A12" s="1">
        <v>0.61393518518518519</v>
      </c>
      <c r="B12">
        <v>257.5</v>
      </c>
      <c r="C12">
        <v>33.368000000000002</v>
      </c>
      <c r="E12" s="1">
        <v>0.61393518518518519</v>
      </c>
      <c r="F12">
        <v>258.39999999999998</v>
      </c>
      <c r="G12">
        <v>33.487000000000002</v>
      </c>
      <c r="I12" t="str">
        <f t="shared" si="0"/>
        <v/>
      </c>
      <c r="J12" s="2">
        <f t="shared" si="1"/>
        <v>0.11899999999999977</v>
      </c>
    </row>
    <row r="13" spans="1:10" x14ac:dyDescent="0.25">
      <c r="A13" s="1">
        <v>0.61611111111111116</v>
      </c>
      <c r="B13">
        <v>264.60000000000002</v>
      </c>
      <c r="C13">
        <v>34.286999999999999</v>
      </c>
      <c r="E13" s="1">
        <v>0.61609953703703701</v>
      </c>
      <c r="F13">
        <v>252.5</v>
      </c>
      <c r="G13">
        <v>35.054000000000002</v>
      </c>
      <c r="I13" t="str">
        <f t="shared" si="0"/>
        <v/>
      </c>
      <c r="J13" s="2">
        <f t="shared" si="1"/>
        <v>0.76700000000000301</v>
      </c>
    </row>
    <row r="14" spans="1:10" x14ac:dyDescent="0.25">
      <c r="A14" s="1">
        <v>0.61788194444444444</v>
      </c>
      <c r="B14">
        <v>265.10000000000002</v>
      </c>
      <c r="C14">
        <v>34.356000000000002</v>
      </c>
      <c r="E14" s="1">
        <v>0.61788194444444444</v>
      </c>
      <c r="F14">
        <v>251.4</v>
      </c>
      <c r="G14">
        <v>34.899000000000001</v>
      </c>
      <c r="I14" t="str">
        <f t="shared" si="0"/>
        <v/>
      </c>
      <c r="J14" s="2">
        <f t="shared" si="1"/>
        <v>0.54299999999999926</v>
      </c>
    </row>
    <row r="15" spans="1:10" x14ac:dyDescent="0.25">
      <c r="A15" s="1">
        <v>0.62018518518518517</v>
      </c>
      <c r="B15">
        <v>258.10000000000002</v>
      </c>
      <c r="C15">
        <v>33.448</v>
      </c>
      <c r="E15" s="1">
        <v>0.62019675925925932</v>
      </c>
      <c r="F15">
        <v>265.2</v>
      </c>
      <c r="G15">
        <v>34.365000000000002</v>
      </c>
      <c r="I15" t="str">
        <f t="shared" si="0"/>
        <v/>
      </c>
      <c r="J15" s="2">
        <f t="shared" si="1"/>
        <v>0.91700000000000159</v>
      </c>
    </row>
    <row r="16" spans="1:10" x14ac:dyDescent="0.25">
      <c r="A16" s="1">
        <v>0.62850694444444444</v>
      </c>
      <c r="B16">
        <v>257.89999999999998</v>
      </c>
      <c r="C16">
        <v>33.421999999999997</v>
      </c>
      <c r="E16" s="1">
        <v>0.62851851851851859</v>
      </c>
      <c r="F16">
        <v>259.39999999999998</v>
      </c>
      <c r="G16">
        <v>33.616</v>
      </c>
      <c r="I16" t="str">
        <f t="shared" si="0"/>
        <v/>
      </c>
      <c r="J16" s="2">
        <f t="shared" si="1"/>
        <v>0.19400000000000261</v>
      </c>
    </row>
    <row r="17" spans="1:10" x14ac:dyDescent="0.25">
      <c r="A17" s="1">
        <v>0.63505787037037031</v>
      </c>
      <c r="B17">
        <v>257.39999999999998</v>
      </c>
      <c r="C17">
        <v>33.356999999999999</v>
      </c>
      <c r="E17" s="1">
        <v>0.63505787037037031</v>
      </c>
      <c r="F17">
        <v>258.5</v>
      </c>
      <c r="G17">
        <v>33.496000000000002</v>
      </c>
      <c r="I17" t="str">
        <f t="shared" si="0"/>
        <v/>
      </c>
      <c r="J17" s="2">
        <f t="shared" si="1"/>
        <v>0.1390000000000029</v>
      </c>
    </row>
    <row r="18" spans="1:10" x14ac:dyDescent="0.25">
      <c r="A18" s="1">
        <v>0.65218750000000003</v>
      </c>
      <c r="B18">
        <v>261.89999999999998</v>
      </c>
      <c r="C18">
        <v>33.94</v>
      </c>
      <c r="E18" s="1">
        <v>0.65219907407407407</v>
      </c>
      <c r="F18">
        <v>264</v>
      </c>
      <c r="G18">
        <v>34.216999999999999</v>
      </c>
      <c r="I18" t="str">
        <f t="shared" si="0"/>
        <v/>
      </c>
      <c r="J18" s="2">
        <f t="shared" si="1"/>
        <v>0.27700000000000102</v>
      </c>
    </row>
    <row r="19" spans="1:10" x14ac:dyDescent="0.25">
      <c r="A19" s="1">
        <v>0.65583333333333338</v>
      </c>
      <c r="B19">
        <v>262.39999999999998</v>
      </c>
      <c r="C19">
        <v>34.003999999999998</v>
      </c>
      <c r="E19" s="1">
        <v>0.65584490740740742</v>
      </c>
      <c r="F19">
        <v>263.60000000000002</v>
      </c>
      <c r="G19">
        <v>34.164999999999999</v>
      </c>
      <c r="I19" t="str">
        <f t="shared" si="0"/>
        <v/>
      </c>
      <c r="J19" s="2">
        <f t="shared" si="1"/>
        <v>0.16100000000000136</v>
      </c>
    </row>
    <row r="20" spans="1:10" x14ac:dyDescent="0.25">
      <c r="A20" s="1">
        <v>0.6639004629629629</v>
      </c>
      <c r="B20">
        <v>260</v>
      </c>
      <c r="C20">
        <v>33.692999999999998</v>
      </c>
      <c r="E20" s="1">
        <v>0.6639004629629629</v>
      </c>
      <c r="F20">
        <v>261.89999999999998</v>
      </c>
      <c r="G20">
        <v>33.938000000000002</v>
      </c>
      <c r="I20" t="str">
        <f t="shared" si="0"/>
        <v/>
      </c>
      <c r="J20" s="2">
        <f t="shared" si="1"/>
        <v>0.24500000000000455</v>
      </c>
    </row>
    <row r="21" spans="1:10" x14ac:dyDescent="0.25">
      <c r="A21" s="1">
        <v>0.69070601851851843</v>
      </c>
      <c r="B21">
        <v>260.8</v>
      </c>
      <c r="C21">
        <v>33.793999999999997</v>
      </c>
      <c r="E21" s="1">
        <v>0.69070601851851843</v>
      </c>
      <c r="F21">
        <v>264.60000000000002</v>
      </c>
      <c r="G21">
        <v>34.295000000000002</v>
      </c>
      <c r="I21" t="str">
        <f t="shared" si="0"/>
        <v/>
      </c>
      <c r="J21" s="2">
        <f t="shared" si="1"/>
        <v>0.50100000000000477</v>
      </c>
    </row>
    <row r="22" spans="1:10" x14ac:dyDescent="0.25">
      <c r="J22" s="2"/>
    </row>
    <row r="23" spans="1:10" x14ac:dyDescent="0.25">
      <c r="H23" t="s">
        <v>4</v>
      </c>
      <c r="J23" s="2">
        <f>MIN($J$2:$J$21)</f>
        <v>4.6999999999997044E-2</v>
      </c>
    </row>
    <row r="24" spans="1:10" x14ac:dyDescent="0.25">
      <c r="H24" t="s">
        <v>5</v>
      </c>
      <c r="J24" s="2">
        <f>AVERAGE($J$2:$J$21)</f>
        <v>0.40888888888888963</v>
      </c>
    </row>
    <row r="25" spans="1:10" x14ac:dyDescent="0.25">
      <c r="H25" t="s">
        <v>6</v>
      </c>
      <c r="J25" s="2">
        <f>MAX($J$2:$J$21)</f>
        <v>0.96500000000000341</v>
      </c>
    </row>
    <row r="26" spans="1:10" x14ac:dyDescent="0.25">
      <c r="J26" s="2"/>
    </row>
  </sheetData>
  <sortState xmlns:xlrd2="http://schemas.microsoft.com/office/spreadsheetml/2017/richdata2" ref="E2:G21">
    <sortCondition ref="E1:E21"/>
  </sortState>
  <conditionalFormatting sqref="J2:J21">
    <cfRule type="colorScale" priority="1">
      <colorScale>
        <cfvo type="min"/>
        <cfvo type="max"/>
        <color theme="7" tint="0.79998168889431442"/>
        <color rgb="FFFF0000"/>
      </colorScale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fenix-5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2022-04-05T21:22:20Z</dcterms:created>
  <dcterms:modified xsi:type="dcterms:W3CDTF">2022-04-07T09:57:03Z</dcterms:modified>
</cp:coreProperties>
</file>