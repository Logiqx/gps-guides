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mark\analysis\"/>
    </mc:Choice>
  </mc:AlternateContent>
  <xr:revisionPtr revIDLastSave="0" documentId="13_ncr:1_{A754BEAE-C837-4761-9C68-0E655689C90A}" xr6:coauthVersionLast="47" xr6:coauthVersionMax="47" xr10:uidLastSave="{00000000-0000-0000-0000-000000000000}"/>
  <bookViews>
    <workbookView xWindow="-120" yWindow="-120" windowWidth="29040" windowHeight="16440" xr2:uid="{9486975F-0CF7-4FB3-895F-EAA34A1A86E9}"/>
  </bookViews>
  <sheets>
    <sheet name="201909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1" l="1"/>
  <c r="J46" i="1"/>
  <c r="J48" i="1"/>
  <c r="J51" i="1"/>
  <c r="J50" i="1"/>
  <c r="J49" i="1"/>
  <c r="J44" i="1"/>
  <c r="J43" i="1"/>
  <c r="J42" i="1"/>
  <c r="J41" i="1"/>
  <c r="J40" i="1"/>
  <c r="J39" i="1"/>
  <c r="J38" i="1"/>
  <c r="J37" i="1"/>
  <c r="J36" i="1"/>
  <c r="J34" i="1"/>
  <c r="J33" i="1"/>
  <c r="J24" i="1"/>
  <c r="J22" i="1"/>
  <c r="J21" i="1"/>
  <c r="J20" i="1"/>
  <c r="J18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28" i="1" l="1"/>
  <c r="J55" i="1"/>
  <c r="J53" i="1"/>
  <c r="J54" i="1"/>
  <c r="J26" i="1"/>
  <c r="J27" i="1"/>
</calcChain>
</file>

<file path=xl/sharedStrings.xml><?xml version="1.0" encoding="utf-8"?>
<sst xmlns="http://schemas.openxmlformats.org/spreadsheetml/2006/main" count="30" uniqueCount="13">
  <si>
    <t>Fenix 5</t>
  </si>
  <si>
    <t>Time</t>
  </si>
  <si>
    <t>Distance</t>
  </si>
  <si>
    <t>Speed</t>
  </si>
  <si>
    <t>Doppler</t>
  </si>
  <si>
    <t>Non-Doppler</t>
  </si>
  <si>
    <t>Min</t>
  </si>
  <si>
    <t>Avg</t>
  </si>
  <si>
    <t>Max</t>
  </si>
  <si>
    <t>GW-60 @ 5 Hz</t>
  </si>
  <si>
    <t>+/-</t>
  </si>
  <si>
    <t>Fenix 5 (Doppler)</t>
  </si>
  <si>
    <t>Fenix 5 (Non-Doppler)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</si>
</sst>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1" fontId="0" fillId="0" borderId="0" xfId="0" applyNumberFormat="1"/>
    <xf numFmtId="2" fontId="0" fillId="0" borderId="0" xfId="0" applyNumberFormat="1"/>
    <xf numFmtId="166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'20190924'!$J$1</c:f>
          <c:strCache>
            <c:ptCount val="1"/>
            <c:pt idx="0">
              <c:v>Fenix 5 (Doppler)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'20190924'!$J$3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'20190924'!$J$4:$J$24</c:f>
              <c:numCache>
                <c:formatCode>0.00</c:formatCode>
                <c:ptCount val="21"/>
                <c:pt idx="0">
                  <c:v>-0.51700000000000301</c:v>
                </c:pt>
                <c:pt idx="1">
                  <c:v>-0.57800000000000296</c:v>
                </c:pt>
                <c:pt idx="2">
                  <c:v>-0.30799999999999983</c:v>
                </c:pt>
                <c:pt idx="3">
                  <c:v>-8.0999999999995964E-2</c:v>
                </c:pt>
                <c:pt idx="4">
                  <c:v>-0.14400000000000546</c:v>
                </c:pt>
                <c:pt idx="5">
                  <c:v>3.9999999999999147E-2</c:v>
                </c:pt>
                <c:pt idx="6">
                  <c:v>-0.14799999999999613</c:v>
                </c:pt>
                <c:pt idx="7">
                  <c:v>-0.21199999999999619</c:v>
                </c:pt>
                <c:pt idx="8">
                  <c:v>-0.375</c:v>
                </c:pt>
                <c:pt idx="9">
                  <c:v>4.9999999999997158E-2</c:v>
                </c:pt>
                <c:pt idx="10">
                  <c:v>-0.11699999999999733</c:v>
                </c:pt>
                <c:pt idx="11">
                  <c:v>-0.27799999999999869</c:v>
                </c:pt>
                <c:pt idx="12">
                  <c:v>-0.26599999999999824</c:v>
                </c:pt>
                <c:pt idx="14">
                  <c:v>-5.0000000000004263E-2</c:v>
                </c:pt>
                <c:pt idx="16">
                  <c:v>0.14399999999999835</c:v>
                </c:pt>
                <c:pt idx="17">
                  <c:v>5.9999999999995168E-2</c:v>
                </c:pt>
                <c:pt idx="18">
                  <c:v>-0.12600000000000477</c:v>
                </c:pt>
                <c:pt idx="20">
                  <c:v>-0.15900000000000603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1-44A0-AA26-866CE9FBD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95048"/>
        <c:axId val="432490128"/>
      </c:barChart>
      <c:catAx>
        <c:axId val="432495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90128"/>
        <c:crosses val="autoZero"/>
        <c:auto val="1"/>
        <c:lblAlgn val="ctr"/>
        <c:lblOffset val="100"/>
        <c:noMultiLvlLbl val="0"/>
      </c:catAx>
      <c:valAx>
        <c:axId val="4324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95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'20190924'!$J$30</c:f>
          <c:strCache>
            <c:ptCount val="1"/>
            <c:pt idx="0">
              <c:v>Fenix 5 (Non-Doppler)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'20190924'!$J$32:$J$51</c:f>
              <c:numCache>
                <c:formatCode>0.00</c:formatCode>
                <c:ptCount val="20"/>
                <c:pt idx="0">
                  <c:v>9.9999999999980105E-3</c:v>
                </c:pt>
                <c:pt idx="1">
                  <c:v>-8.5999999999998522E-2</c:v>
                </c:pt>
                <c:pt idx="2">
                  <c:v>0.17799999999999727</c:v>
                </c:pt>
                <c:pt idx="4">
                  <c:v>8.2000000000000739E-2</c:v>
                </c:pt>
                <c:pt idx="5">
                  <c:v>1.0050000000000026</c:v>
                </c:pt>
                <c:pt idx="6">
                  <c:v>-0.10099999999999909</c:v>
                </c:pt>
                <c:pt idx="7">
                  <c:v>3.0999999999998806E-2</c:v>
                </c:pt>
                <c:pt idx="8">
                  <c:v>-0.18100000000000449</c:v>
                </c:pt>
                <c:pt idx="9">
                  <c:v>0.59299999999999642</c:v>
                </c:pt>
                <c:pt idx="10">
                  <c:v>2.0000000000024443E-3</c:v>
                </c:pt>
                <c:pt idx="11">
                  <c:v>0.48900000000000432</c:v>
                </c:pt>
                <c:pt idx="12">
                  <c:v>0.27700000000000102</c:v>
                </c:pt>
                <c:pt idx="14">
                  <c:v>0.14399999999999835</c:v>
                </c:pt>
                <c:pt idx="16">
                  <c:v>0.42099999999999937</c:v>
                </c:pt>
                <c:pt idx="17">
                  <c:v>0.22099999999999653</c:v>
                </c:pt>
                <c:pt idx="18">
                  <c:v>0.11899999999999977</c:v>
                </c:pt>
                <c:pt idx="19">
                  <c:v>0.34199999999999875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A-4922-87E5-FFC0BD721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063288"/>
        <c:axId val="428054432"/>
      </c:barChart>
      <c:catAx>
        <c:axId val="428063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54432"/>
        <c:crosses val="autoZero"/>
        <c:auto val="1"/>
        <c:lblAlgn val="ctr"/>
        <c:lblOffset val="100"/>
        <c:noMultiLvlLbl val="0"/>
      </c:catAx>
      <c:valAx>
        <c:axId val="4280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63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1</xdr:row>
      <xdr:rowOff>57150</xdr:rowOff>
    </xdr:from>
    <xdr:to>
      <xdr:col>23</xdr:col>
      <xdr:colOff>57150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27D8E-8776-4A9D-B56A-2CBE2D8524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409574</xdr:colOff>
      <xdr:row>29</xdr:row>
      <xdr:rowOff>38100</xdr:rowOff>
    </xdr:from>
    <xdr:to>
      <xdr:col>23</xdr:col>
      <xdr:colOff>95249</xdr:colOff>
      <xdr:row>50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73F65-BAC6-46A0-9E34-A0DBFFEE1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E0D-54A3-4C33-A7CC-7A67DFC08D2A}">
  <dimension ref="A1:J55"/>
  <sheetViews>
    <sheetView tabSelected="1" topLeftCell="A15" workbookViewId="0">
      <selection activeCell="L32" sqref="L32"/>
    </sheetView>
  </sheetViews>
  <sheetFormatPr defaultRowHeight="15" x14ac:dyDescent="0.25"/>
  <sheetData>
    <row r="1" spans="1:10" s="4" customFormat="1" x14ac:dyDescent="0.25">
      <c r="A1" s="4" t="s">
        <v>0</v>
      </c>
      <c r="C1" s="4" t="s">
        <v>4</v>
      </c>
      <c r="E1" s="4" t="s">
        <v>9</v>
      </c>
      <c r="G1" s="4" t="s">
        <v>4</v>
      </c>
      <c r="J1" s="4" t="s">
        <v>11</v>
      </c>
    </row>
    <row r="2" spans="1:10" s="4" customFormat="1" x14ac:dyDescent="0.25">
      <c r="A2" s="4" t="s">
        <v>1</v>
      </c>
      <c r="B2" s="4" t="s">
        <v>2</v>
      </c>
      <c r="C2" s="4" t="s">
        <v>3</v>
      </c>
      <c r="E2" s="4" t="s">
        <v>1</v>
      </c>
      <c r="F2" s="4" t="s">
        <v>2</v>
      </c>
      <c r="G2" s="4" t="s">
        <v>3</v>
      </c>
      <c r="H2" s="5" t="s">
        <v>10</v>
      </c>
    </row>
    <row r="3" spans="1:10" x14ac:dyDescent="0.25">
      <c r="E3" s="1">
        <v>0.59572916666666664</v>
      </c>
      <c r="F3" s="3">
        <v>250.5</v>
      </c>
      <c r="G3" s="2">
        <v>33.353999999999999</v>
      </c>
      <c r="H3" s="2">
        <v>0.16900000000000001</v>
      </c>
      <c r="I3" s="2"/>
      <c r="J3" s="2"/>
    </row>
    <row r="4" spans="1:10" x14ac:dyDescent="0.25">
      <c r="A4" s="1">
        <v>0.61059027777777775</v>
      </c>
      <c r="B4" s="3">
        <v>260.2</v>
      </c>
      <c r="C4" s="2">
        <v>33.72</v>
      </c>
      <c r="E4" s="1">
        <v>0.61057870370370371</v>
      </c>
      <c r="F4" s="3">
        <v>250.1</v>
      </c>
      <c r="G4" s="2">
        <v>34.237000000000002</v>
      </c>
      <c r="H4" s="2">
        <v>0.187</v>
      </c>
      <c r="I4" s="2"/>
      <c r="J4" s="2">
        <f>C4-G4</f>
        <v>-0.51700000000000301</v>
      </c>
    </row>
    <row r="5" spans="1:10" x14ac:dyDescent="0.25">
      <c r="A5" s="1">
        <v>0.61677083333333338</v>
      </c>
      <c r="B5" s="3">
        <v>264.39999999999998</v>
      </c>
      <c r="C5" s="2">
        <v>34.262999999999998</v>
      </c>
      <c r="E5" s="1">
        <v>0.61674768518518519</v>
      </c>
      <c r="F5" s="3">
        <v>250.9</v>
      </c>
      <c r="G5" s="2">
        <v>34.841000000000001</v>
      </c>
      <c r="H5" s="2">
        <v>0.11799999999999999</v>
      </c>
      <c r="I5" s="2"/>
      <c r="J5" s="2">
        <f t="shared" ref="J5:J24" si="0">C5-G5</f>
        <v>-0.57800000000000296</v>
      </c>
    </row>
    <row r="6" spans="1:10" x14ac:dyDescent="0.25">
      <c r="A6" s="1">
        <v>0.61862268518518515</v>
      </c>
      <c r="B6" s="3">
        <v>257.60000000000002</v>
      </c>
      <c r="C6" s="2">
        <v>33.384</v>
      </c>
      <c r="E6" s="1">
        <v>0.61859953703703707</v>
      </c>
      <c r="F6" s="3">
        <v>253.1</v>
      </c>
      <c r="G6" s="2">
        <v>33.692</v>
      </c>
      <c r="H6" s="2">
        <v>0.19800000000000001</v>
      </c>
      <c r="I6" s="2"/>
      <c r="J6" s="2">
        <f t="shared" si="0"/>
        <v>-0.30799999999999983</v>
      </c>
    </row>
    <row r="7" spans="1:10" x14ac:dyDescent="0.25">
      <c r="A7" s="1">
        <v>0.62797453703703698</v>
      </c>
      <c r="B7" s="3">
        <v>257.2</v>
      </c>
      <c r="C7" s="2">
        <v>33.335000000000001</v>
      </c>
      <c r="E7" s="1">
        <v>0.62796296296296295</v>
      </c>
      <c r="F7" s="3">
        <v>251</v>
      </c>
      <c r="G7" s="2">
        <v>33.415999999999997</v>
      </c>
      <c r="H7" s="2">
        <v>0.14099999999999999</v>
      </c>
      <c r="I7" s="2"/>
      <c r="J7" s="2">
        <f t="shared" si="0"/>
        <v>-8.0999999999995964E-2</v>
      </c>
    </row>
    <row r="8" spans="1:10" x14ac:dyDescent="0.25">
      <c r="A8" s="1">
        <v>0.63451388888888893</v>
      </c>
      <c r="B8" s="3">
        <v>258.5</v>
      </c>
      <c r="C8" s="2">
        <v>33.500999999999998</v>
      </c>
      <c r="E8" s="1">
        <v>0.63431712962962961</v>
      </c>
      <c r="F8" s="3">
        <v>252.7</v>
      </c>
      <c r="G8" s="2">
        <v>33.645000000000003</v>
      </c>
      <c r="H8" s="2">
        <v>0.18099999999999999</v>
      </c>
      <c r="I8" s="2"/>
      <c r="J8" s="2">
        <f t="shared" si="0"/>
        <v>-0.14400000000000546</v>
      </c>
    </row>
    <row r="9" spans="1:10" x14ac:dyDescent="0.25">
      <c r="A9" s="1">
        <v>0.63822916666666674</v>
      </c>
      <c r="B9" s="3">
        <v>258.3</v>
      </c>
      <c r="C9" s="2">
        <v>33.47</v>
      </c>
      <c r="E9" s="1">
        <v>0.63803240740740741</v>
      </c>
      <c r="F9" s="3">
        <v>251.1</v>
      </c>
      <c r="G9" s="2">
        <v>33.43</v>
      </c>
      <c r="H9" s="2">
        <v>0.11700000000000001</v>
      </c>
      <c r="I9" s="2"/>
      <c r="J9" s="2">
        <f t="shared" si="0"/>
        <v>3.9999999999999147E-2</v>
      </c>
    </row>
    <row r="10" spans="1:10" x14ac:dyDescent="0.25">
      <c r="A10" s="1">
        <v>0.64074074074074072</v>
      </c>
      <c r="B10" s="3">
        <v>262.39999999999998</v>
      </c>
      <c r="C10" s="2">
        <v>34.008000000000003</v>
      </c>
      <c r="E10" s="1">
        <v>0.64055555555555554</v>
      </c>
      <c r="F10" s="3">
        <v>253</v>
      </c>
      <c r="G10" s="2">
        <v>34.155999999999999</v>
      </c>
      <c r="H10" s="2">
        <v>9.6000000000000002E-2</v>
      </c>
      <c r="I10" s="2"/>
      <c r="J10" s="2">
        <f t="shared" si="0"/>
        <v>-0.14799999999999613</v>
      </c>
    </row>
    <row r="11" spans="1:10" x14ac:dyDescent="0.25">
      <c r="A11" s="1">
        <v>0.64273148148148151</v>
      </c>
      <c r="B11" s="3">
        <v>256.89999999999998</v>
      </c>
      <c r="C11" s="2">
        <v>33.292000000000002</v>
      </c>
      <c r="E11" s="1">
        <v>0.64253472222222219</v>
      </c>
      <c r="F11" s="3">
        <v>251.6</v>
      </c>
      <c r="G11" s="2">
        <v>33.503999999999998</v>
      </c>
      <c r="H11" s="2">
        <v>0.155</v>
      </c>
      <c r="I11" s="2"/>
      <c r="J11" s="2">
        <f t="shared" si="0"/>
        <v>-0.21199999999999619</v>
      </c>
    </row>
    <row r="12" spans="1:10" x14ac:dyDescent="0.25">
      <c r="A12" s="1">
        <v>0.648900462962963</v>
      </c>
      <c r="B12" s="3">
        <v>263</v>
      </c>
      <c r="C12" s="2">
        <v>34.084000000000003</v>
      </c>
      <c r="E12" s="1">
        <v>0.64871527777777771</v>
      </c>
      <c r="F12" s="3">
        <v>251.7</v>
      </c>
      <c r="G12" s="2">
        <v>34.459000000000003</v>
      </c>
      <c r="H12" s="2">
        <v>0.16</v>
      </c>
      <c r="I12" s="2"/>
      <c r="J12" s="2">
        <f t="shared" si="0"/>
        <v>-0.375</v>
      </c>
    </row>
    <row r="13" spans="1:10" x14ac:dyDescent="0.25">
      <c r="A13" s="1">
        <v>0.65123842592592596</v>
      </c>
      <c r="B13" s="3">
        <v>257.89999999999998</v>
      </c>
      <c r="C13" s="2">
        <v>33.427</v>
      </c>
      <c r="E13" s="1">
        <v>0.65105324074074067</v>
      </c>
      <c r="F13" s="3">
        <v>250.7</v>
      </c>
      <c r="G13" s="2">
        <v>33.377000000000002</v>
      </c>
      <c r="H13" s="2">
        <v>0.221</v>
      </c>
      <c r="I13" s="2"/>
      <c r="J13" s="2">
        <f t="shared" si="0"/>
        <v>4.9999999999997158E-2</v>
      </c>
    </row>
    <row r="14" spans="1:10" x14ac:dyDescent="0.25">
      <c r="A14" s="1">
        <v>0.65560185185185182</v>
      </c>
      <c r="B14" s="3">
        <v>257.5</v>
      </c>
      <c r="C14" s="2">
        <v>33.368000000000002</v>
      </c>
      <c r="E14" s="1">
        <v>0.65540509259259261</v>
      </c>
      <c r="F14" s="3">
        <v>251.5</v>
      </c>
      <c r="G14" s="2">
        <v>33.484999999999999</v>
      </c>
      <c r="H14" s="2">
        <v>0.154</v>
      </c>
      <c r="I14" s="2"/>
      <c r="J14" s="2">
        <f t="shared" si="0"/>
        <v>-0.11699999999999733</v>
      </c>
    </row>
    <row r="15" spans="1:10" x14ac:dyDescent="0.25">
      <c r="A15" s="1">
        <v>0.65777777777777779</v>
      </c>
      <c r="B15" s="3">
        <v>264.60000000000002</v>
      </c>
      <c r="C15" s="2">
        <v>34.286999999999999</v>
      </c>
      <c r="E15" s="1">
        <v>0.65758101851851858</v>
      </c>
      <c r="F15" s="3">
        <v>252.5</v>
      </c>
      <c r="G15" s="2">
        <v>34.564999999999998</v>
      </c>
      <c r="H15" s="2">
        <v>0.191</v>
      </c>
      <c r="I15" s="2"/>
      <c r="J15" s="2">
        <f t="shared" si="0"/>
        <v>-0.27799999999999869</v>
      </c>
    </row>
    <row r="16" spans="1:10" x14ac:dyDescent="0.25">
      <c r="A16" s="1">
        <v>0.65954861111111118</v>
      </c>
      <c r="B16" s="3">
        <v>265.10000000000002</v>
      </c>
      <c r="C16" s="2">
        <v>34.356000000000002</v>
      </c>
      <c r="E16" s="1">
        <v>0.65935185185185186</v>
      </c>
      <c r="F16" s="3">
        <v>252.9</v>
      </c>
      <c r="G16" s="2">
        <v>34.622</v>
      </c>
      <c r="H16" s="2">
        <v>0.14199999999999999</v>
      </c>
      <c r="I16" s="2"/>
      <c r="J16" s="2">
        <f t="shared" si="0"/>
        <v>-0.26599999999999824</v>
      </c>
    </row>
    <row r="17" spans="1:10" x14ac:dyDescent="0.25">
      <c r="A17" s="1">
        <v>0.6618518518518518</v>
      </c>
      <c r="B17" s="3">
        <v>258.10000000000002</v>
      </c>
      <c r="C17" s="2">
        <v>33.448</v>
      </c>
      <c r="F17" s="3"/>
      <c r="G17" s="2"/>
      <c r="H17" s="2"/>
      <c r="I17" s="2"/>
      <c r="J17" s="2"/>
    </row>
    <row r="18" spans="1:10" x14ac:dyDescent="0.25">
      <c r="A18" s="1">
        <v>0.67017361111111118</v>
      </c>
      <c r="B18" s="3">
        <v>257.89999999999998</v>
      </c>
      <c r="C18" s="2">
        <v>33.421999999999997</v>
      </c>
      <c r="E18" s="1">
        <v>0.669988425925926</v>
      </c>
      <c r="F18" s="3">
        <v>251.4</v>
      </c>
      <c r="G18" s="2">
        <v>33.472000000000001</v>
      </c>
      <c r="H18" s="2">
        <v>8.6999999999999994E-2</v>
      </c>
      <c r="I18" s="2"/>
      <c r="J18" s="2">
        <f t="shared" si="0"/>
        <v>-5.0000000000004263E-2</v>
      </c>
    </row>
    <row r="19" spans="1:10" x14ac:dyDescent="0.25">
      <c r="A19" s="1">
        <v>0.67672453703703705</v>
      </c>
      <c r="B19" s="3">
        <v>257.39999999999998</v>
      </c>
      <c r="C19" s="2">
        <v>33.356999999999999</v>
      </c>
      <c r="F19" s="3"/>
      <c r="G19" s="2"/>
      <c r="H19" s="2"/>
      <c r="I19" s="2"/>
      <c r="J19" s="2"/>
    </row>
    <row r="20" spans="1:10" x14ac:dyDescent="0.25">
      <c r="A20" s="1">
        <v>0.69385416666666666</v>
      </c>
      <c r="B20" s="3">
        <v>261.89999999999998</v>
      </c>
      <c r="C20" s="2">
        <v>33.94</v>
      </c>
      <c r="E20" s="1">
        <v>0.69365740740740733</v>
      </c>
      <c r="F20" s="3">
        <v>250.4</v>
      </c>
      <c r="G20" s="2">
        <v>33.795999999999999</v>
      </c>
      <c r="H20" s="2">
        <v>0.192</v>
      </c>
      <c r="I20" s="2"/>
      <c r="J20" s="2">
        <f t="shared" si="0"/>
        <v>0.14399999999999835</v>
      </c>
    </row>
    <row r="21" spans="1:10" x14ac:dyDescent="0.25">
      <c r="A21" s="1">
        <v>0.6974999999999999</v>
      </c>
      <c r="B21" s="3">
        <v>262.39999999999998</v>
      </c>
      <c r="C21" s="2">
        <v>34.003999999999998</v>
      </c>
      <c r="E21" s="1">
        <v>0.69731481481481483</v>
      </c>
      <c r="F21" s="3">
        <v>251.5</v>
      </c>
      <c r="G21" s="2">
        <v>33.944000000000003</v>
      </c>
      <c r="H21" s="2">
        <v>0.186</v>
      </c>
      <c r="I21" s="2"/>
      <c r="J21" s="2">
        <f t="shared" si="0"/>
        <v>5.9999999999995168E-2</v>
      </c>
    </row>
    <row r="22" spans="1:10" x14ac:dyDescent="0.25">
      <c r="A22" s="1">
        <v>0.70556712962962964</v>
      </c>
      <c r="B22" s="3">
        <v>260</v>
      </c>
      <c r="C22" s="2">
        <v>33.692999999999998</v>
      </c>
      <c r="E22" s="1">
        <v>0.70537037037037031</v>
      </c>
      <c r="F22" s="3">
        <v>250.5</v>
      </c>
      <c r="G22" s="2">
        <v>33.819000000000003</v>
      </c>
      <c r="H22" s="2">
        <v>0.122</v>
      </c>
      <c r="I22" s="2"/>
      <c r="J22" s="2">
        <f t="shared" si="0"/>
        <v>-0.12600000000000477</v>
      </c>
    </row>
    <row r="23" spans="1:10" x14ac:dyDescent="0.25">
      <c r="B23" s="3"/>
      <c r="C23" s="2"/>
      <c r="E23" s="1">
        <v>0.72585648148148152</v>
      </c>
      <c r="F23" s="3">
        <v>250.5</v>
      </c>
      <c r="G23" s="2">
        <v>33.356999999999999</v>
      </c>
      <c r="H23" s="2">
        <v>7.1999999999999995E-2</v>
      </c>
      <c r="I23" s="2"/>
      <c r="J23" s="2"/>
    </row>
    <row r="24" spans="1:10" x14ac:dyDescent="0.25">
      <c r="A24" s="1">
        <v>0.73237268518518517</v>
      </c>
      <c r="B24" s="3">
        <v>260.8</v>
      </c>
      <c r="C24" s="2">
        <v>33.793999999999997</v>
      </c>
      <c r="E24" s="1">
        <v>0.73217592592592595</v>
      </c>
      <c r="F24" s="3">
        <v>251.5</v>
      </c>
      <c r="G24" s="2">
        <v>33.953000000000003</v>
      </c>
      <c r="H24" s="2">
        <v>0.156</v>
      </c>
      <c r="I24" s="2"/>
      <c r="J24" s="2">
        <f t="shared" si="0"/>
        <v>-0.15900000000000603</v>
      </c>
    </row>
    <row r="25" spans="1:10" x14ac:dyDescent="0.25">
      <c r="E25" s="1"/>
      <c r="H25" s="2"/>
    </row>
    <row r="26" spans="1:10" x14ac:dyDescent="0.25">
      <c r="E26" s="1"/>
      <c r="H26" s="2"/>
      <c r="I26" t="s">
        <v>6</v>
      </c>
      <c r="J26" s="2">
        <f>MIN(J3:J24)</f>
        <v>-0.57800000000000296</v>
      </c>
    </row>
    <row r="27" spans="1:10" x14ac:dyDescent="0.25">
      <c r="E27" s="1"/>
      <c r="H27" s="2"/>
      <c r="I27" t="s">
        <v>7</v>
      </c>
      <c r="J27" s="2">
        <f>AVERAGE(J3:J24)</f>
        <v>-0.17027777777777883</v>
      </c>
    </row>
    <row r="28" spans="1:10" x14ac:dyDescent="0.25">
      <c r="I28" t="s">
        <v>8</v>
      </c>
      <c r="J28" s="2">
        <f>MAX(J3:J24)</f>
        <v>0.14399999999999835</v>
      </c>
    </row>
    <row r="29" spans="1:10" x14ac:dyDescent="0.25">
      <c r="J29" s="2"/>
    </row>
    <row r="30" spans="1:10" s="4" customFormat="1" x14ac:dyDescent="0.25">
      <c r="A30" s="4" t="s">
        <v>0</v>
      </c>
      <c r="C30" s="4" t="s">
        <v>5</v>
      </c>
      <c r="E30" s="4" t="s">
        <v>9</v>
      </c>
      <c r="G30" s="4" t="s">
        <v>4</v>
      </c>
      <c r="J30" s="4" t="s">
        <v>12</v>
      </c>
    </row>
    <row r="31" spans="1:10" s="4" customFormat="1" x14ac:dyDescent="0.25">
      <c r="A31" s="4" t="s">
        <v>1</v>
      </c>
      <c r="B31" s="4" t="s">
        <v>2</v>
      </c>
      <c r="C31" s="4" t="s">
        <v>3</v>
      </c>
      <c r="E31" s="4" t="s">
        <v>1</v>
      </c>
      <c r="F31" s="4" t="s">
        <v>2</v>
      </c>
      <c r="G31" s="4" t="s">
        <v>3</v>
      </c>
      <c r="H31" s="5" t="s">
        <v>10</v>
      </c>
    </row>
    <row r="32" spans="1:10" x14ac:dyDescent="0.25">
      <c r="A32" s="1">
        <v>0.61059027777777775</v>
      </c>
      <c r="B32">
        <v>264.3</v>
      </c>
      <c r="C32" s="2">
        <v>34.247</v>
      </c>
      <c r="E32" s="1">
        <v>0.61057870370370371</v>
      </c>
      <c r="F32" s="3">
        <v>250.1</v>
      </c>
      <c r="G32" s="2">
        <v>34.237000000000002</v>
      </c>
      <c r="H32" s="2">
        <v>0.187</v>
      </c>
      <c r="I32" s="2"/>
      <c r="J32" s="2">
        <f>C32-G32</f>
        <v>9.9999999999980105E-3</v>
      </c>
    </row>
    <row r="33" spans="1:10" x14ac:dyDescent="0.25">
      <c r="A33" s="1">
        <v>0.61677083333333338</v>
      </c>
      <c r="B33">
        <v>250.3</v>
      </c>
      <c r="C33" s="2">
        <v>34.755000000000003</v>
      </c>
      <c r="E33" s="1">
        <v>0.61674768518518519</v>
      </c>
      <c r="F33" s="3">
        <v>250.9</v>
      </c>
      <c r="G33" s="2">
        <v>34.841000000000001</v>
      </c>
      <c r="H33" s="2">
        <v>0.11799999999999999</v>
      </c>
      <c r="I33" s="2"/>
      <c r="J33" s="2">
        <f>C33-G33</f>
        <v>-8.5999999999998522E-2</v>
      </c>
    </row>
    <row r="34" spans="1:10" x14ac:dyDescent="0.25">
      <c r="A34" s="1">
        <v>0.61862268518518515</v>
      </c>
      <c r="B34">
        <v>261.39999999999998</v>
      </c>
      <c r="C34" s="2">
        <v>33.869999999999997</v>
      </c>
      <c r="E34" s="1">
        <v>0.61859953703703707</v>
      </c>
      <c r="F34" s="3">
        <v>253.1</v>
      </c>
      <c r="G34" s="2">
        <v>33.692</v>
      </c>
      <c r="H34" s="2">
        <v>0.19800000000000001</v>
      </c>
      <c r="I34" s="2"/>
      <c r="J34" s="2">
        <f t="shared" ref="J34:J45" si="1">C34-G34</f>
        <v>0.17799999999999727</v>
      </c>
    </row>
    <row r="35" spans="1:10" x14ac:dyDescent="0.25">
      <c r="A35" s="1">
        <v>0.62292824074074071</v>
      </c>
      <c r="B35">
        <v>262.39999999999998</v>
      </c>
      <c r="C35" s="2">
        <v>34.005000000000003</v>
      </c>
      <c r="I35" s="2"/>
      <c r="J35" s="2"/>
    </row>
    <row r="36" spans="1:10" x14ac:dyDescent="0.25">
      <c r="A36" s="1">
        <v>0.62798611111111113</v>
      </c>
      <c r="B36">
        <v>258.5</v>
      </c>
      <c r="C36" s="2">
        <v>33.497999999999998</v>
      </c>
      <c r="E36" s="1">
        <v>0.62796296296296295</v>
      </c>
      <c r="F36" s="3">
        <v>251</v>
      </c>
      <c r="G36" s="2">
        <v>33.415999999999997</v>
      </c>
      <c r="H36" s="2">
        <v>0.14099999999999999</v>
      </c>
      <c r="I36" s="2"/>
      <c r="J36" s="2">
        <f t="shared" si="1"/>
        <v>8.2000000000000739E-2</v>
      </c>
    </row>
    <row r="37" spans="1:10" x14ac:dyDescent="0.25">
      <c r="A37" s="1">
        <v>0.63822916666666674</v>
      </c>
      <c r="B37">
        <v>265.7</v>
      </c>
      <c r="C37" s="2">
        <v>34.435000000000002</v>
      </c>
      <c r="E37" s="1">
        <v>0.63803240740740741</v>
      </c>
      <c r="F37" s="3">
        <v>251.1</v>
      </c>
      <c r="G37" s="2">
        <v>33.43</v>
      </c>
      <c r="H37" s="2">
        <v>0.11700000000000001</v>
      </c>
      <c r="I37" s="2"/>
      <c r="J37" s="2">
        <f t="shared" si="1"/>
        <v>1.0050000000000026</v>
      </c>
    </row>
    <row r="38" spans="1:10" x14ac:dyDescent="0.25">
      <c r="A38" s="1">
        <v>0.64075231481481476</v>
      </c>
      <c r="B38">
        <v>262.8</v>
      </c>
      <c r="C38" s="2">
        <v>34.055</v>
      </c>
      <c r="E38" s="1">
        <v>0.64055555555555554</v>
      </c>
      <c r="F38" s="3">
        <v>253</v>
      </c>
      <c r="G38" s="2">
        <v>34.155999999999999</v>
      </c>
      <c r="H38" s="2">
        <v>9.6000000000000002E-2</v>
      </c>
      <c r="I38" s="2"/>
      <c r="J38" s="2">
        <f t="shared" si="1"/>
        <v>-0.10099999999999909</v>
      </c>
    </row>
    <row r="39" spans="1:10" x14ac:dyDescent="0.25">
      <c r="A39" s="1">
        <v>0.64273148148148151</v>
      </c>
      <c r="B39">
        <v>258.8</v>
      </c>
      <c r="C39" s="2">
        <v>33.534999999999997</v>
      </c>
      <c r="E39" s="1">
        <v>0.64253472222222219</v>
      </c>
      <c r="F39" s="3">
        <v>251.6</v>
      </c>
      <c r="G39" s="2">
        <v>33.503999999999998</v>
      </c>
      <c r="H39" s="2">
        <v>0.155</v>
      </c>
      <c r="I39" s="2"/>
      <c r="J39" s="2">
        <f t="shared" si="1"/>
        <v>3.0999999999998806E-2</v>
      </c>
    </row>
    <row r="40" spans="1:10" x14ac:dyDescent="0.25">
      <c r="A40" s="1">
        <v>0.648900462962963</v>
      </c>
      <c r="B40">
        <v>264.5</v>
      </c>
      <c r="C40" s="2">
        <v>34.277999999999999</v>
      </c>
      <c r="E40" s="1">
        <v>0.64871527777777771</v>
      </c>
      <c r="F40" s="3">
        <v>251.7</v>
      </c>
      <c r="G40" s="2">
        <v>34.459000000000003</v>
      </c>
      <c r="H40" s="2">
        <v>0.16</v>
      </c>
      <c r="I40" s="2"/>
      <c r="J40" s="2">
        <f t="shared" si="1"/>
        <v>-0.18100000000000449</v>
      </c>
    </row>
    <row r="41" spans="1:10" x14ac:dyDescent="0.25">
      <c r="A41" s="1">
        <v>0.65123842592592596</v>
      </c>
      <c r="B41">
        <v>262.10000000000002</v>
      </c>
      <c r="C41" s="2">
        <v>33.97</v>
      </c>
      <c r="E41" s="1">
        <v>0.65105324074074067</v>
      </c>
      <c r="F41" s="3">
        <v>250.7</v>
      </c>
      <c r="G41" s="2">
        <v>33.377000000000002</v>
      </c>
      <c r="H41" s="2">
        <v>0.221</v>
      </c>
      <c r="I41" s="2"/>
      <c r="J41" s="2">
        <f t="shared" si="1"/>
        <v>0.59299999999999642</v>
      </c>
    </row>
    <row r="42" spans="1:10" x14ac:dyDescent="0.25">
      <c r="A42" s="1">
        <v>0.65560185185185182</v>
      </c>
      <c r="B42">
        <v>258.39999999999998</v>
      </c>
      <c r="C42" s="2">
        <v>33.487000000000002</v>
      </c>
      <c r="E42" s="1">
        <v>0.65540509259259261</v>
      </c>
      <c r="F42" s="3">
        <v>251.5</v>
      </c>
      <c r="G42" s="2">
        <v>33.484999999999999</v>
      </c>
      <c r="H42" s="2">
        <v>0.154</v>
      </c>
      <c r="I42" s="2"/>
      <c r="J42" s="2">
        <f t="shared" si="1"/>
        <v>2.0000000000024443E-3</v>
      </c>
    </row>
    <row r="43" spans="1:10" x14ac:dyDescent="0.25">
      <c r="A43" s="1">
        <v>0.65776620370370364</v>
      </c>
      <c r="B43">
        <v>252.5</v>
      </c>
      <c r="C43" s="2">
        <v>35.054000000000002</v>
      </c>
      <c r="E43" s="1">
        <v>0.65758101851851858</v>
      </c>
      <c r="F43" s="3">
        <v>252.5</v>
      </c>
      <c r="G43" s="2">
        <v>34.564999999999998</v>
      </c>
      <c r="H43" s="2">
        <v>0.191</v>
      </c>
      <c r="I43" s="2"/>
      <c r="J43" s="2">
        <f t="shared" si="1"/>
        <v>0.48900000000000432</v>
      </c>
    </row>
    <row r="44" spans="1:10" x14ac:dyDescent="0.25">
      <c r="A44" s="1">
        <v>0.65954861111111118</v>
      </c>
      <c r="B44">
        <v>251.4</v>
      </c>
      <c r="C44" s="2">
        <v>34.899000000000001</v>
      </c>
      <c r="E44" s="1">
        <v>0.65935185185185186</v>
      </c>
      <c r="F44" s="3">
        <v>252.9</v>
      </c>
      <c r="G44" s="2">
        <v>34.622</v>
      </c>
      <c r="H44" s="2">
        <v>0.14199999999999999</v>
      </c>
      <c r="I44" s="2"/>
      <c r="J44" s="2">
        <f t="shared" si="1"/>
        <v>0.27700000000000102</v>
      </c>
    </row>
    <row r="45" spans="1:10" x14ac:dyDescent="0.25">
      <c r="A45" s="1">
        <v>0.66186342592592595</v>
      </c>
      <c r="B45">
        <v>265.2</v>
      </c>
      <c r="C45" s="2">
        <v>34.365000000000002</v>
      </c>
      <c r="I45" s="2"/>
      <c r="J45" s="2"/>
    </row>
    <row r="46" spans="1:10" x14ac:dyDescent="0.25">
      <c r="A46" s="1">
        <v>0.67018518518518511</v>
      </c>
      <c r="B46">
        <v>259.39999999999998</v>
      </c>
      <c r="C46" s="2">
        <v>33.616</v>
      </c>
      <c r="E46" s="1">
        <v>0.669988425925926</v>
      </c>
      <c r="F46" s="3">
        <v>251.4</v>
      </c>
      <c r="G46" s="2">
        <v>33.472000000000001</v>
      </c>
      <c r="H46" s="2">
        <v>8.6999999999999994E-2</v>
      </c>
      <c r="I46" s="2"/>
      <c r="J46" s="2">
        <f t="shared" ref="J46:J51" si="2">C46-G46</f>
        <v>0.14399999999999835</v>
      </c>
    </row>
    <row r="47" spans="1:10" x14ac:dyDescent="0.25">
      <c r="A47" s="1">
        <v>0.67672453703703705</v>
      </c>
      <c r="B47">
        <v>258.5</v>
      </c>
      <c r="C47" s="2">
        <v>33.496000000000002</v>
      </c>
      <c r="I47" s="2"/>
      <c r="J47" s="2"/>
    </row>
    <row r="48" spans="1:10" x14ac:dyDescent="0.25">
      <c r="A48" s="1">
        <v>0.69386574074074081</v>
      </c>
      <c r="B48">
        <v>264</v>
      </c>
      <c r="C48" s="2">
        <v>34.216999999999999</v>
      </c>
      <c r="E48" s="1">
        <v>0.69365740740740733</v>
      </c>
      <c r="F48" s="3">
        <v>250.4</v>
      </c>
      <c r="G48" s="2">
        <v>33.795999999999999</v>
      </c>
      <c r="H48" s="2">
        <v>0.192</v>
      </c>
      <c r="I48" s="2"/>
      <c r="J48" s="2">
        <f t="shared" si="2"/>
        <v>0.42099999999999937</v>
      </c>
    </row>
    <row r="49" spans="1:10" x14ac:dyDescent="0.25">
      <c r="A49" s="1">
        <v>0.69751157407407405</v>
      </c>
      <c r="B49">
        <v>263.60000000000002</v>
      </c>
      <c r="C49" s="2">
        <v>34.164999999999999</v>
      </c>
      <c r="E49" s="1">
        <v>0.69731481481481483</v>
      </c>
      <c r="F49" s="3">
        <v>251.5</v>
      </c>
      <c r="G49" s="2">
        <v>33.944000000000003</v>
      </c>
      <c r="H49" s="2">
        <v>0.186</v>
      </c>
      <c r="I49" s="2"/>
      <c r="J49" s="2">
        <f t="shared" si="2"/>
        <v>0.22099999999999653</v>
      </c>
    </row>
    <row r="50" spans="1:10" x14ac:dyDescent="0.25">
      <c r="A50" s="1">
        <v>0.70556712962962964</v>
      </c>
      <c r="B50">
        <v>261.89999999999998</v>
      </c>
      <c r="C50" s="2">
        <v>33.938000000000002</v>
      </c>
      <c r="E50" s="1">
        <v>0.70537037037037031</v>
      </c>
      <c r="F50" s="3">
        <v>250.5</v>
      </c>
      <c r="G50" s="2">
        <v>33.819000000000003</v>
      </c>
      <c r="H50" s="2">
        <v>0.122</v>
      </c>
      <c r="I50" s="2"/>
      <c r="J50" s="2">
        <f t="shared" si="2"/>
        <v>0.11899999999999977</v>
      </c>
    </row>
    <row r="51" spans="1:10" x14ac:dyDescent="0.25">
      <c r="A51" s="1">
        <v>0.73237268518518517</v>
      </c>
      <c r="B51">
        <v>264.60000000000002</v>
      </c>
      <c r="C51" s="2">
        <v>34.295000000000002</v>
      </c>
      <c r="E51" s="1">
        <v>0.73217592592592595</v>
      </c>
      <c r="F51" s="3">
        <v>251.5</v>
      </c>
      <c r="G51" s="2">
        <v>33.953000000000003</v>
      </c>
      <c r="H51" s="2">
        <v>0.156</v>
      </c>
      <c r="I51" s="2"/>
      <c r="J51" s="2">
        <f t="shared" si="2"/>
        <v>0.34199999999999875</v>
      </c>
    </row>
    <row r="53" spans="1:10" x14ac:dyDescent="0.25">
      <c r="I53" t="s">
        <v>6</v>
      </c>
      <c r="J53" s="2">
        <f>MIN(J32:J51)</f>
        <v>-0.18100000000000449</v>
      </c>
    </row>
    <row r="54" spans="1:10" x14ac:dyDescent="0.25">
      <c r="I54" t="s">
        <v>7</v>
      </c>
      <c r="J54" s="2">
        <f>AVERAGE(J32:J51)</f>
        <v>0.20858823529411719</v>
      </c>
    </row>
    <row r="55" spans="1:10" x14ac:dyDescent="0.25">
      <c r="I55" t="s">
        <v>8</v>
      </c>
      <c r="J55" s="2">
        <f>MAX(J32:J51)</f>
        <v>1.0050000000000026</v>
      </c>
    </row>
  </sheetData>
  <sortState xmlns:xlrd2="http://schemas.microsoft.com/office/spreadsheetml/2017/richdata2" ref="E3:H22">
    <sortCondition ref="E3:E22"/>
  </sortState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20190924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2022-04-08T20:38:46Z</dcterms:created>
  <dcterms:modified xsi:type="dcterms:W3CDTF">2022-04-08T20:56:29Z</dcterms:modified>
</cp:coreProperties>
</file>