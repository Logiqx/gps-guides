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wgeo\Downloads\"/>
    </mc:Choice>
  </mc:AlternateContent>
  <xr:revisionPtr revIDLastSave="0" documentId="13_ncr:1_{C81E8233-D8B8-4774-BD98-06DD0B709C64}" xr6:coauthVersionLast="47" xr6:coauthVersionMax="47" xr10:uidLastSave="{00000000-0000-0000-0000-000000000000}"/>
  <bookViews>
    <workbookView xWindow="-120" yWindow="-120" windowWidth="29040" windowHeight="16440" xr2:uid="{046C6DF9-0C3A-4201-B682-F700123A8E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20" i="1" l="1"/>
  <c r="H20" i="1"/>
  <c r="G20" i="1"/>
  <c r="K17" i="1"/>
  <c r="J17" i="1"/>
  <c r="I17" i="1"/>
  <c r="H17" i="1"/>
  <c r="G17" i="1"/>
  <c r="F17" i="1"/>
  <c r="E17" i="1"/>
  <c r="D17" i="1"/>
  <c r="C17" i="1"/>
  <c r="K11" i="1"/>
  <c r="J11" i="1"/>
  <c r="I11" i="1"/>
  <c r="H11" i="1"/>
  <c r="G11" i="1"/>
  <c r="F11" i="1"/>
  <c r="F20" i="1" s="1"/>
  <c r="E11" i="1"/>
  <c r="E20" i="1" s="1"/>
  <c r="D11" i="1"/>
  <c r="D20" i="1" s="1"/>
  <c r="C11" i="1"/>
  <c r="C20" i="1" s="1"/>
  <c r="K5" i="1"/>
  <c r="K20" i="1" s="1"/>
  <c r="J5" i="1"/>
  <c r="J20" i="1" s="1"/>
  <c r="I5" i="1"/>
  <c r="H5" i="1"/>
  <c r="G5" i="1"/>
  <c r="F5" i="1"/>
  <c r="E5" i="1"/>
  <c r="D5" i="1"/>
  <c r="C5" i="1"/>
</calcChain>
</file>

<file path=xl/sharedStrings.xml><?xml version="1.0" encoding="utf-8"?>
<sst xmlns="http://schemas.openxmlformats.org/spreadsheetml/2006/main" count="49" uniqueCount="14">
  <si>
    <t>2 sec</t>
  </si>
  <si>
    <t>5 x 10s</t>
  </si>
  <si>
    <t>100m</t>
  </si>
  <si>
    <t>250m</t>
  </si>
  <si>
    <t>500m</t>
  </si>
  <si>
    <t>1852m</t>
  </si>
  <si>
    <t>1/2 hour</t>
  </si>
  <si>
    <t>alpha</t>
  </si>
  <si>
    <t>GP3S</t>
  </si>
  <si>
    <t>Doppler</t>
  </si>
  <si>
    <t>hour</t>
  </si>
  <si>
    <t>Diff</t>
  </si>
  <si>
    <t>Non-doppler</t>
  </si>
  <si>
    <t>Avg 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</si>
</sst>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2" fontId="0" fillId="0" borderId="0" xfId="0" applyNumberFormat="1"/>
    <xf numFmtId="2" fontId="0" fillId="0" borderId="0" xfId="0" applyNumberFormat="1" applyFill="1"/>
    <xf numFmtId="0" fontId="1" fillId="0" borderId="0" xfId="0" applyFont="1" applyAlignment="1">
      <alignment horizontal="right"/>
    </xf>
    <xf numFmtId="0" fontId="0" fillId="0" borderId="0" xfId="0" applyFont="1" applyAlignment="1">
      <alignment horizontal="right"/>
    </xf>
    <xf numFmtId="14" fontId="0" fillId="0" borderId="0" xfId="0" applyNumberFormat="1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aseline="0"/>
              <a:t>C</a:t>
            </a:r>
            <a:r>
              <a:rPr lang="en-GB"/>
              <a:t>omparison of non-Doppler and Doppler Speeds on Vivoactive 3</a:t>
            </a:r>
          </a:p>
          <a:p>
            <a:pPr>
              <a:defRPr/>
            </a:pPr>
            <a:r>
              <a:rPr lang="en-GB" sz="1200"/>
              <a:t>Positive values indicate non-Doppler speed</a:t>
            </a:r>
            <a:r>
              <a:rPr lang="en-GB" sz="1200" baseline="0"/>
              <a:t>s being higher</a:t>
            </a:r>
          </a:p>
          <a:p>
            <a:pPr>
              <a:defRPr/>
            </a:pPr>
            <a:r>
              <a:rPr lang="en-GB" sz="1200" baseline="0"/>
              <a:t>Summary: Posting results using the GPX would result in elevated speeds</a:t>
            </a:r>
            <a:endParaRPr lang="en-GB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Sheet1!$A$2</c:f>
              <c:strCache>
                <c:ptCount val="1"/>
                <c:pt idx="0">
                  <c:v>28/04/2021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Sheet1!$C$1:$K$1</c:f>
              <c:strCache>
                <c:ptCount val="9"/>
                <c:pt idx="0">
                  <c:v>2 sec</c:v>
                </c:pt>
                <c:pt idx="1">
                  <c:v>5 x 10s</c:v>
                </c:pt>
                <c:pt idx="2">
                  <c:v>100m</c:v>
                </c:pt>
                <c:pt idx="3">
                  <c:v>250m</c:v>
                </c:pt>
                <c:pt idx="4">
                  <c:v>500m</c:v>
                </c:pt>
                <c:pt idx="5">
                  <c:v>1852m</c:v>
                </c:pt>
                <c:pt idx="6">
                  <c:v>1/2 hour</c:v>
                </c:pt>
                <c:pt idx="7">
                  <c:v>hour</c:v>
                </c:pt>
                <c:pt idx="8">
                  <c:v>alpha</c:v>
                </c:pt>
              </c:strCache>
            </c:strRef>
          </c:cat>
          <c:val>
            <c:numRef>
              <c:f>Sheet1!$C$5:$K$5</c:f>
              <c:numCache>
                <c:formatCode>0.00</c:formatCode>
                <c:ptCount val="9"/>
                <c:pt idx="0">
                  <c:v>0.53500000000000014</c:v>
                </c:pt>
                <c:pt idx="1">
                  <c:v>0.35000000000000142</c:v>
                </c:pt>
                <c:pt idx="2">
                  <c:v>0.60700000000000287</c:v>
                </c:pt>
                <c:pt idx="3">
                  <c:v>0.57000000000000028</c:v>
                </c:pt>
                <c:pt idx="4">
                  <c:v>0.47000000000000242</c:v>
                </c:pt>
                <c:pt idx="5">
                  <c:v>0.21999999999999886</c:v>
                </c:pt>
                <c:pt idx="6">
                  <c:v>0.80100000000000016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37-47D9-85A1-AC70C48BEF9B}"/>
            </c:ext>
          </c:extLst>
        </c:ser>
        <c:ser>
          <c:idx val="1"/>
          <c:order val="1"/>
          <c:tx>
            <c:strRef>
              <c:f>Sheet1!$A$8</c:f>
              <c:strCache>
                <c:ptCount val="1"/>
                <c:pt idx="0">
                  <c:v>05/05/2021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Sheet1!$C$1:$K$1</c:f>
              <c:strCache>
                <c:ptCount val="9"/>
                <c:pt idx="0">
                  <c:v>2 sec</c:v>
                </c:pt>
                <c:pt idx="1">
                  <c:v>5 x 10s</c:v>
                </c:pt>
                <c:pt idx="2">
                  <c:v>100m</c:v>
                </c:pt>
                <c:pt idx="3">
                  <c:v>250m</c:v>
                </c:pt>
                <c:pt idx="4">
                  <c:v>500m</c:v>
                </c:pt>
                <c:pt idx="5">
                  <c:v>1852m</c:v>
                </c:pt>
                <c:pt idx="6">
                  <c:v>1/2 hour</c:v>
                </c:pt>
                <c:pt idx="7">
                  <c:v>hour</c:v>
                </c:pt>
                <c:pt idx="8">
                  <c:v>alpha</c:v>
                </c:pt>
              </c:strCache>
            </c:strRef>
          </c:cat>
          <c:val>
            <c:numRef>
              <c:f>Sheet1!$C$11:$K$11</c:f>
              <c:numCache>
                <c:formatCode>0.00</c:formatCode>
                <c:ptCount val="9"/>
                <c:pt idx="0">
                  <c:v>0.21000000000000085</c:v>
                </c:pt>
                <c:pt idx="1">
                  <c:v>0.42000000000000171</c:v>
                </c:pt>
                <c:pt idx="2">
                  <c:v>0.25999999999999801</c:v>
                </c:pt>
                <c:pt idx="3">
                  <c:v>0.41400000000000148</c:v>
                </c:pt>
                <c:pt idx="4">
                  <c:v>0.32700000000000173</c:v>
                </c:pt>
                <c:pt idx="5">
                  <c:v>0.32999999999999829</c:v>
                </c:pt>
                <c:pt idx="6">
                  <c:v>0.19999999999999929</c:v>
                </c:pt>
                <c:pt idx="7">
                  <c:v>0.32299999999999862</c:v>
                </c:pt>
                <c:pt idx="8">
                  <c:v>0.35000000000000142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37-47D9-85A1-AC70C48BEF9B}"/>
            </c:ext>
          </c:extLst>
        </c:ser>
        <c:ser>
          <c:idx val="2"/>
          <c:order val="2"/>
          <c:tx>
            <c:strRef>
              <c:f>Sheet1!$A$14</c:f>
              <c:strCache>
                <c:ptCount val="1"/>
                <c:pt idx="0">
                  <c:v>22/05/2021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Sheet1!$C$1:$K$1</c:f>
              <c:strCache>
                <c:ptCount val="9"/>
                <c:pt idx="0">
                  <c:v>2 sec</c:v>
                </c:pt>
                <c:pt idx="1">
                  <c:v>5 x 10s</c:v>
                </c:pt>
                <c:pt idx="2">
                  <c:v>100m</c:v>
                </c:pt>
                <c:pt idx="3">
                  <c:v>250m</c:v>
                </c:pt>
                <c:pt idx="4">
                  <c:v>500m</c:v>
                </c:pt>
                <c:pt idx="5">
                  <c:v>1852m</c:v>
                </c:pt>
                <c:pt idx="6">
                  <c:v>1/2 hour</c:v>
                </c:pt>
                <c:pt idx="7">
                  <c:v>hour</c:v>
                </c:pt>
                <c:pt idx="8">
                  <c:v>alpha</c:v>
                </c:pt>
              </c:strCache>
            </c:strRef>
          </c:cat>
          <c:val>
            <c:numRef>
              <c:f>Sheet1!$C$17:$K$17</c:f>
              <c:numCache>
                <c:formatCode>0.00</c:formatCode>
                <c:ptCount val="9"/>
                <c:pt idx="0">
                  <c:v>2.8999999999999915E-2</c:v>
                </c:pt>
                <c:pt idx="1">
                  <c:v>0.21300000000000097</c:v>
                </c:pt>
                <c:pt idx="2">
                  <c:v>0.18999999999999773</c:v>
                </c:pt>
                <c:pt idx="3">
                  <c:v>0.14999999999999858</c:v>
                </c:pt>
                <c:pt idx="4">
                  <c:v>0.17099999999999937</c:v>
                </c:pt>
                <c:pt idx="5">
                  <c:v>0.25499999999999901</c:v>
                </c:pt>
                <c:pt idx="6">
                  <c:v>0.17900000000000205</c:v>
                </c:pt>
                <c:pt idx="7">
                  <c:v>0.1169999999999991</c:v>
                </c:pt>
                <c:pt idx="8">
                  <c:v>0.37200000000000166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B37-47D9-85A1-AC70C48BEF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07993631"/>
        <c:axId val="1807991551"/>
      </c:barChart>
      <c:catAx>
        <c:axId val="1807993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7991551"/>
        <c:crosses val="autoZero"/>
        <c:auto val="1"/>
        <c:lblAlgn val="ctr"/>
        <c:lblOffset val="100"/>
        <c:noMultiLvlLbl val="0"/>
      </c:catAx>
      <c:valAx>
        <c:axId val="1807991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79936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9525</xdr:colOff>
      <xdr:row>0</xdr:row>
      <xdr:rowOff>80962</xdr:rowOff>
    </xdr:from>
    <xdr:to>
      <xdr:col>22</xdr:col>
      <xdr:colOff>238125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DC1CBD-26A4-4D34-8554-4FA11E8925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D14F9-80AC-4BF9-9693-702CAFED5809}">
  <dimension ref="A1:K20"/>
  <sheetViews>
    <sheetView tabSelected="1" workbookViewId="0">
      <selection activeCell="O23" sqref="O23"/>
    </sheetView>
  </sheetViews>
  <sheetFormatPr defaultRowHeight="15" x14ac:dyDescent="0.25"/>
  <cols>
    <col min="1" max="1" width="10.7109375" bestFit="1" customWidth="1"/>
    <col min="2" max="2" width="12.42578125" style="7" bestFit="1" customWidth="1"/>
  </cols>
  <sheetData>
    <row r="1" spans="1:11" s="4" customFormat="1" x14ac:dyDescent="0.25">
      <c r="B1" s="5"/>
      <c r="C1" s="4" t="s">
        <v>0</v>
      </c>
      <c r="D1" s="4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4" t="s">
        <v>10</v>
      </c>
      <c r="K1" s="4" t="s">
        <v>7</v>
      </c>
    </row>
    <row r="2" spans="1:11" x14ac:dyDescent="0.25">
      <c r="A2" s="1">
        <v>44314</v>
      </c>
      <c r="B2" s="6" t="s">
        <v>8</v>
      </c>
      <c r="C2" s="2">
        <v>29.11</v>
      </c>
      <c r="D2" s="2">
        <v>27.28</v>
      </c>
      <c r="E2" s="2">
        <v>28.82</v>
      </c>
      <c r="F2" s="2">
        <v>28.46</v>
      </c>
      <c r="G2" s="2">
        <v>27.53</v>
      </c>
      <c r="H2" s="2">
        <v>24.89</v>
      </c>
      <c r="I2" s="2">
        <v>12.45</v>
      </c>
      <c r="J2" s="2">
        <v>0</v>
      </c>
      <c r="K2" s="2">
        <v>17.18</v>
      </c>
    </row>
    <row r="3" spans="1:11" x14ac:dyDescent="0.25">
      <c r="A3" s="1"/>
      <c r="B3" s="6" t="s">
        <v>12</v>
      </c>
      <c r="C3" s="2">
        <v>29.125</v>
      </c>
      <c r="D3" s="2">
        <v>27.28</v>
      </c>
      <c r="E3" s="2">
        <v>28.827000000000002</v>
      </c>
      <c r="F3" s="2">
        <v>28.46</v>
      </c>
      <c r="G3" s="2">
        <v>27.53</v>
      </c>
      <c r="H3" s="2">
        <v>24.89</v>
      </c>
      <c r="I3" s="2">
        <v>12.381</v>
      </c>
      <c r="J3" s="2">
        <v>0</v>
      </c>
      <c r="K3" s="2">
        <v>0</v>
      </c>
    </row>
    <row r="4" spans="1:11" x14ac:dyDescent="0.25">
      <c r="A4" s="1"/>
      <c r="B4" s="6" t="s">
        <v>9</v>
      </c>
      <c r="C4" s="2">
        <v>28.59</v>
      </c>
      <c r="D4" s="2">
        <v>26.93</v>
      </c>
      <c r="E4" s="2">
        <v>28.22</v>
      </c>
      <c r="F4" s="2">
        <v>27.89</v>
      </c>
      <c r="G4" s="2">
        <v>27.06</v>
      </c>
      <c r="H4" s="2">
        <v>24.67</v>
      </c>
      <c r="I4" s="2">
        <v>11.58</v>
      </c>
      <c r="J4" s="3">
        <v>0</v>
      </c>
      <c r="K4" s="2">
        <v>0</v>
      </c>
    </row>
    <row r="5" spans="1:11" x14ac:dyDescent="0.25">
      <c r="A5" s="1"/>
      <c r="B5" s="6" t="s">
        <v>11</v>
      </c>
      <c r="C5" s="2">
        <f>C3-C4</f>
        <v>0.53500000000000014</v>
      </c>
      <c r="D5" s="2">
        <f t="shared" ref="D5:K5" si="0">D3-D4</f>
        <v>0.35000000000000142</v>
      </c>
      <c r="E5" s="2">
        <f t="shared" si="0"/>
        <v>0.60700000000000287</v>
      </c>
      <c r="F5" s="2">
        <f t="shared" si="0"/>
        <v>0.57000000000000028</v>
      </c>
      <c r="G5" s="2">
        <f t="shared" si="0"/>
        <v>0.47000000000000242</v>
      </c>
      <c r="H5" s="2">
        <f t="shared" si="0"/>
        <v>0.21999999999999886</v>
      </c>
      <c r="I5" s="2">
        <f t="shared" si="0"/>
        <v>0.80100000000000016</v>
      </c>
      <c r="J5" s="2">
        <f t="shared" si="0"/>
        <v>0</v>
      </c>
      <c r="K5" s="2">
        <f t="shared" si="0"/>
        <v>0</v>
      </c>
    </row>
    <row r="6" spans="1:11" x14ac:dyDescent="0.25">
      <c r="A6" s="1"/>
      <c r="B6" s="6"/>
      <c r="C6" s="2"/>
      <c r="D6" s="2"/>
      <c r="E6" s="2"/>
      <c r="F6" s="2"/>
      <c r="G6" s="2"/>
      <c r="H6" s="2"/>
      <c r="I6" s="2"/>
      <c r="J6" s="2"/>
    </row>
    <row r="7" spans="1:11" s="4" customFormat="1" x14ac:dyDescent="0.25">
      <c r="B7" s="5"/>
      <c r="C7" s="4" t="s">
        <v>0</v>
      </c>
      <c r="D7" s="4" t="s">
        <v>1</v>
      </c>
      <c r="E7" s="4" t="s">
        <v>2</v>
      </c>
      <c r="F7" s="4" t="s">
        <v>3</v>
      </c>
      <c r="G7" s="4" t="s">
        <v>4</v>
      </c>
      <c r="H7" s="4" t="s">
        <v>5</v>
      </c>
      <c r="I7" s="4" t="s">
        <v>6</v>
      </c>
      <c r="J7" s="4" t="s">
        <v>10</v>
      </c>
      <c r="K7" s="4" t="s">
        <v>7</v>
      </c>
    </row>
    <row r="8" spans="1:11" x14ac:dyDescent="0.25">
      <c r="A8" s="1">
        <v>44321</v>
      </c>
      <c r="B8" s="6" t="s">
        <v>8</v>
      </c>
      <c r="C8" s="2">
        <v>29.86</v>
      </c>
      <c r="D8" s="2">
        <v>29.19</v>
      </c>
      <c r="E8" s="2">
        <v>29.54</v>
      </c>
      <c r="F8" s="2">
        <v>29.39</v>
      </c>
      <c r="G8" s="2">
        <v>28.32</v>
      </c>
      <c r="H8" s="2">
        <v>26.08</v>
      </c>
      <c r="I8" s="2">
        <v>17.239999999999998</v>
      </c>
      <c r="J8" s="2">
        <v>15.94</v>
      </c>
      <c r="K8" s="2">
        <v>20.12</v>
      </c>
    </row>
    <row r="9" spans="1:11" x14ac:dyDescent="0.25">
      <c r="A9" s="1"/>
      <c r="B9" s="6" t="s">
        <v>12</v>
      </c>
      <c r="C9" s="2">
        <v>29.86</v>
      </c>
      <c r="D9" s="2">
        <v>29.19</v>
      </c>
      <c r="E9" s="2">
        <v>29.54</v>
      </c>
      <c r="F9" s="2">
        <v>29.39</v>
      </c>
      <c r="G9" s="2">
        <v>28.32</v>
      </c>
      <c r="H9" s="2">
        <v>26.08</v>
      </c>
      <c r="I9" s="2">
        <v>17.239999999999998</v>
      </c>
      <c r="J9" s="2">
        <v>15.94</v>
      </c>
      <c r="K9" s="2">
        <v>20.12</v>
      </c>
    </row>
    <row r="10" spans="1:11" x14ac:dyDescent="0.25">
      <c r="A10" s="1"/>
      <c r="B10" s="6" t="s">
        <v>9</v>
      </c>
      <c r="C10" s="2">
        <v>29.65</v>
      </c>
      <c r="D10" s="2">
        <v>28.77</v>
      </c>
      <c r="E10" s="2">
        <v>29.28</v>
      </c>
      <c r="F10" s="2">
        <v>28.975999999999999</v>
      </c>
      <c r="G10" s="2">
        <v>27.992999999999999</v>
      </c>
      <c r="H10" s="2">
        <v>25.75</v>
      </c>
      <c r="I10" s="2">
        <v>17.04</v>
      </c>
      <c r="J10" s="2">
        <v>15.617000000000001</v>
      </c>
      <c r="K10" s="2">
        <v>19.77</v>
      </c>
    </row>
    <row r="11" spans="1:11" x14ac:dyDescent="0.25">
      <c r="A11" s="1"/>
      <c r="B11" s="6" t="s">
        <v>11</v>
      </c>
      <c r="C11" s="2">
        <f t="shared" ref="C11:K11" si="1">C9-C10</f>
        <v>0.21000000000000085</v>
      </c>
      <c r="D11" s="2">
        <f t="shared" si="1"/>
        <v>0.42000000000000171</v>
      </c>
      <c r="E11" s="2">
        <f t="shared" si="1"/>
        <v>0.25999999999999801</v>
      </c>
      <c r="F11" s="2">
        <f t="shared" si="1"/>
        <v>0.41400000000000148</v>
      </c>
      <c r="G11" s="2">
        <f t="shared" si="1"/>
        <v>0.32700000000000173</v>
      </c>
      <c r="H11" s="2">
        <f t="shared" si="1"/>
        <v>0.32999999999999829</v>
      </c>
      <c r="I11" s="2">
        <f t="shared" si="1"/>
        <v>0.19999999999999929</v>
      </c>
      <c r="J11" s="2">
        <f t="shared" si="1"/>
        <v>0.32299999999999862</v>
      </c>
      <c r="K11" s="2">
        <f t="shared" si="1"/>
        <v>0.35000000000000142</v>
      </c>
    </row>
    <row r="12" spans="1:11" x14ac:dyDescent="0.25">
      <c r="A12" s="1"/>
      <c r="B12" s="6"/>
      <c r="C12" s="2"/>
      <c r="D12" s="2"/>
      <c r="E12" s="2"/>
      <c r="F12" s="2"/>
      <c r="G12" s="2"/>
      <c r="H12" s="2"/>
      <c r="I12" s="2"/>
      <c r="J12" s="2"/>
      <c r="K12" s="2"/>
    </row>
    <row r="13" spans="1:11" s="4" customFormat="1" x14ac:dyDescent="0.25">
      <c r="B13" s="5"/>
      <c r="C13" s="4" t="s">
        <v>0</v>
      </c>
      <c r="D13" s="4" t="s">
        <v>1</v>
      </c>
      <c r="E13" s="4" t="s">
        <v>2</v>
      </c>
      <c r="F13" s="4" t="s">
        <v>3</v>
      </c>
      <c r="G13" s="4" t="s">
        <v>4</v>
      </c>
      <c r="H13" s="4" t="s">
        <v>5</v>
      </c>
      <c r="I13" s="4" t="s">
        <v>6</v>
      </c>
      <c r="J13" s="4" t="s">
        <v>10</v>
      </c>
      <c r="K13" s="4" t="s">
        <v>7</v>
      </c>
    </row>
    <row r="14" spans="1:11" x14ac:dyDescent="0.25">
      <c r="A14" s="1">
        <v>44338</v>
      </c>
      <c r="B14" s="6" t="s">
        <v>8</v>
      </c>
      <c r="C14" s="2">
        <v>30.27</v>
      </c>
      <c r="D14" s="2">
        <v>27.972000000000001</v>
      </c>
      <c r="E14" s="2">
        <v>30.15</v>
      </c>
      <c r="F14" s="2">
        <v>29.86</v>
      </c>
      <c r="G14" s="2">
        <v>28.89</v>
      </c>
      <c r="H14" s="2">
        <v>23.81</v>
      </c>
      <c r="I14" s="2">
        <v>16.48</v>
      </c>
      <c r="J14" s="2">
        <v>11.93</v>
      </c>
      <c r="K14" s="2">
        <v>18.59</v>
      </c>
    </row>
    <row r="15" spans="1:11" x14ac:dyDescent="0.25">
      <c r="B15" s="6" t="s">
        <v>12</v>
      </c>
      <c r="C15" s="2">
        <v>30.228000000000002</v>
      </c>
      <c r="D15" s="2">
        <v>27.972000000000001</v>
      </c>
      <c r="E15" s="2">
        <v>30.15</v>
      </c>
      <c r="F15" s="2">
        <v>29.86</v>
      </c>
      <c r="G15" s="2">
        <v>28.89</v>
      </c>
      <c r="H15" s="2">
        <v>23.81</v>
      </c>
      <c r="I15" s="2">
        <v>16.48</v>
      </c>
      <c r="J15" s="2">
        <v>9.4369999999999994</v>
      </c>
      <c r="K15" s="2">
        <v>15.742000000000001</v>
      </c>
    </row>
    <row r="16" spans="1:11" x14ac:dyDescent="0.25">
      <c r="B16" s="6" t="s">
        <v>9</v>
      </c>
      <c r="C16" s="2">
        <v>30.199000000000002</v>
      </c>
      <c r="D16" s="2">
        <v>27.759</v>
      </c>
      <c r="E16" s="2">
        <v>29.96</v>
      </c>
      <c r="F16" s="2">
        <v>29.71</v>
      </c>
      <c r="G16" s="2">
        <v>28.719000000000001</v>
      </c>
      <c r="H16" s="2">
        <v>23.555</v>
      </c>
      <c r="I16" s="2">
        <v>16.300999999999998</v>
      </c>
      <c r="J16" s="2">
        <v>9.32</v>
      </c>
      <c r="K16" s="2">
        <v>15.37</v>
      </c>
    </row>
    <row r="17" spans="2:11" x14ac:dyDescent="0.25">
      <c r="B17" s="6" t="s">
        <v>11</v>
      </c>
      <c r="C17" s="2">
        <f t="shared" ref="C17:K17" si="2">C15-C16</f>
        <v>2.8999999999999915E-2</v>
      </c>
      <c r="D17" s="2">
        <f t="shared" si="2"/>
        <v>0.21300000000000097</v>
      </c>
      <c r="E17" s="2">
        <f t="shared" si="2"/>
        <v>0.18999999999999773</v>
      </c>
      <c r="F17" s="2">
        <f t="shared" si="2"/>
        <v>0.14999999999999858</v>
      </c>
      <c r="G17" s="2">
        <f t="shared" si="2"/>
        <v>0.17099999999999937</v>
      </c>
      <c r="H17" s="2">
        <f t="shared" si="2"/>
        <v>0.25499999999999901</v>
      </c>
      <c r="I17" s="2">
        <f t="shared" si="2"/>
        <v>0.17900000000000205</v>
      </c>
      <c r="J17" s="2">
        <f t="shared" si="2"/>
        <v>0.1169999999999991</v>
      </c>
      <c r="K17" s="2">
        <f t="shared" si="2"/>
        <v>0.37200000000000166</v>
      </c>
    </row>
    <row r="19" spans="2:11" s="4" customFormat="1" x14ac:dyDescent="0.25">
      <c r="B19" s="5"/>
      <c r="C19" s="4" t="s">
        <v>0</v>
      </c>
      <c r="D19" s="4" t="s">
        <v>1</v>
      </c>
      <c r="E19" s="4" t="s">
        <v>2</v>
      </c>
      <c r="F19" s="4" t="s">
        <v>3</v>
      </c>
      <c r="G19" s="4" t="s">
        <v>4</v>
      </c>
      <c r="H19" s="4" t="s">
        <v>5</v>
      </c>
      <c r="I19" s="4" t="s">
        <v>6</v>
      </c>
      <c r="J19" s="4" t="s">
        <v>10</v>
      </c>
      <c r="K19" s="4" t="s">
        <v>7</v>
      </c>
    </row>
    <row r="20" spans="2:11" x14ac:dyDescent="0.25">
      <c r="B20" s="6" t="s">
        <v>13</v>
      </c>
      <c r="C20" s="2">
        <f>AVERAGE(C5,C11,C17)</f>
        <v>0.25800000000000028</v>
      </c>
      <c r="D20" s="2">
        <f t="shared" ref="D20:K20" si="3">AVERAGE(D5,D11,D17)</f>
        <v>0.32766666666666805</v>
      </c>
      <c r="E20" s="2">
        <f t="shared" si="3"/>
        <v>0.35233333333333289</v>
      </c>
      <c r="F20" s="2">
        <f t="shared" si="3"/>
        <v>0.37800000000000011</v>
      </c>
      <c r="G20" s="2">
        <f t="shared" si="3"/>
        <v>0.32266666666666782</v>
      </c>
      <c r="H20" s="2">
        <f t="shared" si="3"/>
        <v>0.26833333333333204</v>
      </c>
      <c r="I20" s="2">
        <f t="shared" si="3"/>
        <v>0.39333333333333381</v>
      </c>
      <c r="J20" s="2">
        <f t="shared" si="3"/>
        <v>0.14666666666666592</v>
      </c>
      <c r="K20" s="2">
        <f t="shared" si="3"/>
        <v>0.24066666666666769</v>
      </c>
    </row>
  </sheetData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George</dc:creator>
  <cp:lastModifiedBy>Michael George</cp:lastModifiedBy>
  <dcterms:created xsi:type="dcterms:W3CDTF">2022-04-24T19:41:51Z</dcterms:created>
  <dcterms:modified xsi:type="dcterms:W3CDTF">2022-04-24T20:41:09Z</dcterms:modified>
</cp:coreProperties>
</file>