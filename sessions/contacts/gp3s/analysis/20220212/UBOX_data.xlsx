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JH test\Ublox proto\"/>
    </mc:Choice>
  </mc:AlternateContent>
  <xr:revisionPtr revIDLastSave="0" documentId="13_ncr:1_{B103EB44-AA34-4D5B-A16C-D61AE27596B9}" xr6:coauthVersionLast="47" xr6:coauthVersionMax="47" xr10:uidLastSave="{00000000-0000-0000-0000-000000000000}"/>
  <bookViews>
    <workbookView xWindow="-110" yWindow="-110" windowWidth="38620" windowHeight="21220" xr2:uid="{1FBAC1E4-8DCA-490E-BB21-9C5ACE24FDAC}"/>
  </bookViews>
  <sheets>
    <sheet name="Blad1" sheetId="1" r:id="rId1"/>
    <sheet name="Blad2" sheetId="2" r:id="rId2"/>
    <sheet name="Blad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4" i="1" l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4" i="1"/>
  <c r="N4" i="1" s="1"/>
</calcChain>
</file>

<file path=xl/sharedStrings.xml><?xml version="1.0" encoding="utf-8"?>
<sst xmlns="http://schemas.openxmlformats.org/spreadsheetml/2006/main" count="2477" uniqueCount="822">
  <si>
    <t>10:42:47.200</t>
  </si>
  <si>
    <t>0.100</t>
  </si>
  <si>
    <t xml:space="preserve"> 0.36</t>
  </si>
  <si>
    <t xml:space="preserve"> 2.9</t>
  </si>
  <si>
    <t>0.12</t>
  </si>
  <si>
    <t>53.3</t>
  </si>
  <si>
    <t>10:42:47.300</t>
  </si>
  <si>
    <t xml:space="preserve"> 0.41</t>
  </si>
  <si>
    <t xml:space="preserve"> 4.6</t>
  </si>
  <si>
    <t>53.2</t>
  </si>
  <si>
    <t>10:42:47.400</t>
  </si>
  <si>
    <t xml:space="preserve"> 0.42</t>
  </si>
  <si>
    <t xml:space="preserve"> 1.0</t>
  </si>
  <si>
    <t>10:42:47.500</t>
  </si>
  <si>
    <t xml:space="preserve"> 0.46</t>
  </si>
  <si>
    <t xml:space="preserve"> 4.2</t>
  </si>
  <si>
    <t>10:42:47.600</t>
  </si>
  <si>
    <t xml:space="preserve"> 0.48</t>
  </si>
  <si>
    <t xml:space="preserve"> 2.3</t>
  </si>
  <si>
    <t>10:42:47.700</t>
  </si>
  <si>
    <t xml:space="preserve"> 0.53</t>
  </si>
  <si>
    <t>10:42:47.800</t>
  </si>
  <si>
    <t xml:space="preserve"> 0.55</t>
  </si>
  <si>
    <t xml:space="preserve"> 2.0</t>
  </si>
  <si>
    <t>10:42:47.900</t>
  </si>
  <si>
    <t xml:space="preserve"> 0.58</t>
  </si>
  <si>
    <t xml:space="preserve"> 3.2</t>
  </si>
  <si>
    <t>53.1</t>
  </si>
  <si>
    <t>10:42:48.000</t>
  </si>
  <si>
    <t xml:space="preserve"> 0.62</t>
  </si>
  <si>
    <t>0.11</t>
  </si>
  <si>
    <t>10:42:48.100</t>
  </si>
  <si>
    <t xml:space="preserve"> 0.64</t>
  </si>
  <si>
    <t xml:space="preserve"> 1.3</t>
  </si>
  <si>
    <t>10:42:48.200</t>
  </si>
  <si>
    <t xml:space="preserve"> 0.67</t>
  </si>
  <si>
    <t>10:42:48.300</t>
  </si>
  <si>
    <t xml:space="preserve"> 0.70</t>
  </si>
  <si>
    <t xml:space="preserve"> 3.6</t>
  </si>
  <si>
    <t>10:42:48.400</t>
  </si>
  <si>
    <t xml:space="preserve"> 0.73</t>
  </si>
  <si>
    <t xml:space="preserve"> 2.6</t>
  </si>
  <si>
    <t>10:42:48.500</t>
  </si>
  <si>
    <t xml:space="preserve"> 0.77</t>
  </si>
  <si>
    <t xml:space="preserve"> 3.9</t>
  </si>
  <si>
    <t>10:42:48.600</t>
  </si>
  <si>
    <t xml:space="preserve"> 0.78</t>
  </si>
  <si>
    <t xml:space="preserve"> 1.6</t>
  </si>
  <si>
    <t>10:42:48.700</t>
  </si>
  <si>
    <t xml:space="preserve"> 0.81</t>
  </si>
  <si>
    <t xml:space="preserve"> 3.0</t>
  </si>
  <si>
    <t>10:42:48.800</t>
  </si>
  <si>
    <t xml:space="preserve"> 0.83</t>
  </si>
  <si>
    <t xml:space="preserve"> 1.9</t>
  </si>
  <si>
    <t>10:42:48.900</t>
  </si>
  <si>
    <t xml:space="preserve"> 0.87</t>
  </si>
  <si>
    <t xml:space="preserve"> 4.3</t>
  </si>
  <si>
    <t>53.0</t>
  </si>
  <si>
    <t>10:42:49.000</t>
  </si>
  <si>
    <t xml:space="preserve"> 0.89</t>
  </si>
  <si>
    <t>10:42:49.100</t>
  </si>
  <si>
    <t xml:space="preserve"> 0.93</t>
  </si>
  <si>
    <t xml:space="preserve"> 3.3</t>
  </si>
  <si>
    <t>10:42:49.200</t>
  </si>
  <si>
    <t xml:space="preserve"> 0.95</t>
  </si>
  <si>
    <t>10:42:49.300</t>
  </si>
  <si>
    <t xml:space="preserve"> 0.98</t>
  </si>
  <si>
    <t>10:42:49.400</t>
  </si>
  <si>
    <t xml:space="preserve"> 0.99</t>
  </si>
  <si>
    <t>10:42:49.500</t>
  </si>
  <si>
    <t xml:space="preserve"> 1.03</t>
  </si>
  <si>
    <t>10:42:49.600</t>
  </si>
  <si>
    <t xml:space="preserve"> 1.04</t>
  </si>
  <si>
    <t>52.9</t>
  </si>
  <si>
    <t>10:42:49.700</t>
  </si>
  <si>
    <t xml:space="preserve"> 1.07</t>
  </si>
  <si>
    <t xml:space="preserve"> 3.5</t>
  </si>
  <si>
    <t>10:42:49.800</t>
  </si>
  <si>
    <t xml:space="preserve"> 1.09</t>
  </si>
  <si>
    <t xml:space="preserve"> 1.7</t>
  </si>
  <si>
    <t>10:42:49.900</t>
  </si>
  <si>
    <t xml:space="preserve"> 1.12</t>
  </si>
  <si>
    <t>10:42:50.000</t>
  </si>
  <si>
    <t xml:space="preserve"> 1.13</t>
  </si>
  <si>
    <t>10:42:50.100</t>
  </si>
  <si>
    <t xml:space="preserve"> 1.16</t>
  </si>
  <si>
    <t>10:42:50.200</t>
  </si>
  <si>
    <t xml:space="preserve"> 1.17</t>
  </si>
  <si>
    <t>10:42:50.300</t>
  </si>
  <si>
    <t xml:space="preserve"> 1.18</t>
  </si>
  <si>
    <t>52.8</t>
  </si>
  <si>
    <t>10:42:50.400</t>
  </si>
  <si>
    <t xml:space="preserve"> 1.21</t>
  </si>
  <si>
    <t>10:42:50.500</t>
  </si>
  <si>
    <t xml:space="preserve"> 1.24</t>
  </si>
  <si>
    <t>10:42:50.600</t>
  </si>
  <si>
    <t xml:space="preserve"> 1.26</t>
  </si>
  <si>
    <t>10:42:50.700</t>
  </si>
  <si>
    <t xml:space="preserve"> 1.28</t>
  </si>
  <si>
    <t>10:42:50.800</t>
  </si>
  <si>
    <t xml:space="preserve"> 0.0</t>
  </si>
  <si>
    <t>10:42:50.900</t>
  </si>
  <si>
    <t xml:space="preserve"> 1.32</t>
  </si>
  <si>
    <t>10:42:51.000</t>
  </si>
  <si>
    <t xml:space="preserve"> 0.4</t>
  </si>
  <si>
    <t>10:42:51.100</t>
  </si>
  <si>
    <t xml:space="preserve"> 1.34</t>
  </si>
  <si>
    <t>10:42:51.200</t>
  </si>
  <si>
    <t xml:space="preserve"> 1.36</t>
  </si>
  <si>
    <t>10:42:51.300</t>
  </si>
  <si>
    <t xml:space="preserve"> 1.39</t>
  </si>
  <si>
    <t>52.7</t>
  </si>
  <si>
    <t>10:42:51.400</t>
  </si>
  <si>
    <t xml:space="preserve"> 0.3</t>
  </si>
  <si>
    <t>10:42:51.500</t>
  </si>
  <si>
    <t xml:space="preserve"> 1.41</t>
  </si>
  <si>
    <t>10:42:51.600</t>
  </si>
  <si>
    <t xml:space="preserve"> 1.43</t>
  </si>
  <si>
    <t>10:42:51.700</t>
  </si>
  <si>
    <t xml:space="preserve"> 1.44</t>
  </si>
  <si>
    <t>10:42:51.800</t>
  </si>
  <si>
    <t xml:space="preserve"> 1.46</t>
  </si>
  <si>
    <t>10:42:51.900</t>
  </si>
  <si>
    <t xml:space="preserve"> 1.47</t>
  </si>
  <si>
    <t xml:space="preserve"> 0.9</t>
  </si>
  <si>
    <t>10:42:52.000</t>
  </si>
  <si>
    <t>10:42:52.100</t>
  </si>
  <si>
    <t xml:space="preserve"> 1.50</t>
  </si>
  <si>
    <t>10:42:52.200</t>
  </si>
  <si>
    <t xml:space="preserve"> 0.2</t>
  </si>
  <si>
    <t>10:42:52.300</t>
  </si>
  <si>
    <t xml:space="preserve"> 1.51</t>
  </si>
  <si>
    <t>10:42:52.400</t>
  </si>
  <si>
    <t xml:space="preserve"> 1.54</t>
  </si>
  <si>
    <t>10:42:52.500</t>
  </si>
  <si>
    <t xml:space="preserve"> 1.55</t>
  </si>
  <si>
    <t xml:space="preserve"> 0.7</t>
  </si>
  <si>
    <t>10:42:52.600</t>
  </si>
  <si>
    <t xml:space="preserve"> 1.56</t>
  </si>
  <si>
    <t xml:space="preserve"> 0.6</t>
  </si>
  <si>
    <t>10:42:52.700</t>
  </si>
  <si>
    <t xml:space="preserve"> 1.57</t>
  </si>
  <si>
    <t>52.6</t>
  </si>
  <si>
    <t>10:42:52.800</t>
  </si>
  <si>
    <t xml:space="preserve"> 1.58</t>
  </si>
  <si>
    <t>10:42:52.900</t>
  </si>
  <si>
    <t xml:space="preserve"> 1.59</t>
  </si>
  <si>
    <t>10:42:53.000</t>
  </si>
  <si>
    <t xml:space="preserve"> 1.61</t>
  </si>
  <si>
    <t>10:42:53.100</t>
  </si>
  <si>
    <t>-0.1</t>
  </si>
  <si>
    <t>10:42:53.200</t>
  </si>
  <si>
    <t xml:space="preserve"> 1.63</t>
  </si>
  <si>
    <t xml:space="preserve"> 2.2</t>
  </si>
  <si>
    <t>10:42:53.300</t>
  </si>
  <si>
    <t xml:space="preserve"> 1.64</t>
  </si>
  <si>
    <t>10:42:53.400</t>
  </si>
  <si>
    <t xml:space="preserve"> 1.66</t>
  </si>
  <si>
    <t>10:42:53.500</t>
  </si>
  <si>
    <t>10:42:53.600</t>
  </si>
  <si>
    <t xml:space="preserve"> 1.69</t>
  </si>
  <si>
    <t xml:space="preserve"> 2.7</t>
  </si>
  <si>
    <t>10:42:53.700</t>
  </si>
  <si>
    <t>10:42:53.800</t>
  </si>
  <si>
    <t xml:space="preserve"> 1.70</t>
  </si>
  <si>
    <t>10:42:53.900</t>
  </si>
  <si>
    <t xml:space="preserve"> 1.72</t>
  </si>
  <si>
    <t>10:42:54.000</t>
  </si>
  <si>
    <t xml:space="preserve"> 1.73</t>
  </si>
  <si>
    <t>10:42:54.100</t>
  </si>
  <si>
    <t xml:space="preserve"> 1.75</t>
  </si>
  <si>
    <t>10:42:54.200</t>
  </si>
  <si>
    <t xml:space="preserve"> 1.76</t>
  </si>
  <si>
    <t>10:42:54.300</t>
  </si>
  <si>
    <t>-0.6</t>
  </si>
  <si>
    <t>10:42:54.400</t>
  </si>
  <si>
    <t xml:space="preserve"> 1.79</t>
  </si>
  <si>
    <t>10:42:54.500</t>
  </si>
  <si>
    <t xml:space="preserve"> 1.78</t>
  </si>
  <si>
    <t>10:42:54.600</t>
  </si>
  <si>
    <t xml:space="preserve"> 1.80</t>
  </si>
  <si>
    <t>52.5</t>
  </si>
  <si>
    <t>10:42:54.700</t>
  </si>
  <si>
    <t xml:space="preserve"> 0.5</t>
  </si>
  <si>
    <t>10:42:54.800</t>
  </si>
  <si>
    <t xml:space="preserve"> 1.82</t>
  </si>
  <si>
    <t>10:42:54.900</t>
  </si>
  <si>
    <t>-1.7</t>
  </si>
  <si>
    <t>10:42:55.000</t>
  </si>
  <si>
    <t xml:space="preserve"> 1.84</t>
  </si>
  <si>
    <t>10:42:55.100</t>
  </si>
  <si>
    <t xml:space="preserve"> 1.85</t>
  </si>
  <si>
    <t>52.4</t>
  </si>
  <si>
    <t>10:42:55.200</t>
  </si>
  <si>
    <t>-0.4</t>
  </si>
  <si>
    <t>10:42:55.300</t>
  </si>
  <si>
    <t xml:space="preserve"> 1.87</t>
  </si>
  <si>
    <t>10:42:55.400</t>
  </si>
  <si>
    <t>-0.3</t>
  </si>
  <si>
    <t>10:42:55.500</t>
  </si>
  <si>
    <t xml:space="preserve"> 1.88</t>
  </si>
  <si>
    <t xml:space="preserve"> 1.2</t>
  </si>
  <si>
    <t>10:42:55.600</t>
  </si>
  <si>
    <t xml:space="preserve"> 1.91</t>
  </si>
  <si>
    <t xml:space="preserve"> 2.5</t>
  </si>
  <si>
    <t>10:42:55.700</t>
  </si>
  <si>
    <t>52.3</t>
  </si>
  <si>
    <t>10:42:55.800</t>
  </si>
  <si>
    <t xml:space="preserve"> 1.93</t>
  </si>
  <si>
    <t>10:42:55.900</t>
  </si>
  <si>
    <t xml:space="preserve"> 1.94</t>
  </si>
  <si>
    <t>52.2</t>
  </si>
  <si>
    <t>10:42:56.000</t>
  </si>
  <si>
    <t>10:42:56.100</t>
  </si>
  <si>
    <t xml:space="preserve"> 1.95</t>
  </si>
  <si>
    <t xml:space="preserve"> 1.8</t>
  </si>
  <si>
    <t>10:42:56.200</t>
  </si>
  <si>
    <t xml:space="preserve"> 1.96</t>
  </si>
  <si>
    <t>10:42:56.300</t>
  </si>
  <si>
    <t xml:space="preserve"> 1.97</t>
  </si>
  <si>
    <t>52.1</t>
  </si>
  <si>
    <t>10:42:56.400</t>
  </si>
  <si>
    <t xml:space="preserve"> 0.8</t>
  </si>
  <si>
    <t>10:42:56.500</t>
  </si>
  <si>
    <t xml:space="preserve"> 2.00</t>
  </si>
  <si>
    <t>10:42:56.600</t>
  </si>
  <si>
    <t xml:space="preserve"> 1.99</t>
  </si>
  <si>
    <t>-0.9</t>
  </si>
  <si>
    <t>10:42:56.700</t>
  </si>
  <si>
    <t>10:42:56.800</t>
  </si>
  <si>
    <t>10:42:56.900</t>
  </si>
  <si>
    <t xml:space="preserve"> 2.02</t>
  </si>
  <si>
    <t>10:42:57.000</t>
  </si>
  <si>
    <t xml:space="preserve"> 2.01</t>
  </si>
  <si>
    <t>-0.8</t>
  </si>
  <si>
    <t>10:42:57.100</t>
  </si>
  <si>
    <t xml:space="preserve"> 2.03</t>
  </si>
  <si>
    <t>52.0</t>
  </si>
  <si>
    <t>10:42:57.200</t>
  </si>
  <si>
    <t xml:space="preserve"> 2.04</t>
  </si>
  <si>
    <t>10:42:57.300</t>
  </si>
  <si>
    <t xml:space="preserve"> 0.1</t>
  </si>
  <si>
    <t>51.9</t>
  </si>
  <si>
    <t>10:42:57.400</t>
  </si>
  <si>
    <t xml:space="preserve"> 2.07</t>
  </si>
  <si>
    <t>10:42:57.500</t>
  </si>
  <si>
    <t xml:space="preserve"> 2.06</t>
  </si>
  <si>
    <t>51.8</t>
  </si>
  <si>
    <t>10:42:57.600</t>
  </si>
  <si>
    <t xml:space="preserve"> 2.08</t>
  </si>
  <si>
    <t xml:space="preserve"> 2.4</t>
  </si>
  <si>
    <t>51.7</t>
  </si>
  <si>
    <t>10:42:57.700</t>
  </si>
  <si>
    <t>10:42:57.800</t>
  </si>
  <si>
    <t xml:space="preserve"> 2.11</t>
  </si>
  <si>
    <t>10:42:57.900</t>
  </si>
  <si>
    <t xml:space="preserve"> 2.13</t>
  </si>
  <si>
    <t xml:space="preserve"> 1.5</t>
  </si>
  <si>
    <t>10:42:58.000</t>
  </si>
  <si>
    <t xml:space="preserve"> 2.12</t>
  </si>
  <si>
    <t>51.6</t>
  </si>
  <si>
    <t>10:42:58.100</t>
  </si>
  <si>
    <t>10:42:58.200</t>
  </si>
  <si>
    <t xml:space="preserve"> 2.14</t>
  </si>
  <si>
    <t>10:42:58.300</t>
  </si>
  <si>
    <t xml:space="preserve"> 2.16</t>
  </si>
  <si>
    <t>51.5</t>
  </si>
  <si>
    <t>10:42:58.400</t>
  </si>
  <si>
    <t>10:42:58.500</t>
  </si>
  <si>
    <t xml:space="preserve"> 2.18</t>
  </si>
  <si>
    <t>10:42:58.600</t>
  </si>
  <si>
    <t>10:42:58.700</t>
  </si>
  <si>
    <t xml:space="preserve"> 2.20</t>
  </si>
  <si>
    <t>51.4</t>
  </si>
  <si>
    <t>10:42:58.800</t>
  </si>
  <si>
    <t xml:space="preserve"> 2.19</t>
  </si>
  <si>
    <t>10:42:58.900</t>
  </si>
  <si>
    <t>10:42:59.000</t>
  </si>
  <si>
    <t>10:42:59.100</t>
  </si>
  <si>
    <t xml:space="preserve"> 2.21</t>
  </si>
  <si>
    <t>10:42:59.200</t>
  </si>
  <si>
    <t xml:space="preserve"> 2.23</t>
  </si>
  <si>
    <t>10:42:59.300</t>
  </si>
  <si>
    <t xml:space="preserve"> 2.24</t>
  </si>
  <si>
    <t>10:42:59.400</t>
  </si>
  <si>
    <t xml:space="preserve"> 2.25</t>
  </si>
  <si>
    <t>10:42:59.500</t>
  </si>
  <si>
    <t xml:space="preserve"> 2.27</t>
  </si>
  <si>
    <t>10:42:59.600</t>
  </si>
  <si>
    <t xml:space="preserve"> 2.28</t>
  </si>
  <si>
    <t>51.3</t>
  </si>
  <si>
    <t>10:42:59.700</t>
  </si>
  <si>
    <t xml:space="preserve"> 2.29</t>
  </si>
  <si>
    <t>10:42:59.800</t>
  </si>
  <si>
    <t xml:space="preserve"> 2.30</t>
  </si>
  <si>
    <t>10:42:59.900</t>
  </si>
  <si>
    <t xml:space="preserve"> 2.31</t>
  </si>
  <si>
    <t>10:43:00.000</t>
  </si>
  <si>
    <t xml:space="preserve"> 2.32</t>
  </si>
  <si>
    <t>10:43:00.100</t>
  </si>
  <si>
    <t xml:space="preserve"> 2.33</t>
  </si>
  <si>
    <t>51.2</t>
  </si>
  <si>
    <t>10:43:00.200</t>
  </si>
  <si>
    <t>10:43:00.300</t>
  </si>
  <si>
    <t xml:space="preserve"> 2.36</t>
  </si>
  <si>
    <t>51.1</t>
  </si>
  <si>
    <t>10:43:00.400</t>
  </si>
  <si>
    <t>10:43:00.500</t>
  </si>
  <si>
    <t xml:space="preserve"> 2.37</t>
  </si>
  <si>
    <t>10:43:00.600</t>
  </si>
  <si>
    <t xml:space="preserve"> 2.38</t>
  </si>
  <si>
    <t xml:space="preserve"> 1.1</t>
  </si>
  <si>
    <t>10:43:00.700</t>
  </si>
  <si>
    <t xml:space="preserve"> 2.39</t>
  </si>
  <si>
    <t>10:43:00.800</t>
  </si>
  <si>
    <t xml:space="preserve"> 2.40</t>
  </si>
  <si>
    <t>10:43:00.900</t>
  </si>
  <si>
    <t>10:43:01.000</t>
  </si>
  <si>
    <t xml:space="preserve"> 2.41</t>
  </si>
  <si>
    <t>10:43:01.100</t>
  </si>
  <si>
    <t xml:space="preserve"> 2.42</t>
  </si>
  <si>
    <t>10:43:01.200</t>
  </si>
  <si>
    <t>10:43:01.300</t>
  </si>
  <si>
    <t xml:space="preserve"> 2.44</t>
  </si>
  <si>
    <t>10:43:01.400</t>
  </si>
  <si>
    <t>-0.2</t>
  </si>
  <si>
    <t>10:43:01.500</t>
  </si>
  <si>
    <t xml:space="preserve"> 2.43</t>
  </si>
  <si>
    <t>10:43:01.600</t>
  </si>
  <si>
    <t>10:43:01.700</t>
  </si>
  <si>
    <t xml:space="preserve"> 2.45</t>
  </si>
  <si>
    <t>10:43:01.800</t>
  </si>
  <si>
    <t xml:space="preserve"> 2.46</t>
  </si>
  <si>
    <t>10:43:01.900</t>
  </si>
  <si>
    <t xml:space="preserve"> 2.47</t>
  </si>
  <si>
    <t>10:43:02.000</t>
  </si>
  <si>
    <t>-0.7</t>
  </si>
  <si>
    <t>10:43:02.100</t>
  </si>
  <si>
    <t>51.0</t>
  </si>
  <si>
    <t>10:43:02.200</t>
  </si>
  <si>
    <t>-1.0</t>
  </si>
  <si>
    <t>10:43:02.300</t>
  </si>
  <si>
    <t>10:43:02.400</t>
  </si>
  <si>
    <t>10:43:02.500</t>
  </si>
  <si>
    <t>10:43:02.600</t>
  </si>
  <si>
    <t>10:43:02.700</t>
  </si>
  <si>
    <t>10:43:02.800</t>
  </si>
  <si>
    <t>10:43:02.900</t>
  </si>
  <si>
    <t>10:43:03.000</t>
  </si>
  <si>
    <t>10:43:03.100</t>
  </si>
  <si>
    <t>-2.6</t>
  </si>
  <si>
    <t>10:43:03.200</t>
  </si>
  <si>
    <t>10:43:03.300</t>
  </si>
  <si>
    <t>10:43:03.400</t>
  </si>
  <si>
    <t>-1.6</t>
  </si>
  <si>
    <t>10:43:03.500</t>
  </si>
  <si>
    <t>10:43:03.600</t>
  </si>
  <si>
    <t>10:43:03.700</t>
  </si>
  <si>
    <t>10:43:03.800</t>
  </si>
  <si>
    <t>10:43:03.900</t>
  </si>
  <si>
    <t>10:43:04.000</t>
  </si>
  <si>
    <t>-1.3</t>
  </si>
  <si>
    <t>10:43:04.100</t>
  </si>
  <si>
    <t>10:43:04.200</t>
  </si>
  <si>
    <t>10:43:04.300</t>
  </si>
  <si>
    <t>10:43:04.400</t>
  </si>
  <si>
    <t>50.9</t>
  </si>
  <si>
    <t>10:43:04.500</t>
  </si>
  <si>
    <t>10:43:04.600</t>
  </si>
  <si>
    <t>50.8</t>
  </si>
  <si>
    <t>10:43:04.700</t>
  </si>
  <si>
    <t xml:space="preserve"> 2.35</t>
  </si>
  <si>
    <t>10:43:04.800</t>
  </si>
  <si>
    <t xml:space="preserve"> 2.34</t>
  </si>
  <si>
    <t>10:43:04.900</t>
  </si>
  <si>
    <t>10:43:05.000</t>
  </si>
  <si>
    <t>10:43:05.100</t>
  </si>
  <si>
    <t>-3.6</t>
  </si>
  <si>
    <t>10:43:05.200</t>
  </si>
  <si>
    <t>10:43:05.300</t>
  </si>
  <si>
    <t>10:43:05.400</t>
  </si>
  <si>
    <t>10:43:05.500</t>
  </si>
  <si>
    <t>10:43:05.600</t>
  </si>
  <si>
    <t>-2.2</t>
  </si>
  <si>
    <t>50.7</t>
  </si>
  <si>
    <t>10:43:05.700</t>
  </si>
  <si>
    <t>10:43:05.800</t>
  </si>
  <si>
    <t>10:43:05.900</t>
  </si>
  <si>
    <t>10:43:06.000</t>
  </si>
  <si>
    <t>-2.9</t>
  </si>
  <si>
    <t>10:43:06.100</t>
  </si>
  <si>
    <t>-5.3</t>
  </si>
  <si>
    <t>10:43:06.200</t>
  </si>
  <si>
    <t>10:43:06.300</t>
  </si>
  <si>
    <t>-3.2</t>
  </si>
  <si>
    <t>10:43:06.400</t>
  </si>
  <si>
    <t>-2.0</t>
  </si>
  <si>
    <t>10:43:06.500</t>
  </si>
  <si>
    <t>-2.3</t>
  </si>
  <si>
    <t>10:43:06.600</t>
  </si>
  <si>
    <t xml:space="preserve"> 2.09</t>
  </si>
  <si>
    <t>-3.4</t>
  </si>
  <si>
    <t>10:43:06.700</t>
  </si>
  <si>
    <t>10:43:06.800</t>
  </si>
  <si>
    <t>-3.9</t>
  </si>
  <si>
    <t>10:43:06.900</t>
  </si>
  <si>
    <t>10:43:07.000</t>
  </si>
  <si>
    <t>10:43:07.100</t>
  </si>
  <si>
    <t>-2.1</t>
  </si>
  <si>
    <t>10:43:07.200</t>
  </si>
  <si>
    <t>10:43:07.300</t>
  </si>
  <si>
    <t xml:space="preserve"> 1.89</t>
  </si>
  <si>
    <t>-4.6</t>
  </si>
  <si>
    <t>10:43:07.400</t>
  </si>
  <si>
    <t xml:space="preserve"> 1.86</t>
  </si>
  <si>
    <t>10:43:07.500</t>
  </si>
  <si>
    <t>-4.2</t>
  </si>
  <si>
    <t>10:43:07.600</t>
  </si>
  <si>
    <t>10:43:07.700</t>
  </si>
  <si>
    <t>10:43:07.800</t>
  </si>
  <si>
    <t xml:space="preserve"> 1.74</t>
  </si>
  <si>
    <t>10:43:07.900</t>
  </si>
  <si>
    <t xml:space="preserve"> 1.71</t>
  </si>
  <si>
    <t>10:43:08.000</t>
  </si>
  <si>
    <t>10:43:08.100</t>
  </si>
  <si>
    <t xml:space="preserve"> 1.65</t>
  </si>
  <si>
    <t>10:43:08.200</t>
  </si>
  <si>
    <t>-3.3</t>
  </si>
  <si>
    <t>10:43:08.300</t>
  </si>
  <si>
    <t xml:space="preserve"> 1.60</t>
  </si>
  <si>
    <t>10:43:08.400</t>
  </si>
  <si>
    <t>-4.3</t>
  </si>
  <si>
    <t>10:43:08.500</t>
  </si>
  <si>
    <t>10:43:08.600</t>
  </si>
  <si>
    <t>10:43:08.700</t>
  </si>
  <si>
    <t>10:43:08.800</t>
  </si>
  <si>
    <t>10:43:08.900</t>
  </si>
  <si>
    <t>10:43:09.000</t>
  </si>
  <si>
    <t xml:space="preserve"> 1.38</t>
  </si>
  <si>
    <t>-2.7</t>
  </si>
  <si>
    <t>10:43:09.100</t>
  </si>
  <si>
    <t xml:space="preserve"> 1.35</t>
  </si>
  <si>
    <t>10:43:09.200</t>
  </si>
  <si>
    <t xml:space="preserve"> 1.31</t>
  </si>
  <si>
    <t>10:43:09.300</t>
  </si>
  <si>
    <t xml:space="preserve"> 1.29</t>
  </si>
  <si>
    <t>10:43:09.400</t>
  </si>
  <si>
    <t>-5.9</t>
  </si>
  <si>
    <t>10:43:09.500</t>
  </si>
  <si>
    <t xml:space="preserve"> 1.22</t>
  </si>
  <si>
    <t>10:43:09.600</t>
  </si>
  <si>
    <t>10:43:09.700</t>
  </si>
  <si>
    <t>-1.9</t>
  </si>
  <si>
    <t>10:43:09.800</t>
  </si>
  <si>
    <t>10:43:09.900</t>
  </si>
  <si>
    <t>-3.0</t>
  </si>
  <si>
    <t>10:43:10.000</t>
  </si>
  <si>
    <t xml:space="preserve"> 1.06</t>
  </si>
  <si>
    <t>10:43:10.100</t>
  </si>
  <si>
    <t>10:43:10.200</t>
  </si>
  <si>
    <t xml:space="preserve"> 1.02</t>
  </si>
  <si>
    <t>10:43:10.300</t>
  </si>
  <si>
    <t xml:space="preserve"> 1.00</t>
  </si>
  <si>
    <t>10:43:10.400</t>
  </si>
  <si>
    <t xml:space="preserve"> 0.97</t>
  </si>
  <si>
    <t>10:43:10.500</t>
  </si>
  <si>
    <t xml:space="preserve"> 0.96</t>
  </si>
  <si>
    <t>10:43:10.600</t>
  </si>
  <si>
    <t>50.6</t>
  </si>
  <si>
    <t>10:43:10.700</t>
  </si>
  <si>
    <t>10:43:10.800</t>
  </si>
  <si>
    <t xml:space="preserve"> 0.92</t>
  </si>
  <si>
    <t>10:43:10.900</t>
  </si>
  <si>
    <t xml:space="preserve"> 0.90</t>
  </si>
  <si>
    <t>10:43:11.000</t>
  </si>
  <si>
    <t>-1.8</t>
  </si>
  <si>
    <t>50.5</t>
  </si>
  <si>
    <t>10:43:11.100</t>
  </si>
  <si>
    <t xml:space="preserve"> 0.84</t>
  </si>
  <si>
    <t>10:43:11.200</t>
  </si>
  <si>
    <t>-0.5</t>
  </si>
  <si>
    <t>10:43:11.300</t>
  </si>
  <si>
    <t xml:space="preserve"> 0.82</t>
  </si>
  <si>
    <t>10:43:11.400</t>
  </si>
  <si>
    <t xml:space="preserve"> 0.79</t>
  </si>
  <si>
    <t>10:43:11.500</t>
  </si>
  <si>
    <t>50.4</t>
  </si>
  <si>
    <t>10:43:11.600</t>
  </si>
  <si>
    <t xml:space="preserve"> 0.75</t>
  </si>
  <si>
    <t>10:43:11.700</t>
  </si>
  <si>
    <t>10:43:11.800</t>
  </si>
  <si>
    <t xml:space="preserve"> 0.72</t>
  </si>
  <si>
    <t>10:43:11.900</t>
  </si>
  <si>
    <t xml:space="preserve"> 0.71</t>
  </si>
  <si>
    <t>10:43:12.000</t>
  </si>
  <si>
    <t xml:space="preserve"> 0.69</t>
  </si>
  <si>
    <t>50.3</t>
  </si>
  <si>
    <t>10:43:12.100</t>
  </si>
  <si>
    <t>10:43:12.200</t>
  </si>
  <si>
    <t xml:space="preserve"> 0.68</t>
  </si>
  <si>
    <t>-1.5</t>
  </si>
  <si>
    <t>10:43:12.300</t>
  </si>
  <si>
    <t>50.2</t>
  </si>
  <si>
    <t>10:43:12.400</t>
  </si>
  <si>
    <t>10:43:12.500</t>
  </si>
  <si>
    <t>10:43:12.600</t>
  </si>
  <si>
    <t>10:43:12.700</t>
  </si>
  <si>
    <t>10:43:12.800</t>
  </si>
  <si>
    <t xml:space="preserve"> 0.66</t>
  </si>
  <si>
    <t>50.1</t>
  </si>
  <si>
    <t>10:43:12.900</t>
  </si>
  <si>
    <t>10:43:13.000</t>
  </si>
  <si>
    <t>50.0</t>
  </si>
  <si>
    <t>10:43:13.100</t>
  </si>
  <si>
    <t>10:43:13.200</t>
  </si>
  <si>
    <t>10:43:13.300</t>
  </si>
  <si>
    <t>10:43:13.400</t>
  </si>
  <si>
    <t>10:43:13.500</t>
  </si>
  <si>
    <t>49.9</t>
  </si>
  <si>
    <t>10:43:13.600</t>
  </si>
  <si>
    <t>10:43:13.700</t>
  </si>
  <si>
    <t>10:43:13.800</t>
  </si>
  <si>
    <t>-1.4</t>
  </si>
  <si>
    <t>10:43:13.900</t>
  </si>
  <si>
    <t>10:43:14.000</t>
  </si>
  <si>
    <t>49.8</t>
  </si>
  <si>
    <t>10:43:14.100</t>
  </si>
  <si>
    <t>10:43:14.200</t>
  </si>
  <si>
    <t>10:43:14.300</t>
  </si>
  <si>
    <t>10:43:14.400</t>
  </si>
  <si>
    <t>10:43:14.500</t>
  </si>
  <si>
    <t>10:43:14.600</t>
  </si>
  <si>
    <t>49.7</t>
  </si>
  <si>
    <t>10:43:14.700</t>
  </si>
  <si>
    <t>-1.2</t>
  </si>
  <si>
    <t>10:43:14.800</t>
  </si>
  <si>
    <t xml:space="preserve"> 2.1</t>
  </si>
  <si>
    <t>10:43:14.900</t>
  </si>
  <si>
    <t>10:43:15.000</t>
  </si>
  <si>
    <t>10:43:15.100</t>
  </si>
  <si>
    <t>10:43:15.200</t>
  </si>
  <si>
    <t>10:43:15.300</t>
  </si>
  <si>
    <t>10:43:15.400</t>
  </si>
  <si>
    <t>10:43:15.500</t>
  </si>
  <si>
    <t>10:43:15.600</t>
  </si>
  <si>
    <t>-0.0</t>
  </si>
  <si>
    <t>10:43:15.700</t>
  </si>
  <si>
    <t>10:43:15.800</t>
  </si>
  <si>
    <t>10:43:15.900</t>
  </si>
  <si>
    <t>10:43:16.000</t>
  </si>
  <si>
    <t>10:43:16.100</t>
  </si>
  <si>
    <t>-1.1</t>
  </si>
  <si>
    <t>10:43:16.200</t>
  </si>
  <si>
    <t>10:43:16.300</t>
  </si>
  <si>
    <t>10:43:16.400</t>
  </si>
  <si>
    <t>10:43:16.500</t>
  </si>
  <si>
    <t>49.6</t>
  </si>
  <si>
    <t>10:43:16.600</t>
  </si>
  <si>
    <t>10:43:16.700</t>
  </si>
  <si>
    <t>10:43:16.800</t>
  </si>
  <si>
    <t>10:43:16.900</t>
  </si>
  <si>
    <t>10:43:17.000</t>
  </si>
  <si>
    <t>10:43:17.100</t>
  </si>
  <si>
    <t>49.5</t>
  </si>
  <si>
    <t>10:43:17.200</t>
  </si>
  <si>
    <t>10:43:17.300</t>
  </si>
  <si>
    <t>49.4</t>
  </si>
  <si>
    <t>10:43:17.400</t>
  </si>
  <si>
    <t>10:43:17.500</t>
  </si>
  <si>
    <t>10:43:17.600</t>
  </si>
  <si>
    <t>-2.4</t>
  </si>
  <si>
    <t>10:43:17.700</t>
  </si>
  <si>
    <t>10:43:17.800</t>
  </si>
  <si>
    <t>10:43:17.900</t>
  </si>
  <si>
    <t>10:43:18.000</t>
  </si>
  <si>
    <t>10:43:18.100</t>
  </si>
  <si>
    <t>10:43:18.200</t>
  </si>
  <si>
    <t>10:43:18.300</t>
  </si>
  <si>
    <t>10:43:18.400</t>
  </si>
  <si>
    <t>10:43:18.500</t>
  </si>
  <si>
    <t>10:43:18.600</t>
  </si>
  <si>
    <t>10:43:18.700</t>
  </si>
  <si>
    <t xml:space="preserve"> 0.65</t>
  </si>
  <si>
    <t>10:43:18.800</t>
  </si>
  <si>
    <t>10:43:18.900</t>
  </si>
  <si>
    <t>10:43:19.000</t>
  </si>
  <si>
    <t>-4.5</t>
  </si>
  <si>
    <t>10:43:19.100</t>
  </si>
  <si>
    <t xml:space="preserve"> 3.4</t>
  </si>
  <si>
    <t>10:43:19.200</t>
  </si>
  <si>
    <t>10:43:19.300</t>
  </si>
  <si>
    <t>10:43:19.400</t>
  </si>
  <si>
    <t xml:space="preserve"> 0.61</t>
  </si>
  <si>
    <t>10:43:19.500</t>
  </si>
  <si>
    <t xml:space="preserve"> 0.63</t>
  </si>
  <si>
    <t>10:43:19.600</t>
  </si>
  <si>
    <t>10:43:19.700</t>
  </si>
  <si>
    <t>10:43:19.800</t>
  </si>
  <si>
    <t xml:space="preserve"> 0.60</t>
  </si>
  <si>
    <t>10:43:19.900</t>
  </si>
  <si>
    <t>10:43:20.000</t>
  </si>
  <si>
    <t>10:43:20.100</t>
  </si>
  <si>
    <t>10:43:20.200</t>
  </si>
  <si>
    <t>10:43:20.300</t>
  </si>
  <si>
    <t>10:43:20.400</t>
  </si>
  <si>
    <t>10:43:20.500</t>
  </si>
  <si>
    <t xml:space="preserve"> 0.56</t>
  </si>
  <si>
    <t>10:43:20.600</t>
  </si>
  <si>
    <t>10:43:20.700</t>
  </si>
  <si>
    <t>10:43:20.800</t>
  </si>
  <si>
    <t>10:43:20.900</t>
  </si>
  <si>
    <t xml:space="preserve"> 0.54</t>
  </si>
  <si>
    <t>10:43:21.000</t>
  </si>
  <si>
    <t>10:43:21.100</t>
  </si>
  <si>
    <t>10:43:21.200</t>
  </si>
  <si>
    <t xml:space="preserve"> 0.49</t>
  </si>
  <si>
    <t>10:43:21.300</t>
  </si>
  <si>
    <t>10:43:21.400</t>
  </si>
  <si>
    <t xml:space="preserve"> 0.47</t>
  </si>
  <si>
    <t>10:43:21.500</t>
  </si>
  <si>
    <t xml:space="preserve"> 0.44</t>
  </si>
  <si>
    <t>10:43:21.600</t>
  </si>
  <si>
    <t>10:43:21.700</t>
  </si>
  <si>
    <t>10:43:21.800</t>
  </si>
  <si>
    <t>10:43:21.900</t>
  </si>
  <si>
    <t>10:43:22.000</t>
  </si>
  <si>
    <t>10:43:22.100</t>
  </si>
  <si>
    <t xml:space="preserve"> 0.45</t>
  </si>
  <si>
    <t>10:43:22.200</t>
  </si>
  <si>
    <t>10:43:22.300</t>
  </si>
  <si>
    <t>10:43:22.400</t>
  </si>
  <si>
    <t>10:43:22.500</t>
  </si>
  <si>
    <t>-3.7</t>
  </si>
  <si>
    <t>10:43:22.600</t>
  </si>
  <si>
    <t>10:43:22.700</t>
  </si>
  <si>
    <t>10:43:22.800</t>
  </si>
  <si>
    <t>10:43:22.900</t>
  </si>
  <si>
    <t>10:43:23.000</t>
  </si>
  <si>
    <t>10:43:23.100</t>
  </si>
  <si>
    <t>-2.8</t>
  </si>
  <si>
    <t>10:43:23.200</t>
  </si>
  <si>
    <t xml:space="preserve"> 0.39</t>
  </si>
  <si>
    <t>10:43:23.300</t>
  </si>
  <si>
    <t xml:space="preserve"> 0.38</t>
  </si>
  <si>
    <t>10:43:23.400</t>
  </si>
  <si>
    <t>10:43:23.500</t>
  </si>
  <si>
    <t>10:43:23.600</t>
  </si>
  <si>
    <t>10:43:23.700</t>
  </si>
  <si>
    <t>10:43:23.800</t>
  </si>
  <si>
    <t xml:space="preserve"> 0.37</t>
  </si>
  <si>
    <t>10:43:23.900</t>
  </si>
  <si>
    <t>10:43:24.000</t>
  </si>
  <si>
    <t>10:43:24.100</t>
  </si>
  <si>
    <t>10:43:24.200</t>
  </si>
  <si>
    <t>0.13</t>
  </si>
  <si>
    <t>10:43:24.300</t>
  </si>
  <si>
    <t>10:43:24.400</t>
  </si>
  <si>
    <t xml:space="preserve"> 0.34</t>
  </si>
  <si>
    <t>10:43:24.500</t>
  </si>
  <si>
    <t xml:space="preserve"> 0.33</t>
  </si>
  <si>
    <t>10:43:24.600</t>
  </si>
  <si>
    <t>10:43:24.700</t>
  </si>
  <si>
    <t>10:43:24.800</t>
  </si>
  <si>
    <t>10:43:24.900</t>
  </si>
  <si>
    <t xml:space="preserve"> 0.30</t>
  </si>
  <si>
    <t>-3.5</t>
  </si>
  <si>
    <t>10:43:25.000</t>
  </si>
  <si>
    <t xml:space="preserve"> 0.29</t>
  </si>
  <si>
    <t>10:43:25.100</t>
  </si>
  <si>
    <t xml:space="preserve"> 0.28</t>
  </si>
  <si>
    <t>10:43:25.200</t>
  </si>
  <si>
    <t>10:43:25.300</t>
  </si>
  <si>
    <t>10:43:25.400</t>
  </si>
  <si>
    <t>10:43:25.500</t>
  </si>
  <si>
    <t>UBLOX</t>
  </si>
  <si>
    <t>NON DOP</t>
  </si>
  <si>
    <t>DOP</t>
  </si>
  <si>
    <t>GPSResults V6.181</t>
  </si>
  <si>
    <t>filename: C:\Users\info\Desktop\GPS\JH test\Ublox proto\Boom_R_84CCA86023F8_000.ubx</t>
  </si>
  <si>
    <t>altitude(s) not considered</t>
  </si>
  <si>
    <t>cubic spline integration (10s), one run per leg</t>
  </si>
  <si>
    <t>time limits: 10:39 - 10:45</t>
  </si>
  <si>
    <t>max:</t>
  </si>
  <si>
    <t xml:space="preserve">  time        m   [km/h]</t>
  </si>
  <si>
    <t>100m:</t>
  </si>
  <si>
    <t>250m:</t>
  </si>
  <si>
    <t>500m:</t>
  </si>
  <si>
    <t>1852m:</t>
  </si>
  <si>
    <t>2s:</t>
  </si>
  <si>
    <t>10s:</t>
  </si>
  <si>
    <t>accumulated Doppler speeds</t>
  </si>
  <si>
    <t>total time: 2min, total length: 1.966km</t>
  </si>
  <si>
    <t>10:43:01     2.5  88.538+/-1.087</t>
  </si>
  <si>
    <t>10:40:19     2.2  78.574+/-0.994</t>
  </si>
  <si>
    <t>10:41:04     1.8  64.631+/-0.814</t>
  </si>
  <si>
    <t>10:41:38     1.8  64.501+/-0.763</t>
  </si>
  <si>
    <t>10:42:25     1.3  45.374+/-0.814</t>
  </si>
  <si>
    <t>10:40:39     0.4  15.124+/-0.756</t>
  </si>
  <si>
    <t>10:43:23     0.4  14.486+/-0.936</t>
  </si>
  <si>
    <t>10:39:47     0.4  13.014+/-0.756</t>
  </si>
  <si>
    <t>average[2]:  83.556km/h  45.117knots</t>
  </si>
  <si>
    <t>average[3]:  77.248km/h  41.710knots</t>
  </si>
  <si>
    <t>average[5]:  68.324km/h  36.892knots</t>
  </si>
  <si>
    <t>10:43:04   101.2  86.763+/-0.165</t>
  </si>
  <si>
    <t>10:40:21   100.7  77.167+/-0.150</t>
  </si>
  <si>
    <t>10:41:08   100.5  62.409+/-0.109</t>
  </si>
  <si>
    <t>10:41:41   101.2  57.817+/-0.094</t>
  </si>
  <si>
    <t>10:42:31   100.7  43.662+/-0.091</t>
  </si>
  <si>
    <t>average[2]:  81.965km/h  44.258knots</t>
  </si>
  <si>
    <t>average[3]:  75.447km/h  40.738knots</t>
  </si>
  <si>
    <t>average[5]:  65.564km/h  35.402knots</t>
  </si>
  <si>
    <t>10:43:07   250.5  81.244+/-0.099</t>
  </si>
  <si>
    <t>10:40:25   251.7  73.665+/-0.087</t>
  </si>
  <si>
    <t>10:41:10   250.3  58.893+/-0.068</t>
  </si>
  <si>
    <t>10:42:27   251.2  16.685+/-0.035</t>
  </si>
  <si>
    <t>average[2]:  77.454km/h  41.822knots</t>
  </si>
  <si>
    <t>average[3]:  71.267km/h  38.481knots</t>
  </si>
  <si>
    <t>average[5]:  46.097km/h  24.891knots</t>
  </si>
  <si>
    <t>10:40:26   500.0  70.042+/-0.056</t>
  </si>
  <si>
    <t>10:43:23   500.0  49.048+/-0.049</t>
  </si>
  <si>
    <t>10:41:40   500.9  39.115+/-0.037</t>
  </si>
  <si>
    <t>average[2]:  59.545km/h  32.152knots</t>
  </si>
  <si>
    <t>average[3]:  52.735km/h  28.475knots</t>
  </si>
  <si>
    <t>average[5]:  31.641km/h  17.085knots</t>
  </si>
  <si>
    <t>10:43:11  1852.8  34.258+/-0.019</t>
  </si>
  <si>
    <t>average[2]:  17.129km/h   9.249knots</t>
  </si>
  <si>
    <t>average[3]:  11.419km/h   6.166knots</t>
  </si>
  <si>
    <t>average[5]:   6.852km/h   3.700knots</t>
  </si>
  <si>
    <t>10:43:03    48.7  87.747+/-0.238</t>
  </si>
  <si>
    <t>10:40:20    43.4  78.119+/-0.228</t>
  </si>
  <si>
    <t>10:41:05    35.6  64.119+/-0.180</t>
  </si>
  <si>
    <t>10:41:39    35.2  63.433+/-0.168</t>
  </si>
  <si>
    <t>10:42:26    25.1  45.189+/-0.188</t>
  </si>
  <si>
    <t>10:40:40     8.2  14.826+/-0.178</t>
  </si>
  <si>
    <t>10:43:25     7.0  12.648+/-0.210</t>
  </si>
  <si>
    <t>10:39:49     6.7  11.994+/-0.166</t>
  </si>
  <si>
    <t>average[2]:  82.933km/h  44.780knots</t>
  </si>
  <si>
    <t>average[3]:  76.662km/h  41.394knots</t>
  </si>
  <si>
    <t>average[5]:  67.721km/h  36.567knots</t>
  </si>
  <si>
    <t>10:43:06   228.8  82.384+/-0.105</t>
  </si>
  <si>
    <t>10:40:24   207.9  74.841+/-0.098</t>
  </si>
  <si>
    <t>10:41:11   168.0  60.474+/-0.083</t>
  </si>
  <si>
    <t>10:41:42   144.2  51.923+/-0.074</t>
  </si>
  <si>
    <t>10:42:32   118.4  42.640+/-0.082</t>
  </si>
  <si>
    <t>10:40:43    31.9  11.489+/-0.081</t>
  </si>
  <si>
    <t>filename: C:\Users\info\Desktop\GPS\JH test\Motion_1Hz\2403_2022-02-12-1132.oao</t>
  </si>
  <si>
    <t>total time: 8min, total length: 5.891km</t>
  </si>
  <si>
    <t xml:space="preserve">  time        m   [knots]</t>
  </si>
  <si>
    <t>11:43:02    24.5  47.696+/-0.433</t>
  </si>
  <si>
    <t>11:40:19    21.7  42.249+/-0.486</t>
  </si>
  <si>
    <t>11:38:12    20.1  39.060+/-0.474</t>
  </si>
  <si>
    <t>11:39:05    19.4  37.769+/-0.457</t>
  </si>
  <si>
    <t>11:41:04    17.9  34.816+/-0.478</t>
  </si>
  <si>
    <t>11:35:05    17.9  34.731+/-0.863</t>
  </si>
  <si>
    <t>11:41:38    17.6  34.286+/-0.453</t>
  </si>
  <si>
    <t>11:39:37    17.1  33.314+/-0.505</t>
  </si>
  <si>
    <t>11:36:24    17.0  32.952+/-0.667</t>
  </si>
  <si>
    <t>11:33:26    16.0  31.185+/-0.500</t>
  </si>
  <si>
    <t>11:37:37    15.9  30.837+/-0.503</t>
  </si>
  <si>
    <t>11:36:49    14.9  28.973+/-0.397</t>
  </si>
  <si>
    <t>11:42:26    12.6  24.559+/-0.669</t>
  </si>
  <si>
    <t>11:34:08    11.6  22.587+/-0.914</t>
  </si>
  <si>
    <t>11:40:40     4.4   8.462+/-0.713</t>
  </si>
  <si>
    <t>11:38:40     3.0   5.890+/-0.612</t>
  </si>
  <si>
    <t>average[2]:  83.290km/h  44.973knots</t>
  </si>
  <si>
    <t>average[3]:  79.639km/h  43.002knots</t>
  </si>
  <si>
    <t>average[5]:  74.669km/h  40.318knots</t>
  </si>
  <si>
    <t>11:43:05   120.1  46.679+/-0.479</t>
  </si>
  <si>
    <t>11:40:22   107.0  41.615+/-0.475</t>
  </si>
  <si>
    <t>11:38:15   119.2  38.618+/-0.488</t>
  </si>
  <si>
    <t>11:39:09   113.5  36.782+/-0.542</t>
  </si>
  <si>
    <t>11:35:08   104.7  33.913+/-0.895</t>
  </si>
  <si>
    <t>11:41:08   104.0  33.696+/-0.554</t>
  </si>
  <si>
    <t>11:36:11   112.5  31.252+/-0.626</t>
  </si>
  <si>
    <t>11:41:41   110.4  30.656+/-0.415</t>
  </si>
  <si>
    <t>11:39:39   110.1  30.567+/-0.501</t>
  </si>
  <si>
    <t>11:37:41   104.5  29.031+/-0.498</t>
  </si>
  <si>
    <t>11:33:28   102.5  28.452+/-0.506</t>
  </si>
  <si>
    <t>11:36:52   111.2  27.022+/-0.407</t>
  </si>
  <si>
    <t>11:42:31   108.8  23.497+/-0.653</t>
  </si>
  <si>
    <t>11:34:29   102.5  19.930+/-0.809</t>
  </si>
  <si>
    <t>average[2]:  81.760km/h  44.147knots</t>
  </si>
  <si>
    <t>average[3]:  78.347km/h  42.304knots</t>
  </si>
  <si>
    <t>average[5]:  73.193km/h  39.521knots</t>
  </si>
  <si>
    <t>11:43:07   267.8  43.386+/-0.471</t>
  </si>
  <si>
    <t>11:40:25   264.6  39.565+/-0.475</t>
  </si>
  <si>
    <t>11:38:20   250.1  37.394+/-0.494</t>
  </si>
  <si>
    <t>11:39:11   260.9  33.807+/-0.505</t>
  </si>
  <si>
    <t>11:41:10   261.6  31.785+/-0.544</t>
  </si>
  <si>
    <t>11:35:13   258.2  31.368+/-0.827</t>
  </si>
  <si>
    <t>11:36:24   259.3  29.652+/-0.583</t>
  </si>
  <si>
    <t>11:33:28   258.5  21.844+/-0.540</t>
  </si>
  <si>
    <t>11:37:38   265.1   9.369+/-0.524</t>
  </si>
  <si>
    <t>11:42:28   262.3   9.270+/-0.578</t>
  </si>
  <si>
    <t>average[2]:  76.813km/h  41.475knots</t>
  </si>
  <si>
    <t>average[3]:  74.293km/h  40.115knots</t>
  </si>
  <si>
    <t>average[5]:  68.871km/h  37.187knots</t>
  </si>
  <si>
    <t>11:40:26   505.7  37.810+/-0.506</t>
  </si>
  <si>
    <t>11:35:25   506.3  25.899+/-0.702</t>
  </si>
  <si>
    <t>11:43:25   503.0  25.730+/-0.512</t>
  </si>
  <si>
    <t>11:39:38   514.4  22.221+/-0.489</t>
  </si>
  <si>
    <t>11:38:20   505.2  21.824+/-0.511</t>
  </si>
  <si>
    <t>11:41:40   514.4  21.274+/-0.490</t>
  </si>
  <si>
    <t>11:36:50   502.4  20.778+/-0.527</t>
  </si>
  <si>
    <t>11:33:29   509.0  20.193+/-0.684</t>
  </si>
  <si>
    <t>average[2]:  58.995km/h  31.855knots</t>
  </si>
  <si>
    <t>average[3]:  55.214km/h  29.813knots</t>
  </si>
  <si>
    <t>average[5]:  49.443km/h  26.697knots</t>
  </si>
  <si>
    <t>228.8</t>
  </si>
  <si>
    <t xml:space="preserve"> 0.105</t>
  </si>
  <si>
    <t xml:space="preserve"> 0.583</t>
  </si>
  <si>
    <t>0.1</t>
  </si>
  <si>
    <t>207.9</t>
  </si>
  <si>
    <t xml:space="preserve"> 0.098</t>
  </si>
  <si>
    <t xml:space="preserve"> 0.554</t>
  </si>
  <si>
    <t>1.7</t>
  </si>
  <si>
    <t>MOTION</t>
  </si>
  <si>
    <t xml:space="preserve"> 0.874</t>
  </si>
  <si>
    <t>0.7</t>
  </si>
  <si>
    <t>2.4</t>
  </si>
  <si>
    <t xml:space="preserve"> 0.875</t>
  </si>
  <si>
    <t xml:space="preserve"> 0.907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</si>
</sst>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  <xf numFmtId="3" fontId="0" fillId="4" borderId="0" xfId="0" applyNumberFormat="1" applyFill="1"/>
    <xf numFmtId="0" fontId="0" fillId="4" borderId="0" xfId="0" applyFill="1" applyAlignment="1">
      <alignment horizontal="right"/>
    </xf>
    <xf numFmtId="0" fontId="0" fillId="5" borderId="0" xfId="0" applyFill="1"/>
    <xf numFmtId="3" fontId="0" fillId="5" borderId="0" xfId="0" applyNumberFormat="1" applyFill="1"/>
    <xf numFmtId="0" fontId="0" fillId="5" borderId="0" xfId="0" applyFill="1" applyAlignment="1">
      <alignment horizontal="right"/>
    </xf>
    <xf numFmtId="2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DAE6-9ED0-4A0E-BB98-0B2E342CDCB5}">
  <dimension ref="A2:N387"/>
  <sheetViews>
    <sheetView tabSelected="1" workbookViewId="0">
      <selection activeCell="P38" sqref="P38"/>
    </sheetView>
  </sheetViews>
  <sheetFormatPr defaultRowHeight="14.5" x14ac:dyDescent="0.35"/>
  <cols>
    <col min="5" max="9" width="0" hidden="1" customWidth="1"/>
    <col min="11" max="11" width="16" style="3" customWidth="1"/>
    <col min="12" max="12" width="4.1796875" hidden="1" customWidth="1"/>
    <col min="14" max="14" width="27.36328125" customWidth="1"/>
  </cols>
  <sheetData>
    <row r="2" spans="1:14" x14ac:dyDescent="0.35">
      <c r="B2" s="2"/>
      <c r="C2" s="2" t="s">
        <v>674</v>
      </c>
    </row>
    <row r="3" spans="1:14" x14ac:dyDescent="0.35">
      <c r="J3" t="s">
        <v>675</v>
      </c>
      <c r="K3" s="3" t="s">
        <v>676</v>
      </c>
    </row>
    <row r="4" spans="1:14" x14ac:dyDescent="0.35">
      <c r="A4" s="5"/>
      <c r="B4" s="5">
        <v>30639</v>
      </c>
      <c r="C4" s="5" t="s">
        <v>0</v>
      </c>
      <c r="D4" s="5" t="s">
        <v>1</v>
      </c>
      <c r="E4" s="5" t="s">
        <v>2</v>
      </c>
      <c r="F4" s="6">
        <v>13089</v>
      </c>
      <c r="G4" s="5" t="s">
        <v>3</v>
      </c>
      <c r="H4" s="5">
        <v>16</v>
      </c>
      <c r="I4" s="5" t="s">
        <v>4</v>
      </c>
      <c r="J4" s="5">
        <f>F4/1000</f>
        <v>13.089</v>
      </c>
      <c r="K4" s="7">
        <v>11.82</v>
      </c>
      <c r="L4" s="5" t="s">
        <v>5</v>
      </c>
      <c r="M4" s="5"/>
      <c r="N4" s="4">
        <f>K4-J4</f>
        <v>-1.2690000000000001</v>
      </c>
    </row>
    <row r="5" spans="1:14" x14ac:dyDescent="0.35">
      <c r="A5" s="8"/>
      <c r="B5" s="8">
        <v>30640</v>
      </c>
      <c r="C5" s="8" t="s">
        <v>6</v>
      </c>
      <c r="D5" s="8" t="s">
        <v>1</v>
      </c>
      <c r="E5" s="8" t="s">
        <v>7</v>
      </c>
      <c r="F5" s="9">
        <v>14737</v>
      </c>
      <c r="G5" s="8" t="s">
        <v>8</v>
      </c>
      <c r="H5" s="8">
        <v>16</v>
      </c>
      <c r="I5" s="8" t="s">
        <v>4</v>
      </c>
      <c r="J5" s="8">
        <f>F5/1000</f>
        <v>14.737</v>
      </c>
      <c r="K5" s="10">
        <v>13.04</v>
      </c>
      <c r="L5" s="8" t="s">
        <v>9</v>
      </c>
      <c r="M5" s="8"/>
      <c r="N5" s="4">
        <f t="shared" ref="N5:N68" si="0">K5-J5</f>
        <v>-1.697000000000001</v>
      </c>
    </row>
    <row r="6" spans="1:14" x14ac:dyDescent="0.35">
      <c r="A6" s="8"/>
      <c r="B6" s="8">
        <v>30641</v>
      </c>
      <c r="C6" s="8" t="s">
        <v>10</v>
      </c>
      <c r="D6" s="8" t="s">
        <v>1</v>
      </c>
      <c r="E6" s="8" t="s">
        <v>11</v>
      </c>
      <c r="F6" s="9">
        <v>15097</v>
      </c>
      <c r="G6" s="8" t="s">
        <v>12</v>
      </c>
      <c r="H6" s="8">
        <v>16</v>
      </c>
      <c r="I6" s="8" t="s">
        <v>4</v>
      </c>
      <c r="J6" s="8">
        <f>F6/1000</f>
        <v>15.097</v>
      </c>
      <c r="K6" s="10">
        <v>14.08</v>
      </c>
      <c r="L6" s="8" t="s">
        <v>9</v>
      </c>
      <c r="M6" s="8"/>
      <c r="N6" s="4">
        <f t="shared" si="0"/>
        <v>-1.0169999999999995</v>
      </c>
    </row>
    <row r="7" spans="1:14" x14ac:dyDescent="0.35">
      <c r="A7" s="8"/>
      <c r="B7" s="8">
        <v>30642</v>
      </c>
      <c r="C7" s="8" t="s">
        <v>13</v>
      </c>
      <c r="D7" s="8" t="s">
        <v>1</v>
      </c>
      <c r="E7" s="8" t="s">
        <v>14</v>
      </c>
      <c r="F7" s="9">
        <v>16602</v>
      </c>
      <c r="G7" s="8" t="s">
        <v>15</v>
      </c>
      <c r="H7" s="8">
        <v>16</v>
      </c>
      <c r="I7" s="8" t="s">
        <v>4</v>
      </c>
      <c r="J7" s="8">
        <f>F7/1000</f>
        <v>16.602</v>
      </c>
      <c r="K7" s="10">
        <v>15.16</v>
      </c>
      <c r="L7" s="8" t="s">
        <v>9</v>
      </c>
      <c r="M7" s="8"/>
      <c r="N7" s="4">
        <f t="shared" si="0"/>
        <v>-1.4420000000000002</v>
      </c>
    </row>
    <row r="8" spans="1:14" x14ac:dyDescent="0.35">
      <c r="A8" s="8"/>
      <c r="B8" s="8">
        <v>30643</v>
      </c>
      <c r="C8" s="8" t="s">
        <v>16</v>
      </c>
      <c r="D8" s="8" t="s">
        <v>1</v>
      </c>
      <c r="E8" s="8" t="s">
        <v>17</v>
      </c>
      <c r="F8" s="9">
        <v>17426</v>
      </c>
      <c r="G8" s="8" t="s">
        <v>18</v>
      </c>
      <c r="H8" s="8">
        <v>16</v>
      </c>
      <c r="I8" s="8" t="s">
        <v>4</v>
      </c>
      <c r="J8" s="8">
        <f>F8/1000</f>
        <v>17.425999999999998</v>
      </c>
      <c r="K8" s="10">
        <v>16.23</v>
      </c>
      <c r="L8" s="8" t="s">
        <v>9</v>
      </c>
      <c r="M8" s="8"/>
      <c r="N8" s="4">
        <f t="shared" si="0"/>
        <v>-1.195999999999998</v>
      </c>
    </row>
    <row r="9" spans="1:14" x14ac:dyDescent="0.35">
      <c r="A9" s="8"/>
      <c r="B9" s="8">
        <v>30644</v>
      </c>
      <c r="C9" s="8" t="s">
        <v>19</v>
      </c>
      <c r="D9" s="8" t="s">
        <v>1</v>
      </c>
      <c r="E9" s="8" t="s">
        <v>20</v>
      </c>
      <c r="F9" s="9">
        <v>18934</v>
      </c>
      <c r="G9" s="8" t="s">
        <v>15</v>
      </c>
      <c r="H9" s="8">
        <v>16</v>
      </c>
      <c r="I9" s="8" t="s">
        <v>4</v>
      </c>
      <c r="J9" s="8">
        <f>F9/1000</f>
        <v>18.934000000000001</v>
      </c>
      <c r="K9" s="10">
        <v>17.43</v>
      </c>
      <c r="L9" s="8" t="s">
        <v>9</v>
      </c>
      <c r="M9" s="8"/>
      <c r="N9" s="4">
        <f t="shared" si="0"/>
        <v>-1.5040000000000013</v>
      </c>
    </row>
    <row r="10" spans="1:14" x14ac:dyDescent="0.35">
      <c r="A10" s="8"/>
      <c r="B10" s="8">
        <v>30645</v>
      </c>
      <c r="C10" s="8" t="s">
        <v>21</v>
      </c>
      <c r="D10" s="8" t="s">
        <v>1</v>
      </c>
      <c r="E10" s="8" t="s">
        <v>22</v>
      </c>
      <c r="F10" s="9">
        <v>19649</v>
      </c>
      <c r="G10" s="8" t="s">
        <v>23</v>
      </c>
      <c r="H10" s="8">
        <v>16</v>
      </c>
      <c r="I10" s="8" t="s">
        <v>4</v>
      </c>
      <c r="J10" s="8">
        <f>F10/1000</f>
        <v>19.649000000000001</v>
      </c>
      <c r="K10" s="10">
        <v>18.41</v>
      </c>
      <c r="L10" s="8" t="s">
        <v>9</v>
      </c>
      <c r="M10" s="8"/>
      <c r="N10" s="4">
        <f t="shared" si="0"/>
        <v>-1.2390000000000008</v>
      </c>
    </row>
    <row r="11" spans="1:14" x14ac:dyDescent="0.35">
      <c r="A11" s="8"/>
      <c r="B11" s="8">
        <v>30646</v>
      </c>
      <c r="C11" s="8" t="s">
        <v>24</v>
      </c>
      <c r="D11" s="8" t="s">
        <v>1</v>
      </c>
      <c r="E11" s="8" t="s">
        <v>25</v>
      </c>
      <c r="F11" s="9">
        <v>20801</v>
      </c>
      <c r="G11" s="8" t="s">
        <v>26</v>
      </c>
      <c r="H11" s="8">
        <v>16</v>
      </c>
      <c r="I11" s="8" t="s">
        <v>4</v>
      </c>
      <c r="J11" s="8">
        <f>F11/1000</f>
        <v>20.800999999999998</v>
      </c>
      <c r="K11" s="10">
        <v>19.47</v>
      </c>
      <c r="L11" s="8" t="s">
        <v>27</v>
      </c>
      <c r="M11" s="8"/>
      <c r="N11" s="4">
        <f t="shared" si="0"/>
        <v>-1.3309999999999995</v>
      </c>
    </row>
    <row r="12" spans="1:14" x14ac:dyDescent="0.35">
      <c r="A12" s="8"/>
      <c r="B12" s="8">
        <v>30647</v>
      </c>
      <c r="C12" s="8" t="s">
        <v>28</v>
      </c>
      <c r="D12" s="8" t="s">
        <v>1</v>
      </c>
      <c r="E12" s="8" t="s">
        <v>29</v>
      </c>
      <c r="F12" s="9">
        <v>22446</v>
      </c>
      <c r="G12" s="8" t="s">
        <v>8</v>
      </c>
      <c r="H12" s="8">
        <v>16</v>
      </c>
      <c r="I12" s="8" t="s">
        <v>30</v>
      </c>
      <c r="J12" s="8">
        <f>F12/1000</f>
        <v>22.446000000000002</v>
      </c>
      <c r="K12" s="10">
        <v>20.81</v>
      </c>
      <c r="L12" s="8" t="s">
        <v>9</v>
      </c>
      <c r="M12" s="8"/>
      <c r="N12" s="4">
        <f t="shared" si="0"/>
        <v>-1.6360000000000028</v>
      </c>
    </row>
    <row r="13" spans="1:14" x14ac:dyDescent="0.35">
      <c r="A13" s="8"/>
      <c r="B13" s="8">
        <v>30648</v>
      </c>
      <c r="C13" s="8" t="s">
        <v>31</v>
      </c>
      <c r="D13" s="8" t="s">
        <v>1</v>
      </c>
      <c r="E13" s="8" t="s">
        <v>32</v>
      </c>
      <c r="F13" s="9">
        <v>22913</v>
      </c>
      <c r="G13" s="8" t="s">
        <v>33</v>
      </c>
      <c r="H13" s="8">
        <v>16</v>
      </c>
      <c r="I13" s="8" t="s">
        <v>30</v>
      </c>
      <c r="J13" s="8">
        <f>F13/1000</f>
        <v>22.913</v>
      </c>
      <c r="K13" s="10">
        <v>21.71</v>
      </c>
      <c r="L13" s="8" t="s">
        <v>27</v>
      </c>
      <c r="M13" s="8"/>
      <c r="N13" s="4">
        <f t="shared" si="0"/>
        <v>-1.2029999999999994</v>
      </c>
    </row>
    <row r="14" spans="1:14" x14ac:dyDescent="0.35">
      <c r="A14" s="8"/>
      <c r="B14" s="8">
        <v>30649</v>
      </c>
      <c r="C14" s="8" t="s">
        <v>34</v>
      </c>
      <c r="D14" s="8" t="s">
        <v>1</v>
      </c>
      <c r="E14" s="8" t="s">
        <v>35</v>
      </c>
      <c r="F14" s="9">
        <v>23956</v>
      </c>
      <c r="G14" s="8" t="s">
        <v>3</v>
      </c>
      <c r="H14" s="8">
        <v>16</v>
      </c>
      <c r="I14" s="8" t="s">
        <v>30</v>
      </c>
      <c r="J14" s="8">
        <f>F14/1000</f>
        <v>23.956</v>
      </c>
      <c r="K14" s="10">
        <v>22.86</v>
      </c>
      <c r="L14" s="8" t="s">
        <v>27</v>
      </c>
      <c r="M14" s="8"/>
      <c r="N14" s="4">
        <f t="shared" si="0"/>
        <v>-1.0960000000000001</v>
      </c>
    </row>
    <row r="15" spans="1:14" x14ac:dyDescent="0.35">
      <c r="A15" s="8"/>
      <c r="B15" s="8">
        <v>30650</v>
      </c>
      <c r="C15" s="8" t="s">
        <v>36</v>
      </c>
      <c r="D15" s="8" t="s">
        <v>1</v>
      </c>
      <c r="E15" s="8" t="s">
        <v>37</v>
      </c>
      <c r="F15" s="9">
        <v>25245</v>
      </c>
      <c r="G15" s="8" t="s">
        <v>38</v>
      </c>
      <c r="H15" s="8">
        <v>16</v>
      </c>
      <c r="I15" s="8" t="s">
        <v>30</v>
      </c>
      <c r="J15" s="8">
        <f>F15/1000</f>
        <v>25.245000000000001</v>
      </c>
      <c r="K15" s="10">
        <v>23.94</v>
      </c>
      <c r="L15" s="8" t="s">
        <v>27</v>
      </c>
      <c r="M15" s="8"/>
      <c r="N15" s="4">
        <f t="shared" si="0"/>
        <v>-1.3049999999999997</v>
      </c>
    </row>
    <row r="16" spans="1:14" x14ac:dyDescent="0.35">
      <c r="A16" s="8"/>
      <c r="B16" s="8">
        <v>30651</v>
      </c>
      <c r="C16" s="8" t="s">
        <v>39</v>
      </c>
      <c r="D16" s="8" t="s">
        <v>1</v>
      </c>
      <c r="E16" s="8" t="s">
        <v>40</v>
      </c>
      <c r="F16" s="9">
        <v>26178</v>
      </c>
      <c r="G16" s="8" t="s">
        <v>41</v>
      </c>
      <c r="H16" s="8">
        <v>16</v>
      </c>
      <c r="I16" s="8" t="s">
        <v>30</v>
      </c>
      <c r="J16" s="8">
        <f>F16/1000</f>
        <v>26.178000000000001</v>
      </c>
      <c r="K16" s="10">
        <v>24.97</v>
      </c>
      <c r="L16" s="8" t="s">
        <v>27</v>
      </c>
      <c r="M16" s="8"/>
      <c r="N16" s="4">
        <f t="shared" si="0"/>
        <v>-1.208000000000002</v>
      </c>
    </row>
    <row r="17" spans="1:14" x14ac:dyDescent="0.35">
      <c r="A17" s="8"/>
      <c r="B17" s="8">
        <v>30652</v>
      </c>
      <c r="C17" s="8" t="s">
        <v>42</v>
      </c>
      <c r="D17" s="8" t="s">
        <v>1</v>
      </c>
      <c r="E17" s="8" t="s">
        <v>43</v>
      </c>
      <c r="F17" s="9">
        <v>27578</v>
      </c>
      <c r="G17" s="8" t="s">
        <v>44</v>
      </c>
      <c r="H17" s="8">
        <v>16</v>
      </c>
      <c r="I17" s="8" t="s">
        <v>30</v>
      </c>
      <c r="J17" s="8">
        <f>F17/1000</f>
        <v>27.577999999999999</v>
      </c>
      <c r="K17" s="10">
        <v>26.19</v>
      </c>
      <c r="L17" s="8" t="s">
        <v>27</v>
      </c>
      <c r="M17" s="8"/>
      <c r="N17" s="4">
        <f t="shared" si="0"/>
        <v>-1.3879999999999981</v>
      </c>
    </row>
    <row r="18" spans="1:14" x14ac:dyDescent="0.35">
      <c r="A18" s="8"/>
      <c r="B18" s="8">
        <v>30653</v>
      </c>
      <c r="C18" s="8" t="s">
        <v>45</v>
      </c>
      <c r="D18" s="8" t="s">
        <v>1</v>
      </c>
      <c r="E18" s="8" t="s">
        <v>46</v>
      </c>
      <c r="F18" s="9">
        <v>28158</v>
      </c>
      <c r="G18" s="8" t="s">
        <v>47</v>
      </c>
      <c r="H18" s="8">
        <v>16</v>
      </c>
      <c r="I18" s="8" t="s">
        <v>30</v>
      </c>
      <c r="J18" s="8">
        <f>F18/1000</f>
        <v>28.158000000000001</v>
      </c>
      <c r="K18" s="10">
        <v>27.21</v>
      </c>
      <c r="L18" s="8" t="s">
        <v>27</v>
      </c>
      <c r="M18" s="8"/>
      <c r="N18" s="4">
        <f t="shared" si="0"/>
        <v>-0.9480000000000004</v>
      </c>
    </row>
    <row r="19" spans="1:14" x14ac:dyDescent="0.35">
      <c r="A19" s="8"/>
      <c r="B19" s="8">
        <v>30654</v>
      </c>
      <c r="C19" s="8" t="s">
        <v>48</v>
      </c>
      <c r="D19" s="8" t="s">
        <v>1</v>
      </c>
      <c r="E19" s="8" t="s">
        <v>49</v>
      </c>
      <c r="F19" s="9">
        <v>29224</v>
      </c>
      <c r="G19" s="8" t="s">
        <v>50</v>
      </c>
      <c r="H19" s="8">
        <v>16</v>
      </c>
      <c r="I19" s="8" t="s">
        <v>30</v>
      </c>
      <c r="J19" s="8">
        <f>F19/1000</f>
        <v>29.224</v>
      </c>
      <c r="K19" s="10">
        <v>28.08</v>
      </c>
      <c r="L19" s="8" t="s">
        <v>27</v>
      </c>
      <c r="M19" s="8"/>
      <c r="N19" s="4">
        <f t="shared" si="0"/>
        <v>-1.1440000000000019</v>
      </c>
    </row>
    <row r="20" spans="1:14" x14ac:dyDescent="0.35">
      <c r="A20" s="8"/>
      <c r="B20" s="8">
        <v>30655</v>
      </c>
      <c r="C20" s="8" t="s">
        <v>51</v>
      </c>
      <c r="D20" s="8" t="s">
        <v>1</v>
      </c>
      <c r="E20" s="8" t="s">
        <v>52</v>
      </c>
      <c r="F20" s="9">
        <v>29913</v>
      </c>
      <c r="G20" s="8" t="s">
        <v>53</v>
      </c>
      <c r="H20" s="8">
        <v>16</v>
      </c>
      <c r="I20" s="8" t="s">
        <v>30</v>
      </c>
      <c r="J20" s="8">
        <f>F20/1000</f>
        <v>29.913</v>
      </c>
      <c r="K20" s="10">
        <v>28.9</v>
      </c>
      <c r="L20" s="8" t="s">
        <v>27</v>
      </c>
      <c r="M20" s="8"/>
      <c r="N20" s="4">
        <f t="shared" si="0"/>
        <v>-1.0130000000000017</v>
      </c>
    </row>
    <row r="21" spans="1:14" x14ac:dyDescent="0.35">
      <c r="A21" s="8"/>
      <c r="B21" s="8">
        <v>30656</v>
      </c>
      <c r="C21" s="8" t="s">
        <v>54</v>
      </c>
      <c r="D21" s="8" t="s">
        <v>1</v>
      </c>
      <c r="E21" s="8" t="s">
        <v>55</v>
      </c>
      <c r="F21" s="9">
        <v>31447</v>
      </c>
      <c r="G21" s="8" t="s">
        <v>56</v>
      </c>
      <c r="H21" s="8">
        <v>16</v>
      </c>
      <c r="I21" s="8" t="s">
        <v>30</v>
      </c>
      <c r="J21" s="8">
        <f>F21/1000</f>
        <v>31.446999999999999</v>
      </c>
      <c r="K21" s="10">
        <v>29.91</v>
      </c>
      <c r="L21" s="8" t="s">
        <v>57</v>
      </c>
      <c r="M21" s="8"/>
      <c r="N21" s="4">
        <f t="shared" si="0"/>
        <v>-1.536999999999999</v>
      </c>
    </row>
    <row r="22" spans="1:14" x14ac:dyDescent="0.35">
      <c r="A22" s="8"/>
      <c r="B22" s="8">
        <v>30657</v>
      </c>
      <c r="C22" s="8" t="s">
        <v>58</v>
      </c>
      <c r="D22" s="8" t="s">
        <v>1</v>
      </c>
      <c r="E22" s="8" t="s">
        <v>59</v>
      </c>
      <c r="F22" s="9">
        <v>32134</v>
      </c>
      <c r="G22" s="8" t="s">
        <v>53</v>
      </c>
      <c r="H22" s="8">
        <v>16</v>
      </c>
      <c r="I22" s="8" t="s">
        <v>30</v>
      </c>
      <c r="J22" s="8">
        <f>F22/1000</f>
        <v>32.134</v>
      </c>
      <c r="K22" s="10">
        <v>31.01</v>
      </c>
      <c r="L22" s="8" t="s">
        <v>57</v>
      </c>
      <c r="M22" s="8"/>
      <c r="N22" s="4">
        <f t="shared" si="0"/>
        <v>-1.1239999999999988</v>
      </c>
    </row>
    <row r="23" spans="1:14" x14ac:dyDescent="0.35">
      <c r="A23" s="8"/>
      <c r="B23" s="8">
        <v>30658</v>
      </c>
      <c r="C23" s="8" t="s">
        <v>60</v>
      </c>
      <c r="D23" s="8" t="s">
        <v>1</v>
      </c>
      <c r="E23" s="8" t="s">
        <v>61</v>
      </c>
      <c r="F23" s="9">
        <v>33312</v>
      </c>
      <c r="G23" s="8" t="s">
        <v>62</v>
      </c>
      <c r="H23" s="8">
        <v>16</v>
      </c>
      <c r="I23" s="8" t="s">
        <v>30</v>
      </c>
      <c r="J23" s="8">
        <f>F23/1000</f>
        <v>33.311999999999998</v>
      </c>
      <c r="K23" s="10">
        <v>31.89</v>
      </c>
      <c r="L23" s="8" t="s">
        <v>57</v>
      </c>
      <c r="M23" s="8"/>
      <c r="N23" s="4">
        <f t="shared" si="0"/>
        <v>-1.421999999999997</v>
      </c>
    </row>
    <row r="24" spans="1:14" x14ac:dyDescent="0.35">
      <c r="A24" s="8"/>
      <c r="B24" s="8">
        <v>30659</v>
      </c>
      <c r="C24" s="8" t="s">
        <v>63</v>
      </c>
      <c r="D24" s="8" t="s">
        <v>1</v>
      </c>
      <c r="E24" s="8" t="s">
        <v>64</v>
      </c>
      <c r="F24" s="9">
        <v>34245</v>
      </c>
      <c r="G24" s="8" t="s">
        <v>41</v>
      </c>
      <c r="H24" s="8">
        <v>16</v>
      </c>
      <c r="I24" s="8" t="s">
        <v>30</v>
      </c>
      <c r="J24" s="8">
        <f>F24/1000</f>
        <v>34.244999999999997</v>
      </c>
      <c r="K24" s="10">
        <v>32.9</v>
      </c>
      <c r="L24" s="8" t="s">
        <v>57</v>
      </c>
      <c r="M24" s="8"/>
      <c r="N24" s="4">
        <f t="shared" si="0"/>
        <v>-1.3449999999999989</v>
      </c>
    </row>
    <row r="25" spans="1:14" x14ac:dyDescent="0.35">
      <c r="A25" s="8"/>
      <c r="B25" s="8">
        <v>30660</v>
      </c>
      <c r="C25" s="8" t="s">
        <v>65</v>
      </c>
      <c r="D25" s="8" t="s">
        <v>1</v>
      </c>
      <c r="E25" s="8" t="s">
        <v>66</v>
      </c>
      <c r="F25" s="9">
        <v>35179</v>
      </c>
      <c r="G25" s="8" t="s">
        <v>41</v>
      </c>
      <c r="H25" s="8">
        <v>16</v>
      </c>
      <c r="I25" s="8" t="s">
        <v>30</v>
      </c>
      <c r="J25" s="8">
        <f>F25/1000</f>
        <v>35.179000000000002</v>
      </c>
      <c r="K25" s="10">
        <v>33.880000000000003</v>
      </c>
      <c r="L25" s="8" t="s">
        <v>57</v>
      </c>
      <c r="M25" s="8"/>
      <c r="N25" s="4">
        <f t="shared" si="0"/>
        <v>-1.2989999999999995</v>
      </c>
    </row>
    <row r="26" spans="1:14" x14ac:dyDescent="0.35">
      <c r="A26" s="8"/>
      <c r="B26" s="8">
        <v>30661</v>
      </c>
      <c r="C26" s="8" t="s">
        <v>67</v>
      </c>
      <c r="D26" s="8" t="s">
        <v>1</v>
      </c>
      <c r="E26" s="8" t="s">
        <v>68</v>
      </c>
      <c r="F26" s="9">
        <v>35645</v>
      </c>
      <c r="G26" s="8" t="s">
        <v>33</v>
      </c>
      <c r="H26" s="8">
        <v>16</v>
      </c>
      <c r="I26" s="8" t="s">
        <v>30</v>
      </c>
      <c r="J26" s="8">
        <f>F26/1000</f>
        <v>35.645000000000003</v>
      </c>
      <c r="K26" s="10">
        <v>34.68</v>
      </c>
      <c r="L26" s="8" t="s">
        <v>57</v>
      </c>
      <c r="M26" s="8"/>
      <c r="N26" s="4">
        <f t="shared" si="0"/>
        <v>-0.96500000000000341</v>
      </c>
    </row>
    <row r="27" spans="1:14" x14ac:dyDescent="0.35">
      <c r="A27" s="8"/>
      <c r="B27" s="8">
        <v>30662</v>
      </c>
      <c r="C27" s="8" t="s">
        <v>69</v>
      </c>
      <c r="D27" s="8" t="s">
        <v>1</v>
      </c>
      <c r="E27" s="8" t="s">
        <v>70</v>
      </c>
      <c r="F27" s="9">
        <v>36934</v>
      </c>
      <c r="G27" s="8" t="s">
        <v>38</v>
      </c>
      <c r="H27" s="8">
        <v>16</v>
      </c>
      <c r="I27" s="8" t="s">
        <v>30</v>
      </c>
      <c r="J27" s="8">
        <f>F27/1000</f>
        <v>36.933999999999997</v>
      </c>
      <c r="K27" s="10">
        <v>35.64</v>
      </c>
      <c r="L27" s="8" t="s">
        <v>57</v>
      </c>
      <c r="M27" s="8"/>
      <c r="N27" s="4">
        <f t="shared" si="0"/>
        <v>-1.2939999999999969</v>
      </c>
    </row>
    <row r="28" spans="1:14" x14ac:dyDescent="0.35">
      <c r="A28" s="8"/>
      <c r="B28" s="8">
        <v>30663</v>
      </c>
      <c r="C28" s="8" t="s">
        <v>71</v>
      </c>
      <c r="D28" s="8" t="s">
        <v>1</v>
      </c>
      <c r="E28" s="8" t="s">
        <v>72</v>
      </c>
      <c r="F28" s="9">
        <v>37291</v>
      </c>
      <c r="G28" s="8" t="s">
        <v>12</v>
      </c>
      <c r="H28" s="8">
        <v>16</v>
      </c>
      <c r="I28" s="8" t="s">
        <v>30</v>
      </c>
      <c r="J28" s="8">
        <f>F28/1000</f>
        <v>37.290999999999997</v>
      </c>
      <c r="K28" s="10">
        <v>36.53</v>
      </c>
      <c r="L28" s="8" t="s">
        <v>73</v>
      </c>
      <c r="M28" s="8"/>
      <c r="N28" s="4">
        <f t="shared" si="0"/>
        <v>-0.76099999999999568</v>
      </c>
    </row>
    <row r="29" spans="1:14" x14ac:dyDescent="0.35">
      <c r="A29" s="8"/>
      <c r="B29" s="8">
        <v>30664</v>
      </c>
      <c r="C29" s="8" t="s">
        <v>74</v>
      </c>
      <c r="D29" s="8" t="s">
        <v>1</v>
      </c>
      <c r="E29" s="8" t="s">
        <v>75</v>
      </c>
      <c r="F29" s="9">
        <v>38558</v>
      </c>
      <c r="G29" s="8" t="s">
        <v>76</v>
      </c>
      <c r="H29" s="8">
        <v>16</v>
      </c>
      <c r="I29" s="8" t="s">
        <v>30</v>
      </c>
      <c r="J29" s="8">
        <f>F29/1000</f>
        <v>38.558</v>
      </c>
      <c r="K29" s="10">
        <v>37.43</v>
      </c>
      <c r="L29" s="8" t="s">
        <v>57</v>
      </c>
      <c r="M29" s="8"/>
      <c r="N29" s="4">
        <f t="shared" si="0"/>
        <v>-1.1280000000000001</v>
      </c>
    </row>
    <row r="30" spans="1:14" x14ac:dyDescent="0.35">
      <c r="A30" s="8"/>
      <c r="B30" s="8">
        <v>30665</v>
      </c>
      <c r="C30" s="8" t="s">
        <v>77</v>
      </c>
      <c r="D30" s="8" t="s">
        <v>1</v>
      </c>
      <c r="E30" s="8" t="s">
        <v>78</v>
      </c>
      <c r="F30" s="9">
        <v>39157</v>
      </c>
      <c r="G30" s="8" t="s">
        <v>79</v>
      </c>
      <c r="H30" s="8">
        <v>16</v>
      </c>
      <c r="I30" s="8" t="s">
        <v>30</v>
      </c>
      <c r="J30" s="8">
        <f>F30/1000</f>
        <v>39.156999999999996</v>
      </c>
      <c r="K30" s="10">
        <v>38.17</v>
      </c>
      <c r="L30" s="8" t="s">
        <v>73</v>
      </c>
      <c r="M30" s="8"/>
      <c r="N30" s="4">
        <f t="shared" si="0"/>
        <v>-0.98699999999999477</v>
      </c>
    </row>
    <row r="31" spans="1:14" x14ac:dyDescent="0.35">
      <c r="A31" s="8"/>
      <c r="B31" s="8">
        <v>30666</v>
      </c>
      <c r="C31" s="8" t="s">
        <v>80</v>
      </c>
      <c r="D31" s="8" t="s">
        <v>1</v>
      </c>
      <c r="E31" s="8" t="s">
        <v>81</v>
      </c>
      <c r="F31" s="9">
        <v>40338</v>
      </c>
      <c r="G31" s="8" t="s">
        <v>62</v>
      </c>
      <c r="H31" s="8">
        <v>16</v>
      </c>
      <c r="I31" s="8" t="s">
        <v>30</v>
      </c>
      <c r="J31" s="8">
        <f>F31/1000</f>
        <v>40.338000000000001</v>
      </c>
      <c r="K31" s="10">
        <v>39.11</v>
      </c>
      <c r="L31" s="8" t="s">
        <v>73</v>
      </c>
      <c r="M31" s="8"/>
      <c r="N31" s="4">
        <f t="shared" si="0"/>
        <v>-1.2280000000000015</v>
      </c>
    </row>
    <row r="32" spans="1:14" x14ac:dyDescent="0.35">
      <c r="A32" s="8"/>
      <c r="B32" s="8">
        <v>30667</v>
      </c>
      <c r="C32" s="8" t="s">
        <v>82</v>
      </c>
      <c r="D32" s="8" t="s">
        <v>1</v>
      </c>
      <c r="E32" s="8" t="s">
        <v>83</v>
      </c>
      <c r="F32" s="9">
        <v>40697</v>
      </c>
      <c r="G32" s="8" t="s">
        <v>12</v>
      </c>
      <c r="H32" s="8">
        <v>16</v>
      </c>
      <c r="I32" s="8" t="s">
        <v>30</v>
      </c>
      <c r="J32" s="8">
        <f>F32/1000</f>
        <v>40.697000000000003</v>
      </c>
      <c r="K32" s="10">
        <v>39.770000000000003</v>
      </c>
      <c r="L32" s="8" t="s">
        <v>73</v>
      </c>
      <c r="M32" s="8"/>
      <c r="N32" s="4">
        <f t="shared" si="0"/>
        <v>-0.9269999999999996</v>
      </c>
    </row>
    <row r="33" spans="1:14" x14ac:dyDescent="0.35">
      <c r="A33" s="8"/>
      <c r="B33" s="8">
        <v>30668</v>
      </c>
      <c r="C33" s="8" t="s">
        <v>84</v>
      </c>
      <c r="D33" s="8" t="s">
        <v>1</v>
      </c>
      <c r="E33" s="8" t="s">
        <v>85</v>
      </c>
      <c r="F33" s="9">
        <v>41629</v>
      </c>
      <c r="G33" s="8" t="s">
        <v>41</v>
      </c>
      <c r="H33" s="8">
        <v>16</v>
      </c>
      <c r="I33" s="8" t="s">
        <v>30</v>
      </c>
      <c r="J33" s="8">
        <f>F33/1000</f>
        <v>41.628999999999998</v>
      </c>
      <c r="K33" s="10">
        <v>40.549999999999997</v>
      </c>
      <c r="L33" s="8" t="s">
        <v>73</v>
      </c>
      <c r="M33" s="8"/>
      <c r="N33" s="4">
        <f t="shared" si="0"/>
        <v>-1.0790000000000006</v>
      </c>
    </row>
    <row r="34" spans="1:14" x14ac:dyDescent="0.35">
      <c r="A34" s="8"/>
      <c r="B34" s="8">
        <v>30669</v>
      </c>
      <c r="C34" s="8" t="s">
        <v>86</v>
      </c>
      <c r="D34" s="8" t="s">
        <v>1</v>
      </c>
      <c r="E34" s="8" t="s">
        <v>87</v>
      </c>
      <c r="F34" s="9">
        <v>42203</v>
      </c>
      <c r="G34" s="8" t="s">
        <v>47</v>
      </c>
      <c r="H34" s="8">
        <v>16</v>
      </c>
      <c r="I34" s="8" t="s">
        <v>30</v>
      </c>
      <c r="J34" s="8">
        <f>F34/1000</f>
        <v>42.203000000000003</v>
      </c>
      <c r="K34" s="10">
        <v>41.24</v>
      </c>
      <c r="L34" s="8" t="s">
        <v>73</v>
      </c>
      <c r="M34" s="8"/>
      <c r="N34" s="4">
        <f t="shared" si="0"/>
        <v>-0.96300000000000097</v>
      </c>
    </row>
    <row r="35" spans="1:14" x14ac:dyDescent="0.35">
      <c r="A35" s="8"/>
      <c r="B35" s="8">
        <v>30670</v>
      </c>
      <c r="C35" s="8" t="s">
        <v>88</v>
      </c>
      <c r="D35" s="8" t="s">
        <v>1</v>
      </c>
      <c r="E35" s="8" t="s">
        <v>89</v>
      </c>
      <c r="F35" s="9">
        <v>42561</v>
      </c>
      <c r="G35" s="8" t="s">
        <v>12</v>
      </c>
      <c r="H35" s="8">
        <v>16</v>
      </c>
      <c r="I35" s="8" t="s">
        <v>30</v>
      </c>
      <c r="J35" s="8">
        <f>F35/1000</f>
        <v>42.561</v>
      </c>
      <c r="K35" s="10">
        <v>41.81</v>
      </c>
      <c r="L35" s="8" t="s">
        <v>90</v>
      </c>
      <c r="M35" s="8"/>
      <c r="N35" s="4">
        <f t="shared" si="0"/>
        <v>-0.75099999999999767</v>
      </c>
    </row>
    <row r="36" spans="1:14" x14ac:dyDescent="0.35">
      <c r="A36" s="8"/>
      <c r="B36" s="8">
        <v>30671</v>
      </c>
      <c r="C36" s="8" t="s">
        <v>91</v>
      </c>
      <c r="D36" s="8" t="s">
        <v>1</v>
      </c>
      <c r="E36" s="8" t="s">
        <v>92</v>
      </c>
      <c r="F36" s="9">
        <v>43602</v>
      </c>
      <c r="G36" s="8" t="s">
        <v>3</v>
      </c>
      <c r="H36" s="8">
        <v>16</v>
      </c>
      <c r="I36" s="8" t="s">
        <v>30</v>
      </c>
      <c r="J36" s="8">
        <f>F36/1000</f>
        <v>43.601999999999997</v>
      </c>
      <c r="K36" s="10">
        <v>42.72</v>
      </c>
      <c r="L36" s="8" t="s">
        <v>73</v>
      </c>
      <c r="M36" s="8"/>
      <c r="N36" s="4">
        <f t="shared" si="0"/>
        <v>-0.8819999999999979</v>
      </c>
    </row>
    <row r="37" spans="1:14" x14ac:dyDescent="0.35">
      <c r="A37" s="8"/>
      <c r="B37" s="8">
        <v>30672</v>
      </c>
      <c r="C37" s="8" t="s">
        <v>93</v>
      </c>
      <c r="D37" s="8" t="s">
        <v>1</v>
      </c>
      <c r="E37" s="8" t="s">
        <v>94</v>
      </c>
      <c r="F37" s="9">
        <v>44677</v>
      </c>
      <c r="G37" s="8" t="s">
        <v>50</v>
      </c>
      <c r="H37" s="8">
        <v>16</v>
      </c>
      <c r="I37" s="8" t="s">
        <v>30</v>
      </c>
      <c r="J37" s="8">
        <f>F37/1000</f>
        <v>44.677</v>
      </c>
      <c r="K37" s="10">
        <v>43.47</v>
      </c>
      <c r="L37" s="8" t="s">
        <v>90</v>
      </c>
      <c r="M37" s="8"/>
      <c r="N37" s="4">
        <f t="shared" si="0"/>
        <v>-1.2070000000000007</v>
      </c>
    </row>
    <row r="38" spans="1:14" x14ac:dyDescent="0.35">
      <c r="A38" s="8"/>
      <c r="B38" s="8">
        <v>30673</v>
      </c>
      <c r="C38" s="8" t="s">
        <v>95</v>
      </c>
      <c r="D38" s="8" t="s">
        <v>1</v>
      </c>
      <c r="E38" s="8" t="s">
        <v>96</v>
      </c>
      <c r="F38" s="9">
        <v>45359</v>
      </c>
      <c r="G38" s="8" t="s">
        <v>53</v>
      </c>
      <c r="H38" s="8">
        <v>16</v>
      </c>
      <c r="I38" s="8" t="s">
        <v>30</v>
      </c>
      <c r="J38" s="8">
        <f>F38/1000</f>
        <v>45.359000000000002</v>
      </c>
      <c r="K38" s="10">
        <v>44.33</v>
      </c>
      <c r="L38" s="8" t="s">
        <v>90</v>
      </c>
      <c r="M38" s="8"/>
      <c r="N38" s="4">
        <f t="shared" si="0"/>
        <v>-1.0290000000000035</v>
      </c>
    </row>
    <row r="39" spans="1:14" x14ac:dyDescent="0.35">
      <c r="A39" s="8"/>
      <c r="B39" s="8">
        <v>30674</v>
      </c>
      <c r="C39" s="8" t="s">
        <v>97</v>
      </c>
      <c r="D39" s="8" t="s">
        <v>1</v>
      </c>
      <c r="E39" s="8" t="s">
        <v>98</v>
      </c>
      <c r="F39" s="9">
        <v>46183</v>
      </c>
      <c r="G39" s="8" t="s">
        <v>18</v>
      </c>
      <c r="H39" s="8">
        <v>16</v>
      </c>
      <c r="I39" s="8" t="s">
        <v>30</v>
      </c>
      <c r="J39" s="8">
        <f>F39/1000</f>
        <v>46.183</v>
      </c>
      <c r="K39" s="10">
        <v>45.12</v>
      </c>
      <c r="L39" s="8" t="s">
        <v>90</v>
      </c>
      <c r="M39" s="8"/>
      <c r="N39" s="4">
        <f t="shared" si="0"/>
        <v>-1.0630000000000024</v>
      </c>
    </row>
    <row r="40" spans="1:14" x14ac:dyDescent="0.35">
      <c r="A40" s="8"/>
      <c r="B40" s="8">
        <v>30675</v>
      </c>
      <c r="C40" s="8" t="s">
        <v>99</v>
      </c>
      <c r="D40" s="8" t="s">
        <v>1</v>
      </c>
      <c r="E40" s="8" t="s">
        <v>98</v>
      </c>
      <c r="F40" s="9">
        <v>46183</v>
      </c>
      <c r="G40" s="8" t="s">
        <v>100</v>
      </c>
      <c r="H40" s="8">
        <v>16</v>
      </c>
      <c r="I40" s="8" t="s">
        <v>30</v>
      </c>
      <c r="J40" s="8">
        <f>F40/1000</f>
        <v>46.183</v>
      </c>
      <c r="K40" s="10">
        <v>45.64</v>
      </c>
      <c r="L40" s="8" t="s">
        <v>90</v>
      </c>
      <c r="M40" s="8"/>
      <c r="N40" s="4">
        <f t="shared" si="0"/>
        <v>-0.54299999999999926</v>
      </c>
    </row>
    <row r="41" spans="1:14" x14ac:dyDescent="0.35">
      <c r="A41" s="8"/>
      <c r="B41" s="8">
        <v>30676</v>
      </c>
      <c r="C41" s="8" t="s">
        <v>101</v>
      </c>
      <c r="D41" s="8" t="s">
        <v>1</v>
      </c>
      <c r="E41" s="8" t="s">
        <v>102</v>
      </c>
      <c r="F41" s="9">
        <v>47473</v>
      </c>
      <c r="G41" s="8" t="s">
        <v>38</v>
      </c>
      <c r="H41" s="8">
        <v>16</v>
      </c>
      <c r="I41" s="8" t="s">
        <v>30</v>
      </c>
      <c r="J41" s="8">
        <f>F41/1000</f>
        <v>47.472999999999999</v>
      </c>
      <c r="K41" s="10">
        <v>46.46</v>
      </c>
      <c r="L41" s="8" t="s">
        <v>90</v>
      </c>
      <c r="M41" s="8"/>
      <c r="N41" s="4">
        <f t="shared" si="0"/>
        <v>-1.0129999999999981</v>
      </c>
    </row>
    <row r="42" spans="1:14" x14ac:dyDescent="0.35">
      <c r="A42" s="8"/>
      <c r="B42" s="8">
        <v>30677</v>
      </c>
      <c r="C42" s="8" t="s">
        <v>103</v>
      </c>
      <c r="D42" s="8" t="s">
        <v>1</v>
      </c>
      <c r="E42" s="8" t="s">
        <v>102</v>
      </c>
      <c r="F42" s="9">
        <v>47620</v>
      </c>
      <c r="G42" s="8" t="s">
        <v>104</v>
      </c>
      <c r="H42" s="8">
        <v>16</v>
      </c>
      <c r="I42" s="8" t="s">
        <v>30</v>
      </c>
      <c r="J42" s="8">
        <f>F42/1000</f>
        <v>47.62</v>
      </c>
      <c r="K42" s="10">
        <v>46.97</v>
      </c>
      <c r="L42" s="8" t="s">
        <v>90</v>
      </c>
      <c r="M42" s="8"/>
      <c r="N42" s="4">
        <f t="shared" si="0"/>
        <v>-0.64999999999999858</v>
      </c>
    </row>
    <row r="43" spans="1:14" x14ac:dyDescent="0.35">
      <c r="A43" s="8"/>
      <c r="B43" s="8">
        <v>30678</v>
      </c>
      <c r="C43" s="8" t="s">
        <v>105</v>
      </c>
      <c r="D43" s="8" t="s">
        <v>1</v>
      </c>
      <c r="E43" s="8" t="s">
        <v>106</v>
      </c>
      <c r="F43" s="9">
        <v>48298</v>
      </c>
      <c r="G43" s="8" t="s">
        <v>53</v>
      </c>
      <c r="H43" s="8">
        <v>16</v>
      </c>
      <c r="I43" s="8" t="s">
        <v>30</v>
      </c>
      <c r="J43" s="8">
        <f>F43/1000</f>
        <v>48.298000000000002</v>
      </c>
      <c r="K43" s="10">
        <v>47.6</v>
      </c>
      <c r="L43" s="8" t="s">
        <v>90</v>
      </c>
      <c r="M43" s="8"/>
      <c r="N43" s="4">
        <f t="shared" si="0"/>
        <v>-0.6980000000000004</v>
      </c>
    </row>
    <row r="44" spans="1:14" x14ac:dyDescent="0.35">
      <c r="A44" s="8"/>
      <c r="B44" s="8">
        <v>30679</v>
      </c>
      <c r="C44" s="8" t="s">
        <v>107</v>
      </c>
      <c r="D44" s="8" t="s">
        <v>1</v>
      </c>
      <c r="E44" s="8" t="s">
        <v>108</v>
      </c>
      <c r="F44" s="9">
        <v>49123</v>
      </c>
      <c r="G44" s="8" t="s">
        <v>18</v>
      </c>
      <c r="H44" s="8">
        <v>16</v>
      </c>
      <c r="I44" s="8" t="s">
        <v>30</v>
      </c>
      <c r="J44" s="8">
        <f>F44/1000</f>
        <v>49.122999999999998</v>
      </c>
      <c r="K44" s="10">
        <v>48.28</v>
      </c>
      <c r="L44" s="8" t="s">
        <v>90</v>
      </c>
      <c r="M44" s="8"/>
      <c r="N44" s="4">
        <f t="shared" si="0"/>
        <v>-0.84299999999999642</v>
      </c>
    </row>
    <row r="45" spans="1:14" x14ac:dyDescent="0.35">
      <c r="A45" s="8"/>
      <c r="B45" s="8">
        <v>30680</v>
      </c>
      <c r="C45" s="8" t="s">
        <v>109</v>
      </c>
      <c r="D45" s="8" t="s">
        <v>1</v>
      </c>
      <c r="E45" s="8" t="s">
        <v>110</v>
      </c>
      <c r="F45" s="9">
        <v>49949</v>
      </c>
      <c r="G45" s="8" t="s">
        <v>18</v>
      </c>
      <c r="H45" s="8">
        <v>16</v>
      </c>
      <c r="I45" s="8" t="s">
        <v>30</v>
      </c>
      <c r="J45" s="8">
        <f>F45/1000</f>
        <v>49.948999999999998</v>
      </c>
      <c r="K45" s="10">
        <v>48.95</v>
      </c>
      <c r="L45" s="8" t="s">
        <v>111</v>
      </c>
      <c r="M45" s="8"/>
      <c r="N45" s="4">
        <f t="shared" si="0"/>
        <v>-0.99899999999999523</v>
      </c>
    </row>
    <row r="46" spans="1:14" x14ac:dyDescent="0.35">
      <c r="A46" s="8"/>
      <c r="B46" s="8">
        <v>30681</v>
      </c>
      <c r="C46" s="8" t="s">
        <v>112</v>
      </c>
      <c r="D46" s="8" t="s">
        <v>1</v>
      </c>
      <c r="E46" s="8" t="s">
        <v>110</v>
      </c>
      <c r="F46" s="9">
        <v>50055</v>
      </c>
      <c r="G46" s="8" t="s">
        <v>113</v>
      </c>
      <c r="H46" s="8">
        <v>16</v>
      </c>
      <c r="I46" s="8" t="s">
        <v>30</v>
      </c>
      <c r="J46" s="8">
        <f>F46/1000</f>
        <v>50.055</v>
      </c>
      <c r="K46" s="10">
        <v>49.42</v>
      </c>
      <c r="L46" s="8" t="s">
        <v>111</v>
      </c>
      <c r="M46" s="8"/>
      <c r="N46" s="4">
        <f t="shared" si="0"/>
        <v>-0.63499999999999801</v>
      </c>
    </row>
    <row r="47" spans="1:14" x14ac:dyDescent="0.35">
      <c r="A47" s="8"/>
      <c r="B47" s="8">
        <v>30682</v>
      </c>
      <c r="C47" s="8" t="s">
        <v>114</v>
      </c>
      <c r="D47" s="8" t="s">
        <v>1</v>
      </c>
      <c r="E47" s="8" t="s">
        <v>115</v>
      </c>
      <c r="F47" s="9">
        <v>50775</v>
      </c>
      <c r="G47" s="8" t="s">
        <v>23</v>
      </c>
      <c r="H47" s="8">
        <v>16</v>
      </c>
      <c r="I47" s="8" t="s">
        <v>30</v>
      </c>
      <c r="J47" s="8">
        <f>F47/1000</f>
        <v>50.774999999999999</v>
      </c>
      <c r="K47" s="10">
        <v>50.12</v>
      </c>
      <c r="L47" s="8" t="s">
        <v>111</v>
      </c>
      <c r="M47" s="8"/>
      <c r="N47" s="4">
        <f t="shared" si="0"/>
        <v>-0.65500000000000114</v>
      </c>
    </row>
    <row r="48" spans="1:14" x14ac:dyDescent="0.35">
      <c r="A48" s="8"/>
      <c r="B48" s="8">
        <v>30683</v>
      </c>
      <c r="C48" s="8" t="s">
        <v>116</v>
      </c>
      <c r="D48" s="8" t="s">
        <v>1</v>
      </c>
      <c r="E48" s="8" t="s">
        <v>117</v>
      </c>
      <c r="F48" s="9">
        <v>51347</v>
      </c>
      <c r="G48" s="8" t="s">
        <v>47</v>
      </c>
      <c r="H48" s="8">
        <v>16</v>
      </c>
      <c r="I48" s="8" t="s">
        <v>30</v>
      </c>
      <c r="J48" s="8">
        <f>F48/1000</f>
        <v>51.347000000000001</v>
      </c>
      <c r="K48" s="10">
        <v>50.58</v>
      </c>
      <c r="L48" s="8" t="s">
        <v>111</v>
      </c>
      <c r="M48" s="8"/>
      <c r="N48" s="4">
        <f t="shared" si="0"/>
        <v>-0.76700000000000301</v>
      </c>
    </row>
    <row r="49" spans="1:14" x14ac:dyDescent="0.35">
      <c r="A49" s="8"/>
      <c r="B49" s="8">
        <v>30684</v>
      </c>
      <c r="C49" s="8" t="s">
        <v>118</v>
      </c>
      <c r="D49" s="8" t="s">
        <v>1</v>
      </c>
      <c r="E49" s="8" t="s">
        <v>119</v>
      </c>
      <c r="F49" s="9">
        <v>51706</v>
      </c>
      <c r="G49" s="8" t="s">
        <v>12</v>
      </c>
      <c r="H49" s="8">
        <v>16</v>
      </c>
      <c r="I49" s="8" t="s">
        <v>30</v>
      </c>
      <c r="J49" s="8">
        <f>F49/1000</f>
        <v>51.706000000000003</v>
      </c>
      <c r="K49" s="10">
        <v>51.2</v>
      </c>
      <c r="L49" s="8" t="s">
        <v>111</v>
      </c>
      <c r="M49" s="8"/>
      <c r="N49" s="4">
        <f t="shared" si="0"/>
        <v>-0.50600000000000023</v>
      </c>
    </row>
    <row r="50" spans="1:14" x14ac:dyDescent="0.35">
      <c r="A50" s="8"/>
      <c r="B50" s="8">
        <v>30685</v>
      </c>
      <c r="C50" s="8" t="s">
        <v>120</v>
      </c>
      <c r="D50" s="8" t="s">
        <v>1</v>
      </c>
      <c r="E50" s="8" t="s">
        <v>121</v>
      </c>
      <c r="F50" s="9">
        <v>52532</v>
      </c>
      <c r="G50" s="8" t="s">
        <v>18</v>
      </c>
      <c r="H50" s="8">
        <v>16</v>
      </c>
      <c r="I50" s="8" t="s">
        <v>30</v>
      </c>
      <c r="J50" s="8">
        <f>F50/1000</f>
        <v>52.531999999999996</v>
      </c>
      <c r="K50" s="10">
        <v>51.71</v>
      </c>
      <c r="L50" s="8" t="s">
        <v>111</v>
      </c>
      <c r="M50" s="8"/>
      <c r="N50" s="4">
        <f t="shared" si="0"/>
        <v>-0.82199999999999562</v>
      </c>
    </row>
    <row r="51" spans="1:14" x14ac:dyDescent="0.35">
      <c r="A51" s="8"/>
      <c r="B51" s="8">
        <v>30686</v>
      </c>
      <c r="C51" s="8" t="s">
        <v>122</v>
      </c>
      <c r="D51" s="8" t="s">
        <v>1</v>
      </c>
      <c r="E51" s="8" t="s">
        <v>123</v>
      </c>
      <c r="F51" s="9">
        <v>52852</v>
      </c>
      <c r="G51" s="8" t="s">
        <v>124</v>
      </c>
      <c r="H51" s="8">
        <v>16</v>
      </c>
      <c r="I51" s="8" t="s">
        <v>30</v>
      </c>
      <c r="J51" s="8">
        <f>F51/1000</f>
        <v>52.851999999999997</v>
      </c>
      <c r="K51" s="10">
        <v>52.2</v>
      </c>
      <c r="L51" s="8" t="s">
        <v>111</v>
      </c>
      <c r="M51" s="8"/>
      <c r="N51" s="4">
        <f t="shared" si="0"/>
        <v>-0.65199999999999392</v>
      </c>
    </row>
    <row r="52" spans="1:14" x14ac:dyDescent="0.35">
      <c r="B52">
        <v>30687</v>
      </c>
      <c r="C52" t="s">
        <v>125</v>
      </c>
      <c r="D52" t="s">
        <v>1</v>
      </c>
      <c r="E52" t="s">
        <v>123</v>
      </c>
      <c r="F52" s="1">
        <v>52998</v>
      </c>
      <c r="G52" t="s">
        <v>104</v>
      </c>
      <c r="H52">
        <v>16</v>
      </c>
      <c r="I52" t="s">
        <v>30</v>
      </c>
      <c r="J52">
        <f>F52/1000</f>
        <v>52.997999999999998</v>
      </c>
      <c r="K52" s="3">
        <v>52.6</v>
      </c>
      <c r="L52" t="s">
        <v>111</v>
      </c>
      <c r="N52" s="4">
        <f t="shared" si="0"/>
        <v>-0.39799999999999613</v>
      </c>
    </row>
    <row r="53" spans="1:14" x14ac:dyDescent="0.35">
      <c r="A53" s="8"/>
      <c r="B53" s="8">
        <v>30688</v>
      </c>
      <c r="C53" s="8" t="s">
        <v>126</v>
      </c>
      <c r="D53" s="8" t="s">
        <v>1</v>
      </c>
      <c r="E53" s="8" t="s">
        <v>127</v>
      </c>
      <c r="F53" s="9">
        <v>54082</v>
      </c>
      <c r="G53" s="8" t="s">
        <v>50</v>
      </c>
      <c r="H53" s="8">
        <v>16</v>
      </c>
      <c r="I53" s="8" t="s">
        <v>30</v>
      </c>
      <c r="J53" s="8">
        <f>F53/1000</f>
        <v>54.082000000000001</v>
      </c>
      <c r="K53" s="10">
        <v>53.15</v>
      </c>
      <c r="L53" s="8" t="s">
        <v>111</v>
      </c>
      <c r="M53" s="8"/>
      <c r="N53" s="4">
        <f t="shared" si="0"/>
        <v>-0.93200000000000216</v>
      </c>
    </row>
    <row r="54" spans="1:14" x14ac:dyDescent="0.35">
      <c r="B54">
        <v>30689</v>
      </c>
      <c r="C54" t="s">
        <v>128</v>
      </c>
      <c r="D54" t="s">
        <v>1</v>
      </c>
      <c r="E54" t="s">
        <v>127</v>
      </c>
      <c r="F54" s="1">
        <v>54143</v>
      </c>
      <c r="G54" t="s">
        <v>129</v>
      </c>
      <c r="H54">
        <v>16</v>
      </c>
      <c r="I54" t="s">
        <v>30</v>
      </c>
      <c r="J54">
        <f>F54/1000</f>
        <v>54.143000000000001</v>
      </c>
      <c r="K54" s="3">
        <v>53.69</v>
      </c>
      <c r="L54" t="s">
        <v>111</v>
      </c>
      <c r="N54" s="4">
        <f t="shared" si="0"/>
        <v>-0.45300000000000296</v>
      </c>
    </row>
    <row r="55" spans="1:14" x14ac:dyDescent="0.35">
      <c r="A55" s="8"/>
      <c r="B55" s="8">
        <v>30690</v>
      </c>
      <c r="C55" s="8" t="s">
        <v>130</v>
      </c>
      <c r="D55" s="8" t="s">
        <v>1</v>
      </c>
      <c r="E55" s="8" t="s">
        <v>131</v>
      </c>
      <c r="F55" s="9">
        <v>54502</v>
      </c>
      <c r="G55" s="8" t="s">
        <v>12</v>
      </c>
      <c r="H55" s="8">
        <v>16</v>
      </c>
      <c r="I55" s="8" t="s">
        <v>30</v>
      </c>
      <c r="J55" s="8">
        <f>F55/1000</f>
        <v>54.502000000000002</v>
      </c>
      <c r="K55" s="10">
        <v>53.98</v>
      </c>
      <c r="L55" s="8" t="s">
        <v>111</v>
      </c>
      <c r="M55" s="8"/>
      <c r="N55" s="4">
        <f t="shared" si="0"/>
        <v>-0.52200000000000557</v>
      </c>
    </row>
    <row r="56" spans="1:14" x14ac:dyDescent="0.35">
      <c r="A56" s="8"/>
      <c r="B56" s="8">
        <v>30691</v>
      </c>
      <c r="C56" s="8" t="s">
        <v>132</v>
      </c>
      <c r="D56" s="8" t="s">
        <v>1</v>
      </c>
      <c r="E56" s="8" t="s">
        <v>133</v>
      </c>
      <c r="F56" s="9">
        <v>55541</v>
      </c>
      <c r="G56" s="8" t="s">
        <v>3</v>
      </c>
      <c r="H56" s="8">
        <v>16</v>
      </c>
      <c r="I56" s="8" t="s">
        <v>30</v>
      </c>
      <c r="J56" s="8">
        <f>F56/1000</f>
        <v>55.540999999999997</v>
      </c>
      <c r="K56" s="10">
        <v>54.69</v>
      </c>
      <c r="L56" s="8" t="s">
        <v>111</v>
      </c>
      <c r="M56" s="8"/>
      <c r="N56" s="4">
        <f t="shared" si="0"/>
        <v>-0.85099999999999909</v>
      </c>
    </row>
    <row r="57" spans="1:14" x14ac:dyDescent="0.35">
      <c r="A57" s="8"/>
      <c r="B57" s="8">
        <v>30692</v>
      </c>
      <c r="C57" s="8" t="s">
        <v>134</v>
      </c>
      <c r="D57" s="8" t="s">
        <v>1</v>
      </c>
      <c r="E57" s="8" t="s">
        <v>135</v>
      </c>
      <c r="F57" s="9">
        <v>55793</v>
      </c>
      <c r="G57" s="8" t="s">
        <v>136</v>
      </c>
      <c r="H57" s="8">
        <v>16</v>
      </c>
      <c r="I57" s="8" t="s">
        <v>30</v>
      </c>
      <c r="J57" s="8">
        <f>F57/1000</f>
        <v>55.792999999999999</v>
      </c>
      <c r="K57" s="10">
        <v>55.08</v>
      </c>
      <c r="L57" s="8" t="s">
        <v>111</v>
      </c>
      <c r="M57" s="8"/>
      <c r="N57" s="4">
        <f t="shared" si="0"/>
        <v>-0.71300000000000097</v>
      </c>
    </row>
    <row r="58" spans="1:14" x14ac:dyDescent="0.35">
      <c r="A58" s="8"/>
      <c r="B58" s="8">
        <v>30693</v>
      </c>
      <c r="C58" s="8" t="s">
        <v>137</v>
      </c>
      <c r="D58" s="8" t="s">
        <v>1</v>
      </c>
      <c r="E58" s="8" t="s">
        <v>138</v>
      </c>
      <c r="F58" s="9">
        <v>56007</v>
      </c>
      <c r="G58" s="8" t="s">
        <v>139</v>
      </c>
      <c r="H58" s="8">
        <v>16</v>
      </c>
      <c r="I58" s="8" t="s">
        <v>30</v>
      </c>
      <c r="J58" s="8">
        <f>F58/1000</f>
        <v>56.006999999999998</v>
      </c>
      <c r="K58" s="10">
        <v>55.34</v>
      </c>
      <c r="L58" s="8" t="s">
        <v>111</v>
      </c>
      <c r="M58" s="8"/>
      <c r="N58" s="4">
        <f t="shared" si="0"/>
        <v>-0.66699999999999449</v>
      </c>
    </row>
    <row r="59" spans="1:14" x14ac:dyDescent="0.35">
      <c r="A59" s="8"/>
      <c r="B59" s="8">
        <v>30694</v>
      </c>
      <c r="C59" s="8" t="s">
        <v>140</v>
      </c>
      <c r="D59" s="8" t="s">
        <v>1</v>
      </c>
      <c r="E59" s="8" t="s">
        <v>141</v>
      </c>
      <c r="F59" s="9">
        <v>56474</v>
      </c>
      <c r="G59" s="8" t="s">
        <v>33</v>
      </c>
      <c r="H59" s="8">
        <v>16</v>
      </c>
      <c r="I59" s="8" t="s">
        <v>30</v>
      </c>
      <c r="J59" s="8">
        <f>F59/1000</f>
        <v>56.473999999999997</v>
      </c>
      <c r="K59" s="10">
        <v>55.8</v>
      </c>
      <c r="L59" s="8" t="s">
        <v>142</v>
      </c>
      <c r="M59" s="8"/>
      <c r="N59" s="4">
        <f t="shared" si="0"/>
        <v>-0.67399999999999949</v>
      </c>
    </row>
    <row r="60" spans="1:14" x14ac:dyDescent="0.35">
      <c r="A60" s="8"/>
      <c r="B60" s="8">
        <v>30695</v>
      </c>
      <c r="C60" s="8" t="s">
        <v>143</v>
      </c>
      <c r="D60" s="8" t="s">
        <v>1</v>
      </c>
      <c r="E60" s="8" t="s">
        <v>144</v>
      </c>
      <c r="F60" s="9">
        <v>56832</v>
      </c>
      <c r="G60" s="8" t="s">
        <v>12</v>
      </c>
      <c r="H60" s="8">
        <v>16</v>
      </c>
      <c r="I60" s="8" t="s">
        <v>30</v>
      </c>
      <c r="J60" s="8">
        <f>F60/1000</f>
        <v>56.832000000000001</v>
      </c>
      <c r="K60" s="10">
        <v>56.3</v>
      </c>
      <c r="L60" s="8" t="s">
        <v>111</v>
      </c>
      <c r="M60" s="8"/>
      <c r="N60" s="4">
        <f t="shared" si="0"/>
        <v>-0.53200000000000358</v>
      </c>
    </row>
    <row r="61" spans="1:14" x14ac:dyDescent="0.35">
      <c r="A61" s="8"/>
      <c r="B61" s="8">
        <v>30696</v>
      </c>
      <c r="C61" s="8" t="s">
        <v>145</v>
      </c>
      <c r="D61" s="8" t="s">
        <v>1</v>
      </c>
      <c r="E61" s="8" t="s">
        <v>146</v>
      </c>
      <c r="F61" s="9">
        <v>57298</v>
      </c>
      <c r="G61" s="8" t="s">
        <v>33</v>
      </c>
      <c r="H61" s="8">
        <v>16</v>
      </c>
      <c r="I61" s="8" t="s">
        <v>30</v>
      </c>
      <c r="J61" s="8">
        <f>F61/1000</f>
        <v>57.298000000000002</v>
      </c>
      <c r="K61" s="10">
        <v>56.69</v>
      </c>
      <c r="L61" s="8" t="s">
        <v>142</v>
      </c>
      <c r="M61" s="8"/>
      <c r="N61" s="4">
        <f t="shared" si="0"/>
        <v>-0.60800000000000409</v>
      </c>
    </row>
    <row r="62" spans="1:14" x14ac:dyDescent="0.35">
      <c r="A62" s="8"/>
      <c r="B62" s="8">
        <v>30697</v>
      </c>
      <c r="C62" s="8" t="s">
        <v>147</v>
      </c>
      <c r="D62" s="8" t="s">
        <v>1</v>
      </c>
      <c r="E62" s="8" t="s">
        <v>148</v>
      </c>
      <c r="F62" s="9">
        <v>58016</v>
      </c>
      <c r="G62" s="8" t="s">
        <v>23</v>
      </c>
      <c r="H62" s="8">
        <v>16</v>
      </c>
      <c r="I62" s="8" t="s">
        <v>30</v>
      </c>
      <c r="J62" s="8">
        <f>F62/1000</f>
        <v>58.015999999999998</v>
      </c>
      <c r="K62" s="10">
        <v>57.17</v>
      </c>
      <c r="L62" s="8" t="s">
        <v>142</v>
      </c>
      <c r="M62" s="8"/>
      <c r="N62" s="4">
        <f t="shared" si="0"/>
        <v>-0.84599999999999653</v>
      </c>
    </row>
    <row r="63" spans="1:14" x14ac:dyDescent="0.35">
      <c r="B63">
        <v>30698</v>
      </c>
      <c r="C63" t="s">
        <v>149</v>
      </c>
      <c r="D63" t="s">
        <v>1</v>
      </c>
      <c r="E63" t="s">
        <v>148</v>
      </c>
      <c r="F63" s="1">
        <v>57981</v>
      </c>
      <c r="G63" t="s">
        <v>150</v>
      </c>
      <c r="H63">
        <v>16</v>
      </c>
      <c r="I63" t="s">
        <v>30</v>
      </c>
      <c r="J63">
        <f>F63/1000</f>
        <v>57.981000000000002</v>
      </c>
      <c r="K63" s="3">
        <v>57.62</v>
      </c>
      <c r="L63" t="s">
        <v>111</v>
      </c>
      <c r="N63" s="4">
        <f t="shared" si="0"/>
        <v>-0.36100000000000421</v>
      </c>
    </row>
    <row r="64" spans="1:14" x14ac:dyDescent="0.35">
      <c r="A64" s="8"/>
      <c r="B64" s="8">
        <v>30699</v>
      </c>
      <c r="C64" s="8" t="s">
        <v>151</v>
      </c>
      <c r="D64" s="8" t="s">
        <v>1</v>
      </c>
      <c r="E64" s="8" t="s">
        <v>152</v>
      </c>
      <c r="F64" s="9">
        <v>58779</v>
      </c>
      <c r="G64" s="8" t="s">
        <v>153</v>
      </c>
      <c r="H64" s="8">
        <v>16</v>
      </c>
      <c r="I64" s="8" t="s">
        <v>30</v>
      </c>
      <c r="J64" s="8">
        <f>F64/1000</f>
        <v>58.779000000000003</v>
      </c>
      <c r="K64" s="10">
        <v>58.05</v>
      </c>
      <c r="L64" s="8" t="s">
        <v>142</v>
      </c>
      <c r="M64" s="8"/>
      <c r="N64" s="4">
        <f t="shared" si="0"/>
        <v>-0.72900000000000631</v>
      </c>
    </row>
    <row r="65" spans="1:14" x14ac:dyDescent="0.35">
      <c r="B65">
        <v>30700</v>
      </c>
      <c r="C65" t="s">
        <v>154</v>
      </c>
      <c r="D65" t="s">
        <v>1</v>
      </c>
      <c r="E65" t="s">
        <v>155</v>
      </c>
      <c r="F65" s="1">
        <v>58914</v>
      </c>
      <c r="G65" t="s">
        <v>104</v>
      </c>
      <c r="H65">
        <v>16</v>
      </c>
      <c r="I65" t="s">
        <v>30</v>
      </c>
      <c r="J65">
        <f>F65/1000</f>
        <v>58.914000000000001</v>
      </c>
      <c r="K65" s="3">
        <v>58.49</v>
      </c>
      <c r="L65" t="s">
        <v>111</v>
      </c>
      <c r="N65" s="4">
        <f t="shared" si="0"/>
        <v>-0.42399999999999949</v>
      </c>
    </row>
    <row r="66" spans="1:14" x14ac:dyDescent="0.35">
      <c r="A66" s="8"/>
      <c r="B66" s="8">
        <v>30701</v>
      </c>
      <c r="C66" s="8" t="s">
        <v>156</v>
      </c>
      <c r="D66" s="8" t="s">
        <v>1</v>
      </c>
      <c r="E66" s="8" t="s">
        <v>157</v>
      </c>
      <c r="F66" s="9">
        <v>59738</v>
      </c>
      <c r="G66" s="8" t="s">
        <v>18</v>
      </c>
      <c r="H66" s="8">
        <v>16</v>
      </c>
      <c r="I66" s="8" t="s">
        <v>30</v>
      </c>
      <c r="J66" s="8">
        <f>F66/1000</f>
        <v>59.738</v>
      </c>
      <c r="K66" s="10">
        <v>59.04</v>
      </c>
      <c r="L66" s="8" t="s">
        <v>111</v>
      </c>
      <c r="M66" s="8"/>
      <c r="N66" s="4">
        <f t="shared" si="0"/>
        <v>-0.6980000000000004</v>
      </c>
    </row>
    <row r="67" spans="1:14" x14ac:dyDescent="0.35">
      <c r="B67">
        <v>30702</v>
      </c>
      <c r="C67" t="s">
        <v>158</v>
      </c>
      <c r="D67" t="s">
        <v>1</v>
      </c>
      <c r="E67" t="s">
        <v>157</v>
      </c>
      <c r="F67" s="1">
        <v>59825</v>
      </c>
      <c r="G67" t="s">
        <v>129</v>
      </c>
      <c r="H67">
        <v>16</v>
      </c>
      <c r="I67" t="s">
        <v>30</v>
      </c>
      <c r="J67">
        <f>F67/1000</f>
        <v>59.825000000000003</v>
      </c>
      <c r="K67" s="3">
        <v>59.48</v>
      </c>
      <c r="L67" t="s">
        <v>111</v>
      </c>
      <c r="N67" s="4">
        <f t="shared" si="0"/>
        <v>-0.34500000000000597</v>
      </c>
    </row>
    <row r="68" spans="1:14" x14ac:dyDescent="0.35">
      <c r="A68" s="8"/>
      <c r="B68" s="8">
        <v>30703</v>
      </c>
      <c r="C68" s="8" t="s">
        <v>159</v>
      </c>
      <c r="D68" s="8" t="s">
        <v>1</v>
      </c>
      <c r="E68" s="8" t="s">
        <v>160</v>
      </c>
      <c r="F68" s="9">
        <v>60780</v>
      </c>
      <c r="G68" s="8" t="s">
        <v>161</v>
      </c>
      <c r="H68" s="8">
        <v>16</v>
      </c>
      <c r="I68" s="8" t="s">
        <v>30</v>
      </c>
      <c r="J68" s="8">
        <f>F68/1000</f>
        <v>60.78</v>
      </c>
      <c r="K68" s="10">
        <v>60</v>
      </c>
      <c r="L68" s="8" t="s">
        <v>111</v>
      </c>
      <c r="M68" s="8"/>
      <c r="N68" s="4">
        <f t="shared" si="0"/>
        <v>-0.78000000000000114</v>
      </c>
    </row>
    <row r="69" spans="1:14" x14ac:dyDescent="0.35">
      <c r="A69" s="8"/>
      <c r="B69" s="8">
        <v>30704</v>
      </c>
      <c r="C69" s="8" t="s">
        <v>162</v>
      </c>
      <c r="D69" s="8" t="s">
        <v>1</v>
      </c>
      <c r="E69" s="8" t="s">
        <v>160</v>
      </c>
      <c r="F69" s="9">
        <v>61002</v>
      </c>
      <c r="G69" s="8" t="s">
        <v>139</v>
      </c>
      <c r="H69" s="8">
        <v>16</v>
      </c>
      <c r="I69" s="8" t="s">
        <v>30</v>
      </c>
      <c r="J69" s="8">
        <f>F69/1000</f>
        <v>61.002000000000002</v>
      </c>
      <c r="K69" s="10">
        <v>60.42</v>
      </c>
      <c r="L69" s="8" t="s">
        <v>111</v>
      </c>
      <c r="M69" s="8"/>
      <c r="N69" s="4">
        <f t="shared" ref="N69:N132" si="1">K69-J69</f>
        <v>-0.58200000000000074</v>
      </c>
    </row>
    <row r="70" spans="1:14" x14ac:dyDescent="0.35">
      <c r="B70">
        <v>30705</v>
      </c>
      <c r="C70" t="s">
        <v>163</v>
      </c>
      <c r="D70" t="s">
        <v>1</v>
      </c>
      <c r="E70" t="s">
        <v>164</v>
      </c>
      <c r="F70" s="1">
        <v>61339</v>
      </c>
      <c r="G70" t="s">
        <v>124</v>
      </c>
      <c r="H70">
        <v>16</v>
      </c>
      <c r="I70" t="s">
        <v>30</v>
      </c>
      <c r="J70">
        <f>F70/1000</f>
        <v>61.338999999999999</v>
      </c>
      <c r="K70" s="3">
        <v>60.89</v>
      </c>
      <c r="L70" t="s">
        <v>111</v>
      </c>
      <c r="N70" s="4">
        <f t="shared" si="1"/>
        <v>-0.44899999999999807</v>
      </c>
    </row>
    <row r="71" spans="1:14" x14ac:dyDescent="0.35">
      <c r="B71">
        <v>30706</v>
      </c>
      <c r="C71" t="s">
        <v>165</v>
      </c>
      <c r="D71" t="s">
        <v>1</v>
      </c>
      <c r="E71" t="s">
        <v>166</v>
      </c>
      <c r="F71" s="1">
        <v>61800</v>
      </c>
      <c r="G71" t="s">
        <v>33</v>
      </c>
      <c r="H71">
        <v>16</v>
      </c>
      <c r="I71" t="s">
        <v>30</v>
      </c>
      <c r="J71">
        <f>F71/1000</f>
        <v>61.8</v>
      </c>
      <c r="K71" s="3">
        <v>61.37</v>
      </c>
      <c r="L71" t="s">
        <v>111</v>
      </c>
      <c r="N71" s="4">
        <f t="shared" si="1"/>
        <v>-0.42999999999999972</v>
      </c>
    </row>
    <row r="72" spans="1:14" x14ac:dyDescent="0.35">
      <c r="A72" s="8"/>
      <c r="B72" s="8">
        <v>30707</v>
      </c>
      <c r="C72" s="8" t="s">
        <v>167</v>
      </c>
      <c r="D72" s="8" t="s">
        <v>1</v>
      </c>
      <c r="E72" s="8" t="s">
        <v>168</v>
      </c>
      <c r="F72" s="9">
        <v>62388</v>
      </c>
      <c r="G72" s="8" t="s">
        <v>47</v>
      </c>
      <c r="H72" s="8">
        <v>16</v>
      </c>
      <c r="I72" s="8" t="s">
        <v>30</v>
      </c>
      <c r="J72" s="8">
        <f>F72/1000</f>
        <v>62.387999999999998</v>
      </c>
      <c r="K72" s="10">
        <v>61.86</v>
      </c>
      <c r="L72" s="8" t="s">
        <v>142</v>
      </c>
      <c r="M72" s="8"/>
      <c r="N72" s="4">
        <f t="shared" si="1"/>
        <v>-0.52799999999999869</v>
      </c>
    </row>
    <row r="73" spans="1:14" x14ac:dyDescent="0.35">
      <c r="A73" s="8"/>
      <c r="B73" s="8">
        <v>30708</v>
      </c>
      <c r="C73" s="8" t="s">
        <v>169</v>
      </c>
      <c r="D73" s="8" t="s">
        <v>1</v>
      </c>
      <c r="E73" s="8" t="s">
        <v>170</v>
      </c>
      <c r="F73" s="9">
        <v>62852</v>
      </c>
      <c r="G73" s="8" t="s">
        <v>33</v>
      </c>
      <c r="H73" s="8">
        <v>16</v>
      </c>
      <c r="I73" s="8" t="s">
        <v>30</v>
      </c>
      <c r="J73" s="8">
        <f>F73/1000</f>
        <v>62.851999999999997</v>
      </c>
      <c r="K73" s="10">
        <v>62.32</v>
      </c>
      <c r="L73" s="8" t="s">
        <v>142</v>
      </c>
      <c r="M73" s="8"/>
      <c r="N73" s="4">
        <f t="shared" si="1"/>
        <v>-0.53199999999999648</v>
      </c>
    </row>
    <row r="74" spans="1:14" x14ac:dyDescent="0.35">
      <c r="A74" s="8"/>
      <c r="B74" s="8">
        <v>30709</v>
      </c>
      <c r="C74" s="8" t="s">
        <v>171</v>
      </c>
      <c r="D74" s="8" t="s">
        <v>1</v>
      </c>
      <c r="E74" s="8" t="s">
        <v>172</v>
      </c>
      <c r="F74" s="9">
        <v>63208</v>
      </c>
      <c r="G74" s="8" t="s">
        <v>12</v>
      </c>
      <c r="H74" s="8">
        <v>16</v>
      </c>
      <c r="I74" s="8" t="s">
        <v>30</v>
      </c>
      <c r="J74" s="8">
        <f>F74/1000</f>
        <v>63.207999999999998</v>
      </c>
      <c r="K74" s="10">
        <v>62.65</v>
      </c>
      <c r="L74" s="8" t="s">
        <v>142</v>
      </c>
      <c r="M74" s="8"/>
      <c r="N74" s="4">
        <f t="shared" si="1"/>
        <v>-0.55799999999999983</v>
      </c>
    </row>
    <row r="75" spans="1:14" x14ac:dyDescent="0.35">
      <c r="B75">
        <v>30710</v>
      </c>
      <c r="C75" t="s">
        <v>173</v>
      </c>
      <c r="D75" t="s">
        <v>1</v>
      </c>
      <c r="E75" t="s">
        <v>170</v>
      </c>
      <c r="F75" s="1">
        <v>63002</v>
      </c>
      <c r="G75" t="s">
        <v>174</v>
      </c>
      <c r="H75">
        <v>16</v>
      </c>
      <c r="I75" t="s">
        <v>30</v>
      </c>
      <c r="J75">
        <f>F75/1000</f>
        <v>63.002000000000002</v>
      </c>
      <c r="K75" s="3">
        <v>62.99</v>
      </c>
      <c r="L75" t="s">
        <v>142</v>
      </c>
      <c r="N75" s="4">
        <f t="shared" si="1"/>
        <v>-1.2000000000000455E-2</v>
      </c>
    </row>
    <row r="76" spans="1:14" x14ac:dyDescent="0.35">
      <c r="A76" s="8"/>
      <c r="B76" s="8">
        <v>30711</v>
      </c>
      <c r="C76" s="8" t="s">
        <v>175</v>
      </c>
      <c r="D76" s="8" t="s">
        <v>1</v>
      </c>
      <c r="E76" s="8" t="s">
        <v>176</v>
      </c>
      <c r="F76" s="9">
        <v>64282</v>
      </c>
      <c r="G76" s="8" t="s">
        <v>38</v>
      </c>
      <c r="H76" s="8">
        <v>16</v>
      </c>
      <c r="I76" s="8" t="s">
        <v>30</v>
      </c>
      <c r="J76" s="8">
        <f>F76/1000</f>
        <v>64.281999999999996</v>
      </c>
      <c r="K76" s="10">
        <v>63.61</v>
      </c>
      <c r="L76" s="8" t="s">
        <v>142</v>
      </c>
      <c r="M76" s="8"/>
      <c r="N76" s="4">
        <f t="shared" si="1"/>
        <v>-0.67199999999999704</v>
      </c>
    </row>
    <row r="77" spans="1:14" x14ac:dyDescent="0.35">
      <c r="B77">
        <v>30712</v>
      </c>
      <c r="C77" t="s">
        <v>177</v>
      </c>
      <c r="D77" t="s">
        <v>1</v>
      </c>
      <c r="E77" t="s">
        <v>178</v>
      </c>
      <c r="F77" s="1">
        <v>64061</v>
      </c>
      <c r="G77" t="s">
        <v>174</v>
      </c>
      <c r="H77">
        <v>16</v>
      </c>
      <c r="I77" t="s">
        <v>30</v>
      </c>
      <c r="J77">
        <f>F77/1000</f>
        <v>64.061000000000007</v>
      </c>
      <c r="K77" s="3">
        <v>63.84</v>
      </c>
      <c r="L77" t="s">
        <v>142</v>
      </c>
      <c r="N77" s="4">
        <f t="shared" si="1"/>
        <v>-0.22100000000000364</v>
      </c>
    </row>
    <row r="78" spans="1:14" x14ac:dyDescent="0.35">
      <c r="B78">
        <v>30713</v>
      </c>
      <c r="C78" t="s">
        <v>179</v>
      </c>
      <c r="D78" t="s">
        <v>1</v>
      </c>
      <c r="E78" t="s">
        <v>180</v>
      </c>
      <c r="F78" s="1">
        <v>64654</v>
      </c>
      <c r="G78" t="s">
        <v>47</v>
      </c>
      <c r="H78">
        <v>16</v>
      </c>
      <c r="I78" t="s">
        <v>30</v>
      </c>
      <c r="J78">
        <f>F78/1000</f>
        <v>64.653999999999996</v>
      </c>
      <c r="K78" s="3">
        <v>64.239999999999995</v>
      </c>
      <c r="L78" t="s">
        <v>181</v>
      </c>
      <c r="N78" s="4">
        <f t="shared" si="1"/>
        <v>-0.41400000000000148</v>
      </c>
    </row>
    <row r="79" spans="1:14" x14ac:dyDescent="0.35">
      <c r="B79">
        <v>30714</v>
      </c>
      <c r="C79" t="s">
        <v>182</v>
      </c>
      <c r="D79" t="s">
        <v>1</v>
      </c>
      <c r="E79" t="s">
        <v>180</v>
      </c>
      <c r="F79" s="1">
        <v>64819</v>
      </c>
      <c r="G79" t="s">
        <v>183</v>
      </c>
      <c r="H79">
        <v>16</v>
      </c>
      <c r="I79" t="s">
        <v>30</v>
      </c>
      <c r="J79">
        <f>F79/1000</f>
        <v>64.819000000000003</v>
      </c>
      <c r="K79" s="3">
        <v>64.64</v>
      </c>
      <c r="L79" t="s">
        <v>181</v>
      </c>
      <c r="N79" s="4">
        <f t="shared" si="1"/>
        <v>-0.17900000000000205</v>
      </c>
    </row>
    <row r="80" spans="1:14" x14ac:dyDescent="0.35">
      <c r="B80">
        <v>30715</v>
      </c>
      <c r="C80" t="s">
        <v>184</v>
      </c>
      <c r="D80" t="s">
        <v>1</v>
      </c>
      <c r="E80" t="s">
        <v>185</v>
      </c>
      <c r="F80" s="1">
        <v>65499</v>
      </c>
      <c r="G80" t="s">
        <v>53</v>
      </c>
      <c r="H80">
        <v>16</v>
      </c>
      <c r="I80" t="s">
        <v>30</v>
      </c>
      <c r="J80">
        <f>F80/1000</f>
        <v>65.498999999999995</v>
      </c>
      <c r="K80" s="3">
        <v>65.010000000000005</v>
      </c>
      <c r="L80" t="s">
        <v>181</v>
      </c>
      <c r="N80" s="4">
        <f t="shared" si="1"/>
        <v>-0.48899999999999011</v>
      </c>
    </row>
    <row r="81" spans="1:14" x14ac:dyDescent="0.35">
      <c r="B81">
        <v>30716</v>
      </c>
      <c r="C81" t="s">
        <v>186</v>
      </c>
      <c r="D81" t="s">
        <v>1</v>
      </c>
      <c r="E81" t="s">
        <v>180</v>
      </c>
      <c r="F81" s="1">
        <v>64870</v>
      </c>
      <c r="G81" t="s">
        <v>187</v>
      </c>
      <c r="H81">
        <v>16</v>
      </c>
      <c r="I81" t="s">
        <v>30</v>
      </c>
      <c r="J81">
        <f>F81/1000</f>
        <v>64.87</v>
      </c>
      <c r="K81" s="3">
        <v>65.11</v>
      </c>
      <c r="L81" t="s">
        <v>181</v>
      </c>
      <c r="N81" s="4">
        <f t="shared" si="1"/>
        <v>0.23999999999999488</v>
      </c>
    </row>
    <row r="82" spans="1:14" x14ac:dyDescent="0.35">
      <c r="A82" s="8"/>
      <c r="B82" s="8">
        <v>30717</v>
      </c>
      <c r="C82" s="8" t="s">
        <v>188</v>
      </c>
      <c r="D82" s="8" t="s">
        <v>1</v>
      </c>
      <c r="E82" s="8" t="s">
        <v>189</v>
      </c>
      <c r="F82" s="9">
        <v>66403</v>
      </c>
      <c r="G82" s="8" t="s">
        <v>56</v>
      </c>
      <c r="H82" s="8">
        <v>16</v>
      </c>
      <c r="I82" s="8" t="s">
        <v>30</v>
      </c>
      <c r="J82" s="8">
        <f>F82/1000</f>
        <v>66.403000000000006</v>
      </c>
      <c r="K82" s="10">
        <v>65.66</v>
      </c>
      <c r="L82" s="8" t="s">
        <v>181</v>
      </c>
      <c r="M82" s="8"/>
      <c r="N82" s="4">
        <f t="shared" si="1"/>
        <v>-0.74300000000000921</v>
      </c>
    </row>
    <row r="83" spans="1:14" x14ac:dyDescent="0.35">
      <c r="A83" s="8"/>
      <c r="B83" s="8">
        <v>30718</v>
      </c>
      <c r="C83" s="8" t="s">
        <v>190</v>
      </c>
      <c r="D83" s="8" t="s">
        <v>1</v>
      </c>
      <c r="E83" s="8" t="s">
        <v>191</v>
      </c>
      <c r="F83" s="9">
        <v>66667</v>
      </c>
      <c r="G83" s="8" t="s">
        <v>136</v>
      </c>
      <c r="H83" s="8">
        <v>16</v>
      </c>
      <c r="I83" s="8" t="s">
        <v>30</v>
      </c>
      <c r="J83" s="8">
        <f>F83/1000</f>
        <v>66.667000000000002</v>
      </c>
      <c r="K83" s="10">
        <v>65.989999999999995</v>
      </c>
      <c r="L83" s="8" t="s">
        <v>192</v>
      </c>
      <c r="M83" s="8"/>
      <c r="N83" s="4">
        <f t="shared" si="1"/>
        <v>-0.67700000000000671</v>
      </c>
    </row>
    <row r="84" spans="1:14" x14ac:dyDescent="0.35">
      <c r="B84">
        <v>30719</v>
      </c>
      <c r="C84" t="s">
        <v>193</v>
      </c>
      <c r="D84" t="s">
        <v>1</v>
      </c>
      <c r="E84" t="s">
        <v>191</v>
      </c>
      <c r="F84" s="1">
        <v>66540</v>
      </c>
      <c r="G84" t="s">
        <v>194</v>
      </c>
      <c r="H84">
        <v>16</v>
      </c>
      <c r="I84" t="s">
        <v>30</v>
      </c>
      <c r="J84">
        <f>F84/1000</f>
        <v>66.540000000000006</v>
      </c>
      <c r="K84" s="3">
        <v>66.239999999999995</v>
      </c>
      <c r="L84" t="s">
        <v>192</v>
      </c>
      <c r="N84" s="4">
        <f t="shared" si="1"/>
        <v>-0.30000000000001137</v>
      </c>
    </row>
    <row r="85" spans="1:14" x14ac:dyDescent="0.35">
      <c r="A85" s="8"/>
      <c r="B85" s="8">
        <v>30720</v>
      </c>
      <c r="C85" s="8" t="s">
        <v>195</v>
      </c>
      <c r="D85" s="8" t="s">
        <v>1</v>
      </c>
      <c r="E85" s="8" t="s">
        <v>196</v>
      </c>
      <c r="F85" s="9">
        <v>67473</v>
      </c>
      <c r="G85" s="8" t="s">
        <v>41</v>
      </c>
      <c r="H85" s="8">
        <v>16</v>
      </c>
      <c r="I85" s="8" t="s">
        <v>30</v>
      </c>
      <c r="J85" s="8">
        <f>F85/1000</f>
        <v>67.472999999999999</v>
      </c>
      <c r="K85" s="10">
        <v>66.66</v>
      </c>
      <c r="L85" s="8" t="s">
        <v>192</v>
      </c>
      <c r="M85" s="8"/>
      <c r="N85" s="4">
        <f t="shared" si="1"/>
        <v>-0.81300000000000239</v>
      </c>
    </row>
    <row r="86" spans="1:14" x14ac:dyDescent="0.35">
      <c r="B86">
        <v>30721</v>
      </c>
      <c r="C86" t="s">
        <v>197</v>
      </c>
      <c r="D86" t="s">
        <v>1</v>
      </c>
      <c r="E86" t="s">
        <v>196</v>
      </c>
      <c r="F86" s="1">
        <v>67368</v>
      </c>
      <c r="G86" t="s">
        <v>198</v>
      </c>
      <c r="H86">
        <v>16</v>
      </c>
      <c r="I86" t="s">
        <v>30</v>
      </c>
      <c r="J86">
        <f>F86/1000</f>
        <v>67.367999999999995</v>
      </c>
      <c r="K86" s="3">
        <v>67.010000000000005</v>
      </c>
      <c r="L86" t="s">
        <v>192</v>
      </c>
      <c r="N86" s="4">
        <f t="shared" si="1"/>
        <v>-0.35799999999998988</v>
      </c>
    </row>
    <row r="87" spans="1:14" x14ac:dyDescent="0.35">
      <c r="A87" s="8"/>
      <c r="B87" s="8">
        <v>30722</v>
      </c>
      <c r="C87" s="8" t="s">
        <v>199</v>
      </c>
      <c r="D87" s="8" t="s">
        <v>1</v>
      </c>
      <c r="E87" s="8" t="s">
        <v>200</v>
      </c>
      <c r="F87" s="9">
        <v>67790</v>
      </c>
      <c r="G87" s="8" t="s">
        <v>201</v>
      </c>
      <c r="H87" s="8">
        <v>16</v>
      </c>
      <c r="I87" s="8" t="s">
        <v>30</v>
      </c>
      <c r="J87" s="8">
        <f>F87/1000</f>
        <v>67.790000000000006</v>
      </c>
      <c r="K87" s="10">
        <v>67.28</v>
      </c>
      <c r="L87" s="8" t="s">
        <v>192</v>
      </c>
      <c r="M87" s="8"/>
      <c r="N87" s="4">
        <f t="shared" si="1"/>
        <v>-0.51000000000000512</v>
      </c>
    </row>
    <row r="88" spans="1:14" x14ac:dyDescent="0.35">
      <c r="A88" s="8"/>
      <c r="B88" s="8">
        <v>30723</v>
      </c>
      <c r="C88" s="8" t="s">
        <v>202</v>
      </c>
      <c r="D88" s="8" t="s">
        <v>1</v>
      </c>
      <c r="E88" s="8" t="s">
        <v>203</v>
      </c>
      <c r="F88" s="9">
        <v>68683</v>
      </c>
      <c r="G88" s="8" t="s">
        <v>204</v>
      </c>
      <c r="H88" s="8">
        <v>16</v>
      </c>
      <c r="I88" s="8" t="s">
        <v>30</v>
      </c>
      <c r="J88" s="8">
        <f>F88/1000</f>
        <v>68.683000000000007</v>
      </c>
      <c r="K88" s="10">
        <v>67.88</v>
      </c>
      <c r="L88" s="8" t="s">
        <v>192</v>
      </c>
      <c r="M88" s="8"/>
      <c r="N88" s="4">
        <f t="shared" si="1"/>
        <v>-0.80300000000001148</v>
      </c>
    </row>
    <row r="89" spans="1:14" x14ac:dyDescent="0.35">
      <c r="A89" s="8"/>
      <c r="B89" s="8">
        <v>30724</v>
      </c>
      <c r="C89" s="8" t="s">
        <v>205</v>
      </c>
      <c r="D89" s="8" t="s">
        <v>1</v>
      </c>
      <c r="E89" s="8" t="s">
        <v>203</v>
      </c>
      <c r="F89" s="9">
        <v>68826</v>
      </c>
      <c r="G89" s="8" t="s">
        <v>104</v>
      </c>
      <c r="H89" s="8">
        <v>16</v>
      </c>
      <c r="I89" s="8" t="s">
        <v>30</v>
      </c>
      <c r="J89" s="8">
        <f>F89/1000</f>
        <v>68.825999999999993</v>
      </c>
      <c r="K89" s="10">
        <v>68.23</v>
      </c>
      <c r="L89" s="8" t="s">
        <v>206</v>
      </c>
      <c r="M89" s="8"/>
      <c r="N89" s="4">
        <f t="shared" si="1"/>
        <v>-0.59599999999998943</v>
      </c>
    </row>
    <row r="90" spans="1:14" x14ac:dyDescent="0.35">
      <c r="A90" s="8"/>
      <c r="B90" s="8">
        <v>30725</v>
      </c>
      <c r="C90" s="8" t="s">
        <v>207</v>
      </c>
      <c r="D90" s="8" t="s">
        <v>1</v>
      </c>
      <c r="E90" s="8" t="s">
        <v>208</v>
      </c>
      <c r="F90" s="9">
        <v>69551</v>
      </c>
      <c r="G90" s="8" t="s">
        <v>23</v>
      </c>
      <c r="H90" s="8">
        <v>16</v>
      </c>
      <c r="I90" s="8" t="s">
        <v>30</v>
      </c>
      <c r="J90" s="8">
        <f>F90/1000</f>
        <v>69.551000000000002</v>
      </c>
      <c r="K90" s="10">
        <v>68.67</v>
      </c>
      <c r="L90" s="8" t="s">
        <v>206</v>
      </c>
      <c r="M90" s="8"/>
      <c r="N90" s="4">
        <f t="shared" si="1"/>
        <v>-0.88100000000000023</v>
      </c>
    </row>
    <row r="91" spans="1:14" x14ac:dyDescent="0.35">
      <c r="A91" s="8"/>
      <c r="B91" s="8">
        <v>30726</v>
      </c>
      <c r="C91" s="8" t="s">
        <v>209</v>
      </c>
      <c r="D91" s="8" t="s">
        <v>1</v>
      </c>
      <c r="E91" s="8" t="s">
        <v>210</v>
      </c>
      <c r="F91" s="9">
        <v>69698</v>
      </c>
      <c r="G91" s="8" t="s">
        <v>104</v>
      </c>
      <c r="H91" s="8">
        <v>16</v>
      </c>
      <c r="I91" s="8" t="s">
        <v>30</v>
      </c>
      <c r="J91" s="8">
        <f>F91/1000</f>
        <v>69.697999999999993</v>
      </c>
      <c r="K91" s="10">
        <v>68.95</v>
      </c>
      <c r="L91" s="8" t="s">
        <v>211</v>
      </c>
      <c r="M91" s="8"/>
      <c r="N91" s="4">
        <f t="shared" si="1"/>
        <v>-0.74799999999999045</v>
      </c>
    </row>
    <row r="92" spans="1:14" x14ac:dyDescent="0.35">
      <c r="B92">
        <v>30727</v>
      </c>
      <c r="C92" t="s">
        <v>212</v>
      </c>
      <c r="D92" t="s">
        <v>1</v>
      </c>
      <c r="E92" t="s">
        <v>210</v>
      </c>
      <c r="F92" s="1">
        <v>69676</v>
      </c>
      <c r="G92" t="s">
        <v>150</v>
      </c>
      <c r="H92">
        <v>16</v>
      </c>
      <c r="I92" t="s">
        <v>30</v>
      </c>
      <c r="J92">
        <f>F92/1000</f>
        <v>69.676000000000002</v>
      </c>
      <c r="K92" s="3">
        <v>69.260000000000005</v>
      </c>
      <c r="L92" t="s">
        <v>211</v>
      </c>
      <c r="N92" s="4">
        <f t="shared" si="1"/>
        <v>-0.41599999999999682</v>
      </c>
    </row>
    <row r="93" spans="1:14" x14ac:dyDescent="0.35">
      <c r="A93" s="8"/>
      <c r="B93" s="8">
        <v>30728</v>
      </c>
      <c r="C93" s="8" t="s">
        <v>213</v>
      </c>
      <c r="D93" s="8" t="s">
        <v>1</v>
      </c>
      <c r="E93" s="8" t="s">
        <v>214</v>
      </c>
      <c r="F93" s="9">
        <v>70309</v>
      </c>
      <c r="G93" s="8" t="s">
        <v>215</v>
      </c>
      <c r="H93" s="8">
        <v>16</v>
      </c>
      <c r="I93" s="8" t="s">
        <v>30</v>
      </c>
      <c r="J93" s="8">
        <f>F93/1000</f>
        <v>70.308999999999997</v>
      </c>
      <c r="K93" s="10">
        <v>69.569999999999993</v>
      </c>
      <c r="L93" s="8" t="s">
        <v>211</v>
      </c>
      <c r="M93" s="8"/>
      <c r="N93" s="4">
        <f t="shared" si="1"/>
        <v>-0.73900000000000432</v>
      </c>
    </row>
    <row r="94" spans="1:14" x14ac:dyDescent="0.35">
      <c r="A94" s="8"/>
      <c r="B94" s="8">
        <v>30729</v>
      </c>
      <c r="C94" s="8" t="s">
        <v>216</v>
      </c>
      <c r="D94" s="8" t="s">
        <v>1</v>
      </c>
      <c r="E94" s="8" t="s">
        <v>217</v>
      </c>
      <c r="F94" s="9">
        <v>70438</v>
      </c>
      <c r="G94" s="8" t="s">
        <v>104</v>
      </c>
      <c r="H94" s="8">
        <v>16</v>
      </c>
      <c r="I94" s="8" t="s">
        <v>30</v>
      </c>
      <c r="J94" s="8">
        <f>F94/1000</f>
        <v>70.438000000000002</v>
      </c>
      <c r="K94" s="10">
        <v>69.930000000000007</v>
      </c>
      <c r="L94" s="8" t="s">
        <v>211</v>
      </c>
      <c r="M94" s="8"/>
      <c r="N94" s="4">
        <f t="shared" si="1"/>
        <v>-0.50799999999999557</v>
      </c>
    </row>
    <row r="95" spans="1:14" x14ac:dyDescent="0.35">
      <c r="B95">
        <v>30730</v>
      </c>
      <c r="C95" t="s">
        <v>218</v>
      </c>
      <c r="D95" t="s">
        <v>1</v>
      </c>
      <c r="E95" t="s">
        <v>219</v>
      </c>
      <c r="F95" s="1">
        <v>70753</v>
      </c>
      <c r="G95" t="s">
        <v>124</v>
      </c>
      <c r="H95">
        <v>16</v>
      </c>
      <c r="I95" t="s">
        <v>30</v>
      </c>
      <c r="J95">
        <f>F95/1000</f>
        <v>70.753</v>
      </c>
      <c r="K95" s="3">
        <v>70.290000000000006</v>
      </c>
      <c r="L95" t="s">
        <v>220</v>
      </c>
      <c r="N95" s="4">
        <f t="shared" si="1"/>
        <v>-0.46299999999999386</v>
      </c>
    </row>
    <row r="96" spans="1:14" x14ac:dyDescent="0.35">
      <c r="A96" s="8"/>
      <c r="B96" s="8">
        <v>30731</v>
      </c>
      <c r="C96" s="8" t="s">
        <v>221</v>
      </c>
      <c r="D96" s="8" t="s">
        <v>1</v>
      </c>
      <c r="E96" s="8" t="s">
        <v>219</v>
      </c>
      <c r="F96" s="9">
        <v>71040</v>
      </c>
      <c r="G96" s="8" t="s">
        <v>222</v>
      </c>
      <c r="H96" s="8">
        <v>16</v>
      </c>
      <c r="I96" s="8" t="s">
        <v>30</v>
      </c>
      <c r="J96" s="8">
        <f>F96/1000</f>
        <v>71.040000000000006</v>
      </c>
      <c r="K96" s="10">
        <v>70.47</v>
      </c>
      <c r="L96" s="8" t="s">
        <v>220</v>
      </c>
      <c r="M96" s="8"/>
      <c r="N96" s="4">
        <f t="shared" si="1"/>
        <v>-0.57000000000000739</v>
      </c>
    </row>
    <row r="97" spans="1:14" x14ac:dyDescent="0.35">
      <c r="A97" s="8"/>
      <c r="B97" s="8">
        <v>30732</v>
      </c>
      <c r="C97" s="8" t="s">
        <v>223</v>
      </c>
      <c r="D97" s="8" t="s">
        <v>1</v>
      </c>
      <c r="E97" s="8" t="s">
        <v>224</v>
      </c>
      <c r="F97" s="9">
        <v>71830</v>
      </c>
      <c r="G97" s="8" t="s">
        <v>153</v>
      </c>
      <c r="H97" s="8">
        <v>16</v>
      </c>
      <c r="I97" s="8" t="s">
        <v>30</v>
      </c>
      <c r="J97" s="8">
        <f>F97/1000</f>
        <v>71.83</v>
      </c>
      <c r="K97" s="10">
        <v>70.959999999999994</v>
      </c>
      <c r="L97" s="8" t="s">
        <v>220</v>
      </c>
      <c r="M97" s="8"/>
      <c r="N97" s="4">
        <f t="shared" si="1"/>
        <v>-0.87000000000000455</v>
      </c>
    </row>
    <row r="98" spans="1:14" x14ac:dyDescent="0.35">
      <c r="B98">
        <v>30733</v>
      </c>
      <c r="C98" t="s">
        <v>225</v>
      </c>
      <c r="D98" t="s">
        <v>1</v>
      </c>
      <c r="E98" t="s">
        <v>226</v>
      </c>
      <c r="F98" s="1">
        <v>71515</v>
      </c>
      <c r="G98" t="s">
        <v>227</v>
      </c>
      <c r="H98">
        <v>16</v>
      </c>
      <c r="I98" t="s">
        <v>30</v>
      </c>
      <c r="J98">
        <f>F98/1000</f>
        <v>71.515000000000001</v>
      </c>
      <c r="K98" s="3">
        <v>71.14</v>
      </c>
      <c r="L98" t="s">
        <v>220</v>
      </c>
      <c r="N98" s="4">
        <f t="shared" si="1"/>
        <v>-0.375</v>
      </c>
    </row>
    <row r="99" spans="1:14" x14ac:dyDescent="0.35">
      <c r="B99">
        <v>30734</v>
      </c>
      <c r="C99" t="s">
        <v>228</v>
      </c>
      <c r="D99" t="s">
        <v>1</v>
      </c>
      <c r="E99" t="s">
        <v>226</v>
      </c>
      <c r="F99" s="1">
        <v>71681</v>
      </c>
      <c r="G99" t="s">
        <v>183</v>
      </c>
      <c r="H99">
        <v>16</v>
      </c>
      <c r="I99" t="s">
        <v>30</v>
      </c>
      <c r="J99">
        <f>F99/1000</f>
        <v>71.680999999999997</v>
      </c>
      <c r="K99" s="3">
        <v>71.45</v>
      </c>
      <c r="L99" t="s">
        <v>220</v>
      </c>
      <c r="N99" s="4">
        <f t="shared" si="1"/>
        <v>-0.23099999999999454</v>
      </c>
    </row>
    <row r="100" spans="1:14" x14ac:dyDescent="0.35">
      <c r="B100">
        <v>30735</v>
      </c>
      <c r="C100" t="s">
        <v>229</v>
      </c>
      <c r="D100" t="s">
        <v>1</v>
      </c>
      <c r="E100" t="s">
        <v>224</v>
      </c>
      <c r="F100" s="1">
        <v>71875</v>
      </c>
      <c r="G100" t="s">
        <v>183</v>
      </c>
      <c r="H100">
        <v>16</v>
      </c>
      <c r="I100" t="s">
        <v>30</v>
      </c>
      <c r="J100">
        <f>F100/1000</f>
        <v>71.875</v>
      </c>
      <c r="K100" s="3">
        <v>71.67</v>
      </c>
      <c r="L100" t="s">
        <v>220</v>
      </c>
      <c r="N100" s="4">
        <f t="shared" si="1"/>
        <v>-0.20499999999999829</v>
      </c>
    </row>
    <row r="101" spans="1:14" x14ac:dyDescent="0.35">
      <c r="A101" s="8"/>
      <c r="B101" s="8">
        <v>30736</v>
      </c>
      <c r="C101" s="8" t="s">
        <v>230</v>
      </c>
      <c r="D101" s="8" t="s">
        <v>1</v>
      </c>
      <c r="E101" s="8" t="s">
        <v>231</v>
      </c>
      <c r="F101" s="9">
        <v>72694</v>
      </c>
      <c r="G101" s="8" t="s">
        <v>18</v>
      </c>
      <c r="H101" s="8">
        <v>16</v>
      </c>
      <c r="I101" s="8" t="s">
        <v>30</v>
      </c>
      <c r="J101" s="8">
        <f>F101/1000</f>
        <v>72.694000000000003</v>
      </c>
      <c r="K101" s="10">
        <v>72.05</v>
      </c>
      <c r="L101" s="8" t="s">
        <v>220</v>
      </c>
      <c r="M101" s="8"/>
      <c r="N101" s="4">
        <f t="shared" si="1"/>
        <v>-0.64400000000000546</v>
      </c>
    </row>
    <row r="102" spans="1:14" x14ac:dyDescent="0.35">
      <c r="B102">
        <v>30737</v>
      </c>
      <c r="C102" t="s">
        <v>232</v>
      </c>
      <c r="D102" t="s">
        <v>1</v>
      </c>
      <c r="E102" t="s">
        <v>233</v>
      </c>
      <c r="F102" s="1">
        <v>72408</v>
      </c>
      <c r="G102" t="s">
        <v>234</v>
      </c>
      <c r="H102">
        <v>16</v>
      </c>
      <c r="I102" t="s">
        <v>30</v>
      </c>
      <c r="J102">
        <f>F102/1000</f>
        <v>72.408000000000001</v>
      </c>
      <c r="K102" s="3">
        <v>72.319999999999993</v>
      </c>
      <c r="L102" t="s">
        <v>220</v>
      </c>
      <c r="N102" s="4">
        <f t="shared" si="1"/>
        <v>-8.8000000000008072E-2</v>
      </c>
    </row>
    <row r="103" spans="1:14" x14ac:dyDescent="0.35">
      <c r="A103" s="8"/>
      <c r="B103" s="8">
        <v>30738</v>
      </c>
      <c r="C103" s="8" t="s">
        <v>235</v>
      </c>
      <c r="D103" s="8" t="s">
        <v>1</v>
      </c>
      <c r="E103" s="8" t="s">
        <v>236</v>
      </c>
      <c r="F103" s="9">
        <v>73243</v>
      </c>
      <c r="G103" s="8" t="s">
        <v>18</v>
      </c>
      <c r="H103" s="8">
        <v>16</v>
      </c>
      <c r="I103" s="8" t="s">
        <v>30</v>
      </c>
      <c r="J103" s="8">
        <f>F103/1000</f>
        <v>73.242999999999995</v>
      </c>
      <c r="K103" s="10">
        <v>72.58</v>
      </c>
      <c r="L103" s="8" t="s">
        <v>237</v>
      </c>
      <c r="M103" s="8"/>
      <c r="N103" s="4">
        <f t="shared" si="1"/>
        <v>-0.6629999999999967</v>
      </c>
    </row>
    <row r="104" spans="1:14" x14ac:dyDescent="0.35">
      <c r="B104">
        <v>30739</v>
      </c>
      <c r="C104" t="s">
        <v>238</v>
      </c>
      <c r="D104" t="s">
        <v>1</v>
      </c>
      <c r="E104" t="s">
        <v>239</v>
      </c>
      <c r="F104" s="1">
        <v>73340</v>
      </c>
      <c r="G104" t="s">
        <v>113</v>
      </c>
      <c r="H104">
        <v>16</v>
      </c>
      <c r="I104" t="s">
        <v>30</v>
      </c>
      <c r="J104">
        <f>F104/1000</f>
        <v>73.34</v>
      </c>
      <c r="K104" s="3">
        <v>72.86</v>
      </c>
      <c r="L104" t="s">
        <v>237</v>
      </c>
      <c r="N104" s="4">
        <f t="shared" si="1"/>
        <v>-0.48000000000000398</v>
      </c>
    </row>
    <row r="105" spans="1:14" x14ac:dyDescent="0.35">
      <c r="B105">
        <v>30740</v>
      </c>
      <c r="C105" t="s">
        <v>240</v>
      </c>
      <c r="D105" t="s">
        <v>1</v>
      </c>
      <c r="E105" t="s">
        <v>239</v>
      </c>
      <c r="F105" s="1">
        <v>73383</v>
      </c>
      <c r="G105" t="s">
        <v>241</v>
      </c>
      <c r="H105">
        <v>16</v>
      </c>
      <c r="I105" t="s">
        <v>30</v>
      </c>
      <c r="J105">
        <f>F105/1000</f>
        <v>73.382999999999996</v>
      </c>
      <c r="K105" s="3">
        <v>73.099999999999994</v>
      </c>
      <c r="L105" t="s">
        <v>242</v>
      </c>
      <c r="N105" s="4">
        <f t="shared" si="1"/>
        <v>-0.28300000000000125</v>
      </c>
    </row>
    <row r="106" spans="1:14" x14ac:dyDescent="0.35">
      <c r="A106" s="8"/>
      <c r="B106" s="8">
        <v>30741</v>
      </c>
      <c r="C106" s="8" t="s">
        <v>243</v>
      </c>
      <c r="D106" s="8" t="s">
        <v>1</v>
      </c>
      <c r="E106" s="8" t="s">
        <v>244</v>
      </c>
      <c r="F106" s="9">
        <v>74364</v>
      </c>
      <c r="G106" s="8" t="s">
        <v>161</v>
      </c>
      <c r="H106" s="8">
        <v>16</v>
      </c>
      <c r="I106" s="8" t="s">
        <v>30</v>
      </c>
      <c r="J106" s="8">
        <f>F106/1000</f>
        <v>74.364000000000004</v>
      </c>
      <c r="K106" s="10">
        <v>73.569999999999993</v>
      </c>
      <c r="L106" s="8" t="s">
        <v>242</v>
      </c>
      <c r="M106" s="8"/>
      <c r="N106" s="4">
        <f t="shared" si="1"/>
        <v>-0.79400000000001114</v>
      </c>
    </row>
    <row r="107" spans="1:14" x14ac:dyDescent="0.35">
      <c r="B107">
        <v>30742</v>
      </c>
      <c r="C107" t="s">
        <v>245</v>
      </c>
      <c r="D107" t="s">
        <v>1</v>
      </c>
      <c r="E107" t="s">
        <v>246</v>
      </c>
      <c r="F107" s="1">
        <v>74145</v>
      </c>
      <c r="G107" t="s">
        <v>174</v>
      </c>
      <c r="H107">
        <v>16</v>
      </c>
      <c r="I107" t="s">
        <v>30</v>
      </c>
      <c r="J107">
        <f>F107/1000</f>
        <v>74.144999999999996</v>
      </c>
      <c r="K107" s="3">
        <v>73.8</v>
      </c>
      <c r="L107" t="s">
        <v>247</v>
      </c>
      <c r="N107" s="4">
        <f t="shared" si="1"/>
        <v>-0.34499999999999886</v>
      </c>
    </row>
    <row r="108" spans="1:14" x14ac:dyDescent="0.35">
      <c r="A108" s="8"/>
      <c r="B108" s="8">
        <v>30743</v>
      </c>
      <c r="C108" s="8" t="s">
        <v>248</v>
      </c>
      <c r="D108" s="8" t="s">
        <v>1</v>
      </c>
      <c r="E108" s="8" t="s">
        <v>249</v>
      </c>
      <c r="F108" s="9">
        <v>75008</v>
      </c>
      <c r="G108" s="8" t="s">
        <v>250</v>
      </c>
      <c r="H108" s="8">
        <v>16</v>
      </c>
      <c r="I108" s="8" t="s">
        <v>30</v>
      </c>
      <c r="J108" s="8">
        <f>F108/1000</f>
        <v>75.007999999999996</v>
      </c>
      <c r="K108" s="10">
        <v>74.290000000000006</v>
      </c>
      <c r="L108" s="8" t="s">
        <v>251</v>
      </c>
      <c r="M108" s="8"/>
      <c r="N108" s="4">
        <f t="shared" si="1"/>
        <v>-0.71799999999998931</v>
      </c>
    </row>
    <row r="109" spans="1:14" x14ac:dyDescent="0.35">
      <c r="B109">
        <v>30744</v>
      </c>
      <c r="C109" t="s">
        <v>252</v>
      </c>
      <c r="D109" t="s">
        <v>1</v>
      </c>
      <c r="E109" t="s">
        <v>249</v>
      </c>
      <c r="F109" s="1">
        <v>75023</v>
      </c>
      <c r="G109" t="s">
        <v>100</v>
      </c>
      <c r="H109">
        <v>16</v>
      </c>
      <c r="I109" t="s">
        <v>30</v>
      </c>
      <c r="J109">
        <f>F109/1000</f>
        <v>75.022999999999996</v>
      </c>
      <c r="K109" s="3">
        <v>74.66</v>
      </c>
      <c r="L109" t="s">
        <v>251</v>
      </c>
      <c r="N109" s="4">
        <f t="shared" si="1"/>
        <v>-0.36299999999999955</v>
      </c>
    </row>
    <row r="110" spans="1:14" x14ac:dyDescent="0.35">
      <c r="A110" s="8"/>
      <c r="B110" s="8">
        <v>30745</v>
      </c>
      <c r="C110" s="8" t="s">
        <v>253</v>
      </c>
      <c r="D110" s="8" t="s">
        <v>1</v>
      </c>
      <c r="E110" s="8" t="s">
        <v>254</v>
      </c>
      <c r="F110" s="9">
        <v>75958</v>
      </c>
      <c r="G110" s="8" t="s">
        <v>41</v>
      </c>
      <c r="H110" s="8">
        <v>16</v>
      </c>
      <c r="I110" s="8" t="s">
        <v>30</v>
      </c>
      <c r="J110" s="8">
        <f>F110/1000</f>
        <v>75.957999999999998</v>
      </c>
      <c r="K110" s="10">
        <v>75.12</v>
      </c>
      <c r="L110" s="8" t="s">
        <v>251</v>
      </c>
      <c r="M110" s="8"/>
      <c r="N110" s="4">
        <f t="shared" si="1"/>
        <v>-0.83799999999999386</v>
      </c>
    </row>
    <row r="111" spans="1:14" x14ac:dyDescent="0.35">
      <c r="A111" s="8"/>
      <c r="B111" s="8">
        <v>30746</v>
      </c>
      <c r="C111" s="8" t="s">
        <v>255</v>
      </c>
      <c r="D111" s="8" t="s">
        <v>1</v>
      </c>
      <c r="E111" s="8" t="s">
        <v>256</v>
      </c>
      <c r="F111" s="9">
        <v>76508</v>
      </c>
      <c r="G111" s="8" t="s">
        <v>257</v>
      </c>
      <c r="H111" s="8">
        <v>16</v>
      </c>
      <c r="I111" s="8" t="s">
        <v>30</v>
      </c>
      <c r="J111" s="8">
        <f>F111/1000</f>
        <v>76.507999999999996</v>
      </c>
      <c r="K111" s="10">
        <v>75.59</v>
      </c>
      <c r="L111" s="8" t="s">
        <v>251</v>
      </c>
      <c r="M111" s="8"/>
      <c r="N111" s="4">
        <f t="shared" si="1"/>
        <v>-0.91799999999999216</v>
      </c>
    </row>
    <row r="112" spans="1:14" x14ac:dyDescent="0.35">
      <c r="A112" s="8"/>
      <c r="B112" s="8">
        <v>30747</v>
      </c>
      <c r="C112" s="8" t="s">
        <v>258</v>
      </c>
      <c r="D112" s="8" t="s">
        <v>1</v>
      </c>
      <c r="E112" s="8" t="s">
        <v>259</v>
      </c>
      <c r="F112" s="9">
        <v>76469</v>
      </c>
      <c r="G112" s="8" t="s">
        <v>150</v>
      </c>
      <c r="H112" s="8">
        <v>16</v>
      </c>
      <c r="I112" s="8" t="s">
        <v>30</v>
      </c>
      <c r="J112" s="8">
        <f>F112/1000</f>
        <v>76.468999999999994</v>
      </c>
      <c r="K112" s="10">
        <v>75.900000000000006</v>
      </c>
      <c r="L112" s="8" t="s">
        <v>260</v>
      </c>
      <c r="M112" s="8"/>
      <c r="N112" s="4">
        <f t="shared" si="1"/>
        <v>-0.5689999999999884</v>
      </c>
    </row>
    <row r="113" spans="1:14" x14ac:dyDescent="0.35">
      <c r="A113" s="8"/>
      <c r="B113" s="8">
        <v>30748</v>
      </c>
      <c r="C113" s="8" t="s">
        <v>261</v>
      </c>
      <c r="D113" s="8" t="s">
        <v>1</v>
      </c>
      <c r="E113" s="8" t="s">
        <v>256</v>
      </c>
      <c r="F113" s="9">
        <v>76687</v>
      </c>
      <c r="G113" s="8" t="s">
        <v>139</v>
      </c>
      <c r="H113" s="8">
        <v>16</v>
      </c>
      <c r="I113" s="8" t="s">
        <v>30</v>
      </c>
      <c r="J113" s="8">
        <f>F113/1000</f>
        <v>76.686999999999998</v>
      </c>
      <c r="K113" s="10">
        <v>76.17</v>
      </c>
      <c r="L113" s="8" t="s">
        <v>260</v>
      </c>
      <c r="M113" s="8"/>
      <c r="N113" s="4">
        <f t="shared" si="1"/>
        <v>-0.51699999999999591</v>
      </c>
    </row>
    <row r="114" spans="1:14" x14ac:dyDescent="0.35">
      <c r="B114">
        <v>30749</v>
      </c>
      <c r="C114" t="s">
        <v>262</v>
      </c>
      <c r="D114" t="s">
        <v>1</v>
      </c>
      <c r="E114" t="s">
        <v>263</v>
      </c>
      <c r="F114" s="1">
        <v>77007</v>
      </c>
      <c r="G114" t="s">
        <v>124</v>
      </c>
      <c r="H114">
        <v>16</v>
      </c>
      <c r="I114" t="s">
        <v>30</v>
      </c>
      <c r="J114">
        <f>F114/1000</f>
        <v>77.007000000000005</v>
      </c>
      <c r="K114" s="3">
        <v>76.72</v>
      </c>
      <c r="L114" t="s">
        <v>260</v>
      </c>
      <c r="N114" s="4">
        <f t="shared" si="1"/>
        <v>-0.28700000000000614</v>
      </c>
    </row>
    <row r="115" spans="1:14" x14ac:dyDescent="0.35">
      <c r="B115">
        <v>30750</v>
      </c>
      <c r="C115" t="s">
        <v>264</v>
      </c>
      <c r="D115" t="s">
        <v>1</v>
      </c>
      <c r="E115" t="s">
        <v>265</v>
      </c>
      <c r="F115" s="1">
        <v>77580</v>
      </c>
      <c r="G115" t="s">
        <v>47</v>
      </c>
      <c r="H115">
        <v>16</v>
      </c>
      <c r="I115" t="s">
        <v>30</v>
      </c>
      <c r="J115">
        <f>F115/1000</f>
        <v>77.58</v>
      </c>
      <c r="K115" s="3">
        <v>77.12</v>
      </c>
      <c r="L115" t="s">
        <v>266</v>
      </c>
      <c r="N115" s="4">
        <f t="shared" si="1"/>
        <v>-0.45999999999999375</v>
      </c>
    </row>
    <row r="116" spans="1:14" x14ac:dyDescent="0.35">
      <c r="B116">
        <v>30751</v>
      </c>
      <c r="C116" t="s">
        <v>267</v>
      </c>
      <c r="D116" t="s">
        <v>1</v>
      </c>
      <c r="E116" t="s">
        <v>265</v>
      </c>
      <c r="F116" s="1">
        <v>77821</v>
      </c>
      <c r="G116" t="s">
        <v>136</v>
      </c>
      <c r="H116">
        <v>16</v>
      </c>
      <c r="I116" t="s">
        <v>30</v>
      </c>
      <c r="J116">
        <f>F116/1000</f>
        <v>77.820999999999998</v>
      </c>
      <c r="K116" s="3">
        <v>77.739999999999995</v>
      </c>
      <c r="L116" t="s">
        <v>266</v>
      </c>
      <c r="N116" s="4">
        <f t="shared" si="1"/>
        <v>-8.100000000000307E-2</v>
      </c>
    </row>
    <row r="117" spans="1:14" x14ac:dyDescent="0.35">
      <c r="B117">
        <v>30752</v>
      </c>
      <c r="C117" t="s">
        <v>268</v>
      </c>
      <c r="D117" t="s">
        <v>1</v>
      </c>
      <c r="E117" t="s">
        <v>269</v>
      </c>
      <c r="F117" s="1">
        <v>78515</v>
      </c>
      <c r="G117" t="s">
        <v>53</v>
      </c>
      <c r="H117">
        <v>16</v>
      </c>
      <c r="I117" t="s">
        <v>30</v>
      </c>
      <c r="J117">
        <f>F117/1000</f>
        <v>78.515000000000001</v>
      </c>
      <c r="K117" s="3">
        <v>78.11</v>
      </c>
      <c r="L117" t="s">
        <v>266</v>
      </c>
      <c r="N117" s="4">
        <f t="shared" si="1"/>
        <v>-0.40500000000000114</v>
      </c>
    </row>
    <row r="118" spans="1:14" x14ac:dyDescent="0.35">
      <c r="B118">
        <v>30753</v>
      </c>
      <c r="C118" t="s">
        <v>270</v>
      </c>
      <c r="D118" t="s">
        <v>1</v>
      </c>
      <c r="E118" t="s">
        <v>269</v>
      </c>
      <c r="F118" s="1">
        <v>78390</v>
      </c>
      <c r="G118" t="s">
        <v>198</v>
      </c>
      <c r="H118">
        <v>16</v>
      </c>
      <c r="I118" t="s">
        <v>30</v>
      </c>
      <c r="J118">
        <f>F118/1000</f>
        <v>78.39</v>
      </c>
      <c r="K118" s="3">
        <v>78.290000000000006</v>
      </c>
      <c r="L118" t="s">
        <v>266</v>
      </c>
      <c r="N118" s="4">
        <f t="shared" si="1"/>
        <v>-9.9999999999994316E-2</v>
      </c>
    </row>
    <row r="119" spans="1:14" x14ac:dyDescent="0.35">
      <c r="A119" s="8"/>
      <c r="B119" s="8">
        <v>30754</v>
      </c>
      <c r="C119" s="8" t="s">
        <v>271</v>
      </c>
      <c r="D119" s="8" t="s">
        <v>1</v>
      </c>
      <c r="E119" s="8" t="s">
        <v>272</v>
      </c>
      <c r="F119" s="9">
        <v>79093</v>
      </c>
      <c r="G119" s="8" t="s">
        <v>23</v>
      </c>
      <c r="H119" s="8">
        <v>16</v>
      </c>
      <c r="I119" s="8" t="s">
        <v>30</v>
      </c>
      <c r="J119" s="8">
        <f>F119/1000</f>
        <v>79.093000000000004</v>
      </c>
      <c r="K119" s="10">
        <v>78.59</v>
      </c>
      <c r="L119" s="8" t="s">
        <v>273</v>
      </c>
      <c r="M119" s="8"/>
      <c r="N119" s="4">
        <f t="shared" si="1"/>
        <v>-0.50300000000000011</v>
      </c>
    </row>
    <row r="120" spans="1:14" x14ac:dyDescent="0.35">
      <c r="B120">
        <v>30755</v>
      </c>
      <c r="C120" t="s">
        <v>274</v>
      </c>
      <c r="D120" t="s">
        <v>1</v>
      </c>
      <c r="E120" t="s">
        <v>275</v>
      </c>
      <c r="F120" s="1">
        <v>78860</v>
      </c>
      <c r="G120" t="s">
        <v>174</v>
      </c>
      <c r="H120">
        <v>16</v>
      </c>
      <c r="I120" t="s">
        <v>30</v>
      </c>
      <c r="J120">
        <f>F120/1000</f>
        <v>78.86</v>
      </c>
      <c r="K120" s="3">
        <v>78.709999999999994</v>
      </c>
      <c r="L120" t="s">
        <v>273</v>
      </c>
      <c r="N120" s="4">
        <f t="shared" si="1"/>
        <v>-0.15000000000000568</v>
      </c>
    </row>
    <row r="121" spans="1:14" x14ac:dyDescent="0.35">
      <c r="B121">
        <v>30756</v>
      </c>
      <c r="C121" t="s">
        <v>276</v>
      </c>
      <c r="D121" t="s">
        <v>1</v>
      </c>
      <c r="E121" t="s">
        <v>275</v>
      </c>
      <c r="F121" s="1">
        <v>78745</v>
      </c>
      <c r="G121" t="s">
        <v>198</v>
      </c>
      <c r="H121">
        <v>16</v>
      </c>
      <c r="I121" t="s">
        <v>30</v>
      </c>
      <c r="J121">
        <f>F121/1000</f>
        <v>78.745000000000005</v>
      </c>
      <c r="K121" s="3">
        <v>78.760000000000005</v>
      </c>
      <c r="L121" t="s">
        <v>273</v>
      </c>
      <c r="N121" s="4">
        <f t="shared" si="1"/>
        <v>1.5000000000000568E-2</v>
      </c>
    </row>
    <row r="122" spans="1:14" x14ac:dyDescent="0.35">
      <c r="B122">
        <v>30757</v>
      </c>
      <c r="C122" t="s">
        <v>277</v>
      </c>
      <c r="D122" t="s">
        <v>1</v>
      </c>
      <c r="E122" t="s">
        <v>272</v>
      </c>
      <c r="F122" s="1">
        <v>79338</v>
      </c>
      <c r="G122" t="s">
        <v>47</v>
      </c>
      <c r="H122">
        <v>16</v>
      </c>
      <c r="I122" t="s">
        <v>30</v>
      </c>
      <c r="J122">
        <f>F122/1000</f>
        <v>79.337999999999994</v>
      </c>
      <c r="K122" s="3">
        <v>78.95</v>
      </c>
      <c r="L122" t="s">
        <v>273</v>
      </c>
      <c r="N122" s="4">
        <f t="shared" si="1"/>
        <v>-0.38799999999999102</v>
      </c>
    </row>
    <row r="123" spans="1:14" x14ac:dyDescent="0.35">
      <c r="B123">
        <v>30758</v>
      </c>
      <c r="C123" t="s">
        <v>278</v>
      </c>
      <c r="D123" t="s">
        <v>1</v>
      </c>
      <c r="E123" t="s">
        <v>279</v>
      </c>
      <c r="F123" s="1">
        <v>79580</v>
      </c>
      <c r="G123" t="s">
        <v>136</v>
      </c>
      <c r="H123">
        <v>16</v>
      </c>
      <c r="I123" t="s">
        <v>30</v>
      </c>
      <c r="J123">
        <f>F123/1000</f>
        <v>79.58</v>
      </c>
      <c r="K123" s="3">
        <v>79.3</v>
      </c>
      <c r="L123" t="s">
        <v>273</v>
      </c>
      <c r="N123" s="4">
        <f t="shared" si="1"/>
        <v>-0.28000000000000114</v>
      </c>
    </row>
    <row r="124" spans="1:14" x14ac:dyDescent="0.35">
      <c r="B124">
        <v>30759</v>
      </c>
      <c r="C124" t="s">
        <v>280</v>
      </c>
      <c r="D124" t="s">
        <v>1</v>
      </c>
      <c r="E124" t="s">
        <v>281</v>
      </c>
      <c r="F124" s="1">
        <v>80181</v>
      </c>
      <c r="G124" t="s">
        <v>79</v>
      </c>
      <c r="H124">
        <v>16</v>
      </c>
      <c r="I124" t="s">
        <v>30</v>
      </c>
      <c r="J124">
        <f>F124/1000</f>
        <v>80.180999999999997</v>
      </c>
      <c r="K124" s="3">
        <v>79.86</v>
      </c>
      <c r="L124" t="s">
        <v>273</v>
      </c>
      <c r="N124" s="4">
        <f t="shared" si="1"/>
        <v>-0.32099999999999795</v>
      </c>
    </row>
    <row r="125" spans="1:14" x14ac:dyDescent="0.35">
      <c r="B125">
        <v>30760</v>
      </c>
      <c r="C125" t="s">
        <v>282</v>
      </c>
      <c r="D125" t="s">
        <v>1</v>
      </c>
      <c r="E125" t="s">
        <v>283</v>
      </c>
      <c r="F125" s="1">
        <v>80785</v>
      </c>
      <c r="G125" t="s">
        <v>79</v>
      </c>
      <c r="H125">
        <v>16</v>
      </c>
      <c r="I125" t="s">
        <v>30</v>
      </c>
      <c r="J125">
        <f>F125/1000</f>
        <v>80.784999999999997</v>
      </c>
      <c r="K125" s="3">
        <v>80.319999999999993</v>
      </c>
      <c r="L125" t="s">
        <v>273</v>
      </c>
      <c r="N125" s="4">
        <f t="shared" si="1"/>
        <v>-0.46500000000000341</v>
      </c>
    </row>
    <row r="126" spans="1:14" x14ac:dyDescent="0.35">
      <c r="B126">
        <v>30761</v>
      </c>
      <c r="C126" t="s">
        <v>284</v>
      </c>
      <c r="D126" t="s">
        <v>1</v>
      </c>
      <c r="E126" t="s">
        <v>285</v>
      </c>
      <c r="F126" s="1">
        <v>80894</v>
      </c>
      <c r="G126" t="s">
        <v>113</v>
      </c>
      <c r="H126">
        <v>16</v>
      </c>
      <c r="I126" t="s">
        <v>30</v>
      </c>
      <c r="J126">
        <f>F126/1000</f>
        <v>80.894000000000005</v>
      </c>
      <c r="K126" s="3">
        <v>80.78</v>
      </c>
      <c r="L126" t="s">
        <v>273</v>
      </c>
      <c r="N126" s="4">
        <f t="shared" si="1"/>
        <v>-0.11400000000000432</v>
      </c>
    </row>
    <row r="127" spans="1:14" x14ac:dyDescent="0.35">
      <c r="A127" s="8"/>
      <c r="B127" s="8">
        <v>30762</v>
      </c>
      <c r="C127" s="8" t="s">
        <v>286</v>
      </c>
      <c r="D127" s="8" t="s">
        <v>1</v>
      </c>
      <c r="E127" s="8" t="s">
        <v>287</v>
      </c>
      <c r="F127" s="9">
        <v>81860</v>
      </c>
      <c r="G127" s="8" t="s">
        <v>161</v>
      </c>
      <c r="H127" s="8">
        <v>16</v>
      </c>
      <c r="I127" s="8" t="s">
        <v>30</v>
      </c>
      <c r="J127" s="8">
        <f>F127/1000</f>
        <v>81.86</v>
      </c>
      <c r="K127" s="10">
        <v>81.239999999999995</v>
      </c>
      <c r="L127" s="8" t="s">
        <v>273</v>
      </c>
      <c r="M127" s="8"/>
      <c r="N127" s="4">
        <f t="shared" si="1"/>
        <v>-0.62000000000000455</v>
      </c>
    </row>
    <row r="128" spans="1:14" x14ac:dyDescent="0.35">
      <c r="B128">
        <v>30763</v>
      </c>
      <c r="C128" t="s">
        <v>288</v>
      </c>
      <c r="D128" t="s">
        <v>1</v>
      </c>
      <c r="E128" t="s">
        <v>289</v>
      </c>
      <c r="F128" s="1">
        <v>82219</v>
      </c>
      <c r="G128" t="s">
        <v>12</v>
      </c>
      <c r="H128">
        <v>16</v>
      </c>
      <c r="I128" t="s">
        <v>30</v>
      </c>
      <c r="J128">
        <f>F128/1000</f>
        <v>82.218999999999994</v>
      </c>
      <c r="K128" s="3">
        <v>81.75</v>
      </c>
      <c r="L128" t="s">
        <v>290</v>
      </c>
      <c r="N128" s="4">
        <f t="shared" si="1"/>
        <v>-0.46899999999999409</v>
      </c>
    </row>
    <row r="129" spans="1:14" x14ac:dyDescent="0.35">
      <c r="B129">
        <v>30764</v>
      </c>
      <c r="C129" t="s">
        <v>291</v>
      </c>
      <c r="D129" t="s">
        <v>1</v>
      </c>
      <c r="E129" t="s">
        <v>292</v>
      </c>
      <c r="F129" s="1">
        <v>82262</v>
      </c>
      <c r="G129" t="s">
        <v>241</v>
      </c>
      <c r="H129">
        <v>16</v>
      </c>
      <c r="I129" t="s">
        <v>30</v>
      </c>
      <c r="J129">
        <f>F129/1000</f>
        <v>82.262</v>
      </c>
      <c r="K129" s="3">
        <v>82</v>
      </c>
      <c r="L129" t="s">
        <v>290</v>
      </c>
      <c r="N129" s="4">
        <f t="shared" si="1"/>
        <v>-0.26200000000000045</v>
      </c>
    </row>
    <row r="130" spans="1:14" x14ac:dyDescent="0.35">
      <c r="B130">
        <v>30765</v>
      </c>
      <c r="C130" t="s">
        <v>293</v>
      </c>
      <c r="D130" t="s">
        <v>1</v>
      </c>
      <c r="E130" t="s">
        <v>294</v>
      </c>
      <c r="F130" s="1">
        <v>82833</v>
      </c>
      <c r="G130" t="s">
        <v>47</v>
      </c>
      <c r="H130">
        <v>16</v>
      </c>
      <c r="I130" t="s">
        <v>30</v>
      </c>
      <c r="J130">
        <f>F130/1000</f>
        <v>82.832999999999998</v>
      </c>
      <c r="K130" s="3">
        <v>82.48</v>
      </c>
      <c r="L130" t="s">
        <v>290</v>
      </c>
      <c r="N130" s="4">
        <f t="shared" si="1"/>
        <v>-0.35299999999999443</v>
      </c>
    </row>
    <row r="131" spans="1:14" x14ac:dyDescent="0.35">
      <c r="B131">
        <v>30766</v>
      </c>
      <c r="C131" t="s">
        <v>295</v>
      </c>
      <c r="D131" t="s">
        <v>1</v>
      </c>
      <c r="E131" t="s">
        <v>296</v>
      </c>
      <c r="F131" s="1">
        <v>83193</v>
      </c>
      <c r="G131" t="s">
        <v>12</v>
      </c>
      <c r="H131">
        <v>16</v>
      </c>
      <c r="I131" t="s">
        <v>30</v>
      </c>
      <c r="J131">
        <f>F131/1000</f>
        <v>83.192999999999998</v>
      </c>
      <c r="K131" s="3">
        <v>82.8</v>
      </c>
      <c r="L131" t="s">
        <v>290</v>
      </c>
      <c r="N131" s="4">
        <f t="shared" si="1"/>
        <v>-0.39300000000000068</v>
      </c>
    </row>
    <row r="132" spans="1:14" x14ac:dyDescent="0.35">
      <c r="B132">
        <v>30767</v>
      </c>
      <c r="C132" t="s">
        <v>297</v>
      </c>
      <c r="D132" t="s">
        <v>1</v>
      </c>
      <c r="E132" t="s">
        <v>298</v>
      </c>
      <c r="F132" s="1">
        <v>83554</v>
      </c>
      <c r="G132" t="s">
        <v>12</v>
      </c>
      <c r="H132">
        <v>16</v>
      </c>
      <c r="I132" t="s">
        <v>30</v>
      </c>
      <c r="J132">
        <f>F132/1000</f>
        <v>83.554000000000002</v>
      </c>
      <c r="K132" s="3">
        <v>83.24</v>
      </c>
      <c r="L132" t="s">
        <v>290</v>
      </c>
      <c r="N132" s="4">
        <f t="shared" si="1"/>
        <v>-0.31400000000000716</v>
      </c>
    </row>
    <row r="133" spans="1:14" x14ac:dyDescent="0.35">
      <c r="A133" s="8"/>
      <c r="B133" s="8">
        <v>30768</v>
      </c>
      <c r="C133" s="8" t="s">
        <v>299</v>
      </c>
      <c r="D133" s="8" t="s">
        <v>1</v>
      </c>
      <c r="E133" s="8" t="s">
        <v>300</v>
      </c>
      <c r="F133" s="9">
        <v>84020</v>
      </c>
      <c r="G133" s="8" t="s">
        <v>33</v>
      </c>
      <c r="H133" s="8">
        <v>16</v>
      </c>
      <c r="I133" s="8" t="s">
        <v>30</v>
      </c>
      <c r="J133" s="8">
        <f>F133/1000</f>
        <v>84.02</v>
      </c>
      <c r="K133" s="10">
        <v>83.52</v>
      </c>
      <c r="L133" s="8" t="s">
        <v>301</v>
      </c>
      <c r="M133" s="8"/>
      <c r="N133" s="4">
        <f t="shared" ref="N133:N196" si="2">K133-J133</f>
        <v>-0.5</v>
      </c>
    </row>
    <row r="134" spans="1:14" x14ac:dyDescent="0.35">
      <c r="B134">
        <v>30769</v>
      </c>
      <c r="C134" t="s">
        <v>302</v>
      </c>
      <c r="D134" t="s">
        <v>1</v>
      </c>
      <c r="E134" t="s">
        <v>300</v>
      </c>
      <c r="F134" s="1">
        <v>83915</v>
      </c>
      <c r="G134" t="s">
        <v>198</v>
      </c>
      <c r="H134">
        <v>16</v>
      </c>
      <c r="I134" t="s">
        <v>30</v>
      </c>
      <c r="J134">
        <f>F134/1000</f>
        <v>83.915000000000006</v>
      </c>
      <c r="K134" s="3">
        <v>83.74</v>
      </c>
      <c r="L134" t="s">
        <v>301</v>
      </c>
      <c r="N134" s="4">
        <f t="shared" si="2"/>
        <v>-0.17500000000001137</v>
      </c>
    </row>
    <row r="135" spans="1:14" x14ac:dyDescent="0.35">
      <c r="A135" s="8"/>
      <c r="B135" s="8">
        <v>30770</v>
      </c>
      <c r="C135" s="8" t="s">
        <v>303</v>
      </c>
      <c r="D135" s="8" t="s">
        <v>1</v>
      </c>
      <c r="E135" s="8" t="s">
        <v>304</v>
      </c>
      <c r="F135" s="9">
        <v>84846</v>
      </c>
      <c r="G135" s="8" t="s">
        <v>41</v>
      </c>
      <c r="H135" s="8">
        <v>16</v>
      </c>
      <c r="I135" s="8" t="s">
        <v>30</v>
      </c>
      <c r="J135" s="8">
        <f>F135/1000</f>
        <v>84.846000000000004</v>
      </c>
      <c r="K135" s="10">
        <v>84.28</v>
      </c>
      <c r="L135" s="8" t="s">
        <v>305</v>
      </c>
      <c r="M135" s="8"/>
      <c r="N135" s="4">
        <f t="shared" si="2"/>
        <v>-0.5660000000000025</v>
      </c>
    </row>
    <row r="136" spans="1:14" x14ac:dyDescent="0.35">
      <c r="B136">
        <v>30771</v>
      </c>
      <c r="C136" t="s">
        <v>306</v>
      </c>
      <c r="D136" t="s">
        <v>1</v>
      </c>
      <c r="E136" t="s">
        <v>304</v>
      </c>
      <c r="F136" s="1">
        <v>84951</v>
      </c>
      <c r="G136" t="s">
        <v>113</v>
      </c>
      <c r="H136">
        <v>16</v>
      </c>
      <c r="I136" t="s">
        <v>30</v>
      </c>
      <c r="J136">
        <f>F136/1000</f>
        <v>84.950999999999993</v>
      </c>
      <c r="K136" s="3">
        <v>84.61</v>
      </c>
      <c r="L136" t="s">
        <v>305</v>
      </c>
      <c r="N136" s="4">
        <f t="shared" si="2"/>
        <v>-0.34099999999999397</v>
      </c>
    </row>
    <row r="137" spans="1:14" x14ac:dyDescent="0.35">
      <c r="B137">
        <v>30772</v>
      </c>
      <c r="C137" t="s">
        <v>307</v>
      </c>
      <c r="D137" t="s">
        <v>1</v>
      </c>
      <c r="E137" t="s">
        <v>308</v>
      </c>
      <c r="F137" s="1">
        <v>85417</v>
      </c>
      <c r="G137" t="s">
        <v>33</v>
      </c>
      <c r="H137">
        <v>16</v>
      </c>
      <c r="I137" t="s">
        <v>30</v>
      </c>
      <c r="J137">
        <f>F137/1000</f>
        <v>85.417000000000002</v>
      </c>
      <c r="K137" s="3">
        <v>85</v>
      </c>
      <c r="L137" t="s">
        <v>305</v>
      </c>
      <c r="N137" s="4">
        <f t="shared" si="2"/>
        <v>-0.41700000000000159</v>
      </c>
    </row>
    <row r="138" spans="1:14" x14ac:dyDescent="0.35">
      <c r="B138">
        <v>30773</v>
      </c>
      <c r="C138" t="s">
        <v>309</v>
      </c>
      <c r="D138" t="s">
        <v>1</v>
      </c>
      <c r="E138" t="s">
        <v>310</v>
      </c>
      <c r="F138" s="1">
        <v>85829</v>
      </c>
      <c r="G138" t="s">
        <v>311</v>
      </c>
      <c r="H138">
        <v>16</v>
      </c>
      <c r="I138" t="s">
        <v>30</v>
      </c>
      <c r="J138">
        <f>F138/1000</f>
        <v>85.828999999999994</v>
      </c>
      <c r="K138" s="3">
        <v>85.37</v>
      </c>
      <c r="L138" t="s">
        <v>305</v>
      </c>
      <c r="N138" s="4">
        <f t="shared" si="2"/>
        <v>-0.45899999999998897</v>
      </c>
    </row>
    <row r="139" spans="1:14" x14ac:dyDescent="0.35">
      <c r="B139">
        <v>30774</v>
      </c>
      <c r="C139" t="s">
        <v>312</v>
      </c>
      <c r="D139" t="s">
        <v>1</v>
      </c>
      <c r="E139" t="s">
        <v>313</v>
      </c>
      <c r="F139" s="1">
        <v>86139</v>
      </c>
      <c r="G139" t="s">
        <v>124</v>
      </c>
      <c r="H139">
        <v>16</v>
      </c>
      <c r="I139" t="s">
        <v>30</v>
      </c>
      <c r="J139">
        <f>F139/1000</f>
        <v>86.138999999999996</v>
      </c>
      <c r="K139" s="3">
        <v>85.76</v>
      </c>
      <c r="L139" t="s">
        <v>305</v>
      </c>
      <c r="N139" s="4">
        <f t="shared" si="2"/>
        <v>-0.37899999999999068</v>
      </c>
    </row>
    <row r="140" spans="1:14" x14ac:dyDescent="0.35">
      <c r="B140">
        <v>30775</v>
      </c>
      <c r="C140" t="s">
        <v>314</v>
      </c>
      <c r="D140" t="s">
        <v>1</v>
      </c>
      <c r="E140" t="s">
        <v>315</v>
      </c>
      <c r="F140" s="1">
        <v>86397</v>
      </c>
      <c r="G140" t="s">
        <v>136</v>
      </c>
      <c r="H140">
        <v>16</v>
      </c>
      <c r="I140" t="s">
        <v>30</v>
      </c>
      <c r="J140">
        <f>F140/1000</f>
        <v>86.397000000000006</v>
      </c>
      <c r="K140" s="3">
        <v>86.16</v>
      </c>
      <c r="L140" t="s">
        <v>305</v>
      </c>
      <c r="N140" s="4">
        <f t="shared" si="2"/>
        <v>-0.23700000000000898</v>
      </c>
    </row>
    <row r="141" spans="1:14" x14ac:dyDescent="0.35">
      <c r="B141">
        <v>30776</v>
      </c>
      <c r="C141" t="s">
        <v>316</v>
      </c>
      <c r="D141" t="s">
        <v>1</v>
      </c>
      <c r="E141" t="s">
        <v>315</v>
      </c>
      <c r="F141" s="1">
        <v>86501</v>
      </c>
      <c r="G141" t="s">
        <v>113</v>
      </c>
      <c r="H141">
        <v>16</v>
      </c>
      <c r="I141" t="s">
        <v>30</v>
      </c>
      <c r="J141">
        <f>F141/1000</f>
        <v>86.501000000000005</v>
      </c>
      <c r="K141" s="3">
        <v>86.24</v>
      </c>
      <c r="L141" t="s">
        <v>305</v>
      </c>
      <c r="N141" s="4">
        <f t="shared" si="2"/>
        <v>-0.26100000000000989</v>
      </c>
    </row>
    <row r="142" spans="1:14" x14ac:dyDescent="0.35">
      <c r="B142">
        <v>30777</v>
      </c>
      <c r="C142" t="s">
        <v>317</v>
      </c>
      <c r="D142" t="s">
        <v>1</v>
      </c>
      <c r="E142" t="s">
        <v>318</v>
      </c>
      <c r="F142" s="1">
        <v>86863</v>
      </c>
      <c r="G142" t="s">
        <v>12</v>
      </c>
      <c r="H142">
        <v>16</v>
      </c>
      <c r="I142" t="s">
        <v>30</v>
      </c>
      <c r="J142">
        <f>F142/1000</f>
        <v>86.863</v>
      </c>
      <c r="K142" s="3">
        <v>86.49</v>
      </c>
      <c r="L142" t="s">
        <v>305</v>
      </c>
      <c r="N142" s="4">
        <f t="shared" si="2"/>
        <v>-0.37300000000000466</v>
      </c>
    </row>
    <row r="143" spans="1:14" x14ac:dyDescent="0.35">
      <c r="B143">
        <v>30778</v>
      </c>
      <c r="C143" t="s">
        <v>319</v>
      </c>
      <c r="D143" t="s">
        <v>1</v>
      </c>
      <c r="E143" t="s">
        <v>320</v>
      </c>
      <c r="F143" s="1">
        <v>87122</v>
      </c>
      <c r="G143" t="s">
        <v>136</v>
      </c>
      <c r="H143">
        <v>16</v>
      </c>
      <c r="I143" t="s">
        <v>30</v>
      </c>
      <c r="J143">
        <f>F143/1000</f>
        <v>87.122</v>
      </c>
      <c r="K143" s="3">
        <v>86.9</v>
      </c>
      <c r="L143" t="s">
        <v>305</v>
      </c>
      <c r="N143" s="4">
        <f t="shared" si="2"/>
        <v>-0.2219999999999942</v>
      </c>
    </row>
    <row r="144" spans="1:14" x14ac:dyDescent="0.35">
      <c r="B144">
        <v>30779</v>
      </c>
      <c r="C144" t="s">
        <v>321</v>
      </c>
      <c r="D144" t="s">
        <v>1</v>
      </c>
      <c r="E144" t="s">
        <v>320</v>
      </c>
      <c r="F144" s="1">
        <v>87225</v>
      </c>
      <c r="G144" t="s">
        <v>113</v>
      </c>
      <c r="H144">
        <v>16</v>
      </c>
      <c r="I144" t="s">
        <v>30</v>
      </c>
      <c r="J144">
        <f>F144/1000</f>
        <v>87.224999999999994</v>
      </c>
      <c r="K144" s="3">
        <v>87.2</v>
      </c>
      <c r="L144" t="s">
        <v>305</v>
      </c>
      <c r="N144" s="4">
        <f t="shared" si="2"/>
        <v>-2.4999999999991473E-2</v>
      </c>
    </row>
    <row r="145" spans="2:14" x14ac:dyDescent="0.35">
      <c r="B145">
        <v>30780</v>
      </c>
      <c r="C145" t="s">
        <v>322</v>
      </c>
      <c r="D145" t="s">
        <v>1</v>
      </c>
      <c r="E145" t="s">
        <v>323</v>
      </c>
      <c r="F145" s="1">
        <v>87748</v>
      </c>
      <c r="G145" t="s">
        <v>257</v>
      </c>
      <c r="H145">
        <v>16</v>
      </c>
      <c r="I145" t="s">
        <v>30</v>
      </c>
      <c r="J145">
        <f>F145/1000</f>
        <v>87.748000000000005</v>
      </c>
      <c r="K145" s="3">
        <v>87.37</v>
      </c>
      <c r="L145" t="s">
        <v>305</v>
      </c>
      <c r="N145" s="4">
        <f t="shared" si="2"/>
        <v>-0.37800000000000011</v>
      </c>
    </row>
    <row r="146" spans="2:14" x14ac:dyDescent="0.35">
      <c r="B146">
        <v>30781</v>
      </c>
      <c r="C146" t="s">
        <v>324</v>
      </c>
      <c r="D146" t="s">
        <v>1</v>
      </c>
      <c r="E146" t="s">
        <v>323</v>
      </c>
      <c r="F146" s="1">
        <v>87690</v>
      </c>
      <c r="G146" t="s">
        <v>325</v>
      </c>
      <c r="H146">
        <v>16</v>
      </c>
      <c r="I146" t="s">
        <v>30</v>
      </c>
      <c r="J146">
        <f>F146/1000</f>
        <v>87.69</v>
      </c>
      <c r="K146" s="3">
        <v>87.63</v>
      </c>
      <c r="L146" t="s">
        <v>305</v>
      </c>
      <c r="N146" s="4">
        <f t="shared" si="2"/>
        <v>-6.0000000000002274E-2</v>
      </c>
    </row>
    <row r="147" spans="2:14" x14ac:dyDescent="0.35">
      <c r="B147">
        <v>30782</v>
      </c>
      <c r="C147" t="s">
        <v>326</v>
      </c>
      <c r="D147" t="s">
        <v>1</v>
      </c>
      <c r="E147" t="s">
        <v>327</v>
      </c>
      <c r="F147" s="1">
        <v>87588</v>
      </c>
      <c r="G147" t="s">
        <v>198</v>
      </c>
      <c r="H147">
        <v>16</v>
      </c>
      <c r="I147" t="s">
        <v>30</v>
      </c>
      <c r="J147">
        <f>F147/1000</f>
        <v>87.587999999999994</v>
      </c>
      <c r="K147" s="3">
        <v>87.52</v>
      </c>
      <c r="L147" t="s">
        <v>305</v>
      </c>
      <c r="N147" s="4">
        <f t="shared" si="2"/>
        <v>-6.799999999999784E-2</v>
      </c>
    </row>
    <row r="148" spans="2:14" x14ac:dyDescent="0.35">
      <c r="B148">
        <v>30783</v>
      </c>
      <c r="C148" t="s">
        <v>328</v>
      </c>
      <c r="D148" t="s">
        <v>1</v>
      </c>
      <c r="E148" t="s">
        <v>323</v>
      </c>
      <c r="F148" s="1">
        <v>87793</v>
      </c>
      <c r="G148" t="s">
        <v>139</v>
      </c>
      <c r="H148">
        <v>16</v>
      </c>
      <c r="I148" t="s">
        <v>30</v>
      </c>
      <c r="J148">
        <f>F148/1000</f>
        <v>87.793000000000006</v>
      </c>
      <c r="K148" s="3">
        <v>87.67</v>
      </c>
      <c r="L148" t="s">
        <v>305</v>
      </c>
      <c r="N148" s="4">
        <f t="shared" si="2"/>
        <v>-0.12300000000000466</v>
      </c>
    </row>
    <row r="149" spans="2:14" x14ac:dyDescent="0.35">
      <c r="B149">
        <v>30784</v>
      </c>
      <c r="C149" t="s">
        <v>329</v>
      </c>
      <c r="D149" t="s">
        <v>1</v>
      </c>
      <c r="E149" t="s">
        <v>330</v>
      </c>
      <c r="F149" s="1">
        <v>88258</v>
      </c>
      <c r="G149" t="s">
        <v>33</v>
      </c>
      <c r="H149">
        <v>16</v>
      </c>
      <c r="I149" t="s">
        <v>30</v>
      </c>
      <c r="J149">
        <f>F149/1000</f>
        <v>88.257999999999996</v>
      </c>
      <c r="K149" s="3">
        <v>87.99</v>
      </c>
      <c r="L149" t="s">
        <v>305</v>
      </c>
      <c r="N149" s="4">
        <f t="shared" si="2"/>
        <v>-0.26800000000000068</v>
      </c>
    </row>
    <row r="150" spans="2:14" x14ac:dyDescent="0.35">
      <c r="B150">
        <v>30785</v>
      </c>
      <c r="C150" t="s">
        <v>331</v>
      </c>
      <c r="D150" t="s">
        <v>1</v>
      </c>
      <c r="E150" t="s">
        <v>332</v>
      </c>
      <c r="F150" s="1">
        <v>88416</v>
      </c>
      <c r="G150" t="s">
        <v>104</v>
      </c>
      <c r="H150">
        <v>16</v>
      </c>
      <c r="I150" t="s">
        <v>30</v>
      </c>
      <c r="J150">
        <f>F150/1000</f>
        <v>88.415999999999997</v>
      </c>
      <c r="K150" s="3">
        <v>88.21</v>
      </c>
      <c r="L150" t="s">
        <v>305</v>
      </c>
      <c r="N150" s="4">
        <f t="shared" si="2"/>
        <v>-0.20600000000000307</v>
      </c>
    </row>
    <row r="151" spans="2:14" x14ac:dyDescent="0.35">
      <c r="B151">
        <v>30786</v>
      </c>
      <c r="C151" t="s">
        <v>333</v>
      </c>
      <c r="D151" t="s">
        <v>1</v>
      </c>
      <c r="E151" t="s">
        <v>334</v>
      </c>
      <c r="F151" s="1">
        <v>88881</v>
      </c>
      <c r="G151" t="s">
        <v>33</v>
      </c>
      <c r="H151">
        <v>16</v>
      </c>
      <c r="I151" t="s">
        <v>30</v>
      </c>
      <c r="J151">
        <f>F151/1000</f>
        <v>88.881</v>
      </c>
      <c r="K151" s="3">
        <v>88.54</v>
      </c>
      <c r="L151" t="s">
        <v>305</v>
      </c>
      <c r="N151" s="4">
        <f t="shared" si="2"/>
        <v>-0.34099999999999397</v>
      </c>
    </row>
    <row r="152" spans="2:14" x14ac:dyDescent="0.35">
      <c r="B152">
        <v>30787</v>
      </c>
      <c r="C152" t="s">
        <v>335</v>
      </c>
      <c r="D152" t="s">
        <v>1</v>
      </c>
      <c r="E152" t="s">
        <v>332</v>
      </c>
      <c r="F152" s="1">
        <v>88621</v>
      </c>
      <c r="G152" t="s">
        <v>336</v>
      </c>
      <c r="H152">
        <v>16</v>
      </c>
      <c r="I152" t="s">
        <v>30</v>
      </c>
      <c r="J152">
        <f>F152/1000</f>
        <v>88.620999999999995</v>
      </c>
      <c r="K152" s="3">
        <v>88.38</v>
      </c>
      <c r="L152" t="s">
        <v>305</v>
      </c>
      <c r="N152" s="4">
        <f t="shared" si="2"/>
        <v>-0.24099999999999966</v>
      </c>
    </row>
    <row r="153" spans="2:14" x14ac:dyDescent="0.35">
      <c r="B153">
        <v>30788</v>
      </c>
      <c r="C153" t="s">
        <v>337</v>
      </c>
      <c r="D153" t="s">
        <v>1</v>
      </c>
      <c r="E153" t="s">
        <v>332</v>
      </c>
      <c r="F153" s="1">
        <v>88621</v>
      </c>
      <c r="G153" t="s">
        <v>100</v>
      </c>
      <c r="H153">
        <v>16</v>
      </c>
      <c r="I153" t="s">
        <v>30</v>
      </c>
      <c r="J153">
        <f>F153/1000</f>
        <v>88.620999999999995</v>
      </c>
      <c r="K153" s="3">
        <v>88.23</v>
      </c>
      <c r="L153" t="s">
        <v>338</v>
      </c>
      <c r="N153" s="4">
        <f t="shared" si="2"/>
        <v>-0.39099999999999113</v>
      </c>
    </row>
    <row r="154" spans="2:14" x14ac:dyDescent="0.35">
      <c r="B154">
        <v>30789</v>
      </c>
      <c r="C154" t="s">
        <v>339</v>
      </c>
      <c r="D154" t="s">
        <v>1</v>
      </c>
      <c r="E154" t="s">
        <v>330</v>
      </c>
      <c r="F154" s="1">
        <v>88259</v>
      </c>
      <c r="G154" t="s">
        <v>340</v>
      </c>
      <c r="H154">
        <v>16</v>
      </c>
      <c r="I154" t="s">
        <v>30</v>
      </c>
      <c r="J154">
        <f>F154/1000</f>
        <v>88.259</v>
      </c>
      <c r="K154" s="3">
        <v>88.19</v>
      </c>
      <c r="L154" t="s">
        <v>338</v>
      </c>
      <c r="N154" s="4">
        <f t="shared" si="2"/>
        <v>-6.9000000000002615E-2</v>
      </c>
    </row>
    <row r="155" spans="2:14" x14ac:dyDescent="0.35">
      <c r="B155">
        <v>30790</v>
      </c>
      <c r="C155" t="s">
        <v>341</v>
      </c>
      <c r="D155" t="s">
        <v>1</v>
      </c>
      <c r="E155" t="s">
        <v>330</v>
      </c>
      <c r="F155" s="1">
        <v>88155</v>
      </c>
      <c r="G155" t="s">
        <v>198</v>
      </c>
      <c r="H155">
        <v>15</v>
      </c>
      <c r="I155" t="s">
        <v>30</v>
      </c>
      <c r="J155">
        <f>F155/1000</f>
        <v>88.155000000000001</v>
      </c>
      <c r="K155" s="3">
        <v>87.94</v>
      </c>
      <c r="L155" t="s">
        <v>338</v>
      </c>
      <c r="N155" s="4">
        <f t="shared" si="2"/>
        <v>-0.21500000000000341</v>
      </c>
    </row>
    <row r="156" spans="2:14" x14ac:dyDescent="0.35">
      <c r="B156">
        <v>30791</v>
      </c>
      <c r="C156" t="s">
        <v>342</v>
      </c>
      <c r="D156" t="s">
        <v>1</v>
      </c>
      <c r="E156" t="s">
        <v>323</v>
      </c>
      <c r="F156" s="1">
        <v>87897</v>
      </c>
      <c r="G156" t="s">
        <v>336</v>
      </c>
      <c r="H156">
        <v>16</v>
      </c>
      <c r="I156" t="s">
        <v>30</v>
      </c>
      <c r="J156">
        <f>F156/1000</f>
        <v>87.897000000000006</v>
      </c>
      <c r="K156" s="3">
        <v>87.77</v>
      </c>
      <c r="L156" t="s">
        <v>338</v>
      </c>
      <c r="N156" s="4">
        <f t="shared" si="2"/>
        <v>-0.12700000000000955</v>
      </c>
    </row>
    <row r="157" spans="2:14" x14ac:dyDescent="0.35">
      <c r="B157">
        <v>30792</v>
      </c>
      <c r="C157" t="s">
        <v>343</v>
      </c>
      <c r="D157" t="s">
        <v>1</v>
      </c>
      <c r="E157" t="s">
        <v>323</v>
      </c>
      <c r="F157" s="1">
        <v>87793</v>
      </c>
      <c r="G157" t="s">
        <v>198</v>
      </c>
      <c r="H157">
        <v>16</v>
      </c>
      <c r="I157" t="s">
        <v>30</v>
      </c>
      <c r="J157">
        <f>F157/1000</f>
        <v>87.793000000000006</v>
      </c>
      <c r="K157" s="3">
        <v>87.81</v>
      </c>
      <c r="L157" t="s">
        <v>338</v>
      </c>
      <c r="N157" s="4">
        <f t="shared" si="2"/>
        <v>1.6999999999995907E-2</v>
      </c>
    </row>
    <row r="158" spans="2:14" x14ac:dyDescent="0.35">
      <c r="B158">
        <v>30793</v>
      </c>
      <c r="C158" t="s">
        <v>344</v>
      </c>
      <c r="D158" t="s">
        <v>1</v>
      </c>
      <c r="E158" t="s">
        <v>323</v>
      </c>
      <c r="F158" s="1">
        <v>87897</v>
      </c>
      <c r="G158" t="s">
        <v>113</v>
      </c>
      <c r="H158">
        <v>16</v>
      </c>
      <c r="I158" t="s">
        <v>30</v>
      </c>
      <c r="J158">
        <f>F158/1000</f>
        <v>87.897000000000006</v>
      </c>
      <c r="K158" s="3">
        <v>87.6</v>
      </c>
      <c r="L158" t="s">
        <v>338</v>
      </c>
      <c r="N158" s="4">
        <f t="shared" si="2"/>
        <v>-0.29700000000001125</v>
      </c>
    </row>
    <row r="159" spans="2:14" x14ac:dyDescent="0.35">
      <c r="B159">
        <v>30794</v>
      </c>
      <c r="C159" t="s">
        <v>345</v>
      </c>
      <c r="D159" t="s">
        <v>1</v>
      </c>
      <c r="E159" t="s">
        <v>323</v>
      </c>
      <c r="F159" s="1">
        <v>87897</v>
      </c>
      <c r="G159" t="s">
        <v>100</v>
      </c>
      <c r="H159">
        <v>16</v>
      </c>
      <c r="I159" t="s">
        <v>30</v>
      </c>
      <c r="J159">
        <f>F159/1000</f>
        <v>87.897000000000006</v>
      </c>
      <c r="K159" s="3">
        <v>87.63</v>
      </c>
      <c r="L159" t="s">
        <v>338</v>
      </c>
      <c r="N159" s="4">
        <f t="shared" si="2"/>
        <v>-0.26700000000001012</v>
      </c>
    </row>
    <row r="160" spans="2:14" x14ac:dyDescent="0.35">
      <c r="B160">
        <v>30795</v>
      </c>
      <c r="C160" t="s">
        <v>346</v>
      </c>
      <c r="D160" t="s">
        <v>1</v>
      </c>
      <c r="E160" t="s">
        <v>327</v>
      </c>
      <c r="F160" s="1">
        <v>87535</v>
      </c>
      <c r="G160" t="s">
        <v>340</v>
      </c>
      <c r="H160">
        <v>16</v>
      </c>
      <c r="I160" t="s">
        <v>30</v>
      </c>
      <c r="J160">
        <f>F160/1000</f>
        <v>87.534999999999997</v>
      </c>
      <c r="K160" s="3">
        <v>87.67</v>
      </c>
      <c r="L160" t="s">
        <v>338</v>
      </c>
      <c r="N160" s="4">
        <f t="shared" si="2"/>
        <v>0.13500000000000512</v>
      </c>
    </row>
    <row r="161" spans="2:14" x14ac:dyDescent="0.35">
      <c r="B161">
        <v>30796</v>
      </c>
      <c r="C161" t="s">
        <v>347</v>
      </c>
      <c r="D161" t="s">
        <v>1</v>
      </c>
      <c r="E161" t="s">
        <v>327</v>
      </c>
      <c r="F161" s="1">
        <v>87431</v>
      </c>
      <c r="G161" t="s">
        <v>198</v>
      </c>
      <c r="H161">
        <v>16</v>
      </c>
      <c r="I161" t="s">
        <v>30</v>
      </c>
      <c r="J161">
        <f>F161/1000</f>
        <v>87.430999999999997</v>
      </c>
      <c r="K161" s="3">
        <v>87.29</v>
      </c>
      <c r="L161" t="s">
        <v>338</v>
      </c>
      <c r="N161" s="4">
        <f t="shared" si="2"/>
        <v>-0.14099999999999113</v>
      </c>
    </row>
    <row r="162" spans="2:14" x14ac:dyDescent="0.35">
      <c r="B162">
        <v>30797</v>
      </c>
      <c r="C162" t="s">
        <v>348</v>
      </c>
      <c r="D162" t="s">
        <v>1</v>
      </c>
      <c r="E162" t="s">
        <v>327</v>
      </c>
      <c r="F162" s="1">
        <v>87431</v>
      </c>
      <c r="G162" t="s">
        <v>100</v>
      </c>
      <c r="H162">
        <v>16</v>
      </c>
      <c r="I162" t="s">
        <v>30</v>
      </c>
      <c r="J162">
        <f>F162/1000</f>
        <v>87.430999999999997</v>
      </c>
      <c r="K162" s="3">
        <v>87.42</v>
      </c>
      <c r="L162" t="s">
        <v>305</v>
      </c>
      <c r="N162" s="4">
        <f t="shared" si="2"/>
        <v>-1.099999999999568E-2</v>
      </c>
    </row>
    <row r="163" spans="2:14" x14ac:dyDescent="0.35">
      <c r="B163">
        <v>30798</v>
      </c>
      <c r="C163" t="s">
        <v>349</v>
      </c>
      <c r="D163" t="s">
        <v>1</v>
      </c>
      <c r="E163" t="s">
        <v>315</v>
      </c>
      <c r="F163" s="1">
        <v>86501</v>
      </c>
      <c r="G163" t="s">
        <v>350</v>
      </c>
      <c r="H163">
        <v>16</v>
      </c>
      <c r="I163" t="s">
        <v>30</v>
      </c>
      <c r="J163">
        <f>F163/1000</f>
        <v>86.501000000000005</v>
      </c>
      <c r="K163" s="3">
        <v>86.83</v>
      </c>
      <c r="L163" t="s">
        <v>305</v>
      </c>
      <c r="N163" s="4">
        <f t="shared" si="2"/>
        <v>0.32899999999999352</v>
      </c>
    </row>
    <row r="164" spans="2:14" x14ac:dyDescent="0.35">
      <c r="B164">
        <v>30799</v>
      </c>
      <c r="C164" t="s">
        <v>351</v>
      </c>
      <c r="D164" t="s">
        <v>1</v>
      </c>
      <c r="E164" t="s">
        <v>327</v>
      </c>
      <c r="F164" s="1">
        <v>87431</v>
      </c>
      <c r="G164" t="s">
        <v>41</v>
      </c>
      <c r="H164">
        <v>16</v>
      </c>
      <c r="I164" t="s">
        <v>30</v>
      </c>
      <c r="J164">
        <f>F164/1000</f>
        <v>87.430999999999997</v>
      </c>
      <c r="K164" s="3">
        <v>86.95</v>
      </c>
      <c r="L164" t="s">
        <v>338</v>
      </c>
      <c r="N164" s="4">
        <f t="shared" si="2"/>
        <v>-0.48099999999999454</v>
      </c>
    </row>
    <row r="165" spans="2:14" x14ac:dyDescent="0.35">
      <c r="B165">
        <v>30800</v>
      </c>
      <c r="C165" t="s">
        <v>352</v>
      </c>
      <c r="D165" t="s">
        <v>1</v>
      </c>
      <c r="E165" t="s">
        <v>320</v>
      </c>
      <c r="F165" s="1">
        <v>87070</v>
      </c>
      <c r="G165" t="s">
        <v>340</v>
      </c>
      <c r="H165">
        <v>16</v>
      </c>
      <c r="I165" t="s">
        <v>30</v>
      </c>
      <c r="J165">
        <f>F165/1000</f>
        <v>87.07</v>
      </c>
      <c r="K165" s="3">
        <v>86.8</v>
      </c>
      <c r="L165" t="s">
        <v>338</v>
      </c>
      <c r="N165" s="4">
        <f t="shared" si="2"/>
        <v>-0.26999999999999602</v>
      </c>
    </row>
    <row r="166" spans="2:14" x14ac:dyDescent="0.35">
      <c r="B166">
        <v>30801</v>
      </c>
      <c r="C166" t="s">
        <v>353</v>
      </c>
      <c r="D166" t="s">
        <v>1</v>
      </c>
      <c r="E166" t="s">
        <v>315</v>
      </c>
      <c r="F166" s="1">
        <v>86501</v>
      </c>
      <c r="G166" t="s">
        <v>354</v>
      </c>
      <c r="H166">
        <v>16</v>
      </c>
      <c r="I166" t="s">
        <v>30</v>
      </c>
      <c r="J166">
        <f>F166/1000</f>
        <v>86.501000000000005</v>
      </c>
      <c r="K166" s="3">
        <v>86.61</v>
      </c>
      <c r="L166" t="s">
        <v>338</v>
      </c>
      <c r="N166" s="4">
        <f t="shared" si="2"/>
        <v>0.10899999999999466</v>
      </c>
    </row>
    <row r="167" spans="2:14" x14ac:dyDescent="0.35">
      <c r="B167">
        <v>30802</v>
      </c>
      <c r="C167" t="s">
        <v>355</v>
      </c>
      <c r="D167" t="s">
        <v>1</v>
      </c>
      <c r="E167" t="s">
        <v>318</v>
      </c>
      <c r="F167" s="1">
        <v>86604</v>
      </c>
      <c r="G167" t="s">
        <v>113</v>
      </c>
      <c r="H167">
        <v>16</v>
      </c>
      <c r="I167" t="s">
        <v>30</v>
      </c>
      <c r="J167">
        <f>F167/1000</f>
        <v>86.603999999999999</v>
      </c>
      <c r="K167" s="3">
        <v>86.58</v>
      </c>
      <c r="L167" t="s">
        <v>338</v>
      </c>
      <c r="N167" s="4">
        <f t="shared" si="2"/>
        <v>-2.4000000000000909E-2</v>
      </c>
    </row>
    <row r="168" spans="2:14" x14ac:dyDescent="0.35">
      <c r="B168">
        <v>30803</v>
      </c>
      <c r="C168" t="s">
        <v>356</v>
      </c>
      <c r="D168" t="s">
        <v>1</v>
      </c>
      <c r="E168" t="s">
        <v>315</v>
      </c>
      <c r="F168" s="1">
        <v>86397</v>
      </c>
      <c r="G168" t="s">
        <v>174</v>
      </c>
      <c r="H168">
        <v>16</v>
      </c>
      <c r="I168" t="s">
        <v>30</v>
      </c>
      <c r="J168">
        <f>F168/1000</f>
        <v>86.397000000000006</v>
      </c>
      <c r="K168" s="3">
        <v>86.24</v>
      </c>
      <c r="L168" t="s">
        <v>338</v>
      </c>
      <c r="N168" s="4">
        <f t="shared" si="2"/>
        <v>-0.15700000000001069</v>
      </c>
    </row>
    <row r="169" spans="2:14" x14ac:dyDescent="0.35">
      <c r="B169">
        <v>30804</v>
      </c>
      <c r="C169" t="s">
        <v>357</v>
      </c>
      <c r="D169" t="s">
        <v>1</v>
      </c>
      <c r="E169" t="s">
        <v>313</v>
      </c>
      <c r="F169" s="1">
        <v>86035</v>
      </c>
      <c r="G169" t="s">
        <v>340</v>
      </c>
      <c r="H169">
        <v>16</v>
      </c>
      <c r="I169" t="s">
        <v>30</v>
      </c>
      <c r="J169">
        <f>F169/1000</f>
        <v>86.034999999999997</v>
      </c>
      <c r="K169" s="3">
        <v>86.15</v>
      </c>
      <c r="L169" t="s">
        <v>338</v>
      </c>
      <c r="N169" s="4">
        <f t="shared" si="2"/>
        <v>0.11500000000000909</v>
      </c>
    </row>
    <row r="170" spans="2:14" x14ac:dyDescent="0.35">
      <c r="B170">
        <v>30805</v>
      </c>
      <c r="C170" t="s">
        <v>358</v>
      </c>
      <c r="D170" t="s">
        <v>1</v>
      </c>
      <c r="E170" t="s">
        <v>313</v>
      </c>
      <c r="F170" s="1">
        <v>86139</v>
      </c>
      <c r="G170" t="s">
        <v>113</v>
      </c>
      <c r="H170">
        <v>16</v>
      </c>
      <c r="I170" t="s">
        <v>30</v>
      </c>
      <c r="J170">
        <f>F170/1000</f>
        <v>86.138999999999996</v>
      </c>
      <c r="K170" s="3">
        <v>85.96</v>
      </c>
      <c r="L170" t="s">
        <v>338</v>
      </c>
      <c r="N170" s="4">
        <f t="shared" si="2"/>
        <v>-0.17900000000000205</v>
      </c>
    </row>
    <row r="171" spans="2:14" x14ac:dyDescent="0.35">
      <c r="B171">
        <v>30806</v>
      </c>
      <c r="C171" t="s">
        <v>359</v>
      </c>
      <c r="D171" t="s">
        <v>1</v>
      </c>
      <c r="E171" t="s">
        <v>313</v>
      </c>
      <c r="F171" s="1">
        <v>86139</v>
      </c>
      <c r="G171" t="s">
        <v>100</v>
      </c>
      <c r="H171">
        <v>16</v>
      </c>
      <c r="I171" t="s">
        <v>30</v>
      </c>
      <c r="J171">
        <f>F171/1000</f>
        <v>86.138999999999996</v>
      </c>
      <c r="K171" s="3">
        <v>85.85</v>
      </c>
      <c r="L171" t="s">
        <v>338</v>
      </c>
      <c r="N171" s="4">
        <f t="shared" si="2"/>
        <v>-0.28900000000000148</v>
      </c>
    </row>
    <row r="172" spans="2:14" x14ac:dyDescent="0.35">
      <c r="B172">
        <v>30807</v>
      </c>
      <c r="C172" t="s">
        <v>360</v>
      </c>
      <c r="D172" t="s">
        <v>1</v>
      </c>
      <c r="E172" t="s">
        <v>310</v>
      </c>
      <c r="F172" s="1">
        <v>85674</v>
      </c>
      <c r="G172" t="s">
        <v>361</v>
      </c>
      <c r="H172">
        <v>16</v>
      </c>
      <c r="I172" t="s">
        <v>30</v>
      </c>
      <c r="J172">
        <f>F172/1000</f>
        <v>85.674000000000007</v>
      </c>
      <c r="K172" s="3">
        <v>85.6</v>
      </c>
      <c r="L172" t="s">
        <v>338</v>
      </c>
      <c r="N172" s="4">
        <f t="shared" si="2"/>
        <v>-7.4000000000012278E-2</v>
      </c>
    </row>
    <row r="173" spans="2:14" x14ac:dyDescent="0.35">
      <c r="B173">
        <v>30808</v>
      </c>
      <c r="C173" t="s">
        <v>362</v>
      </c>
      <c r="D173" t="s">
        <v>1</v>
      </c>
      <c r="E173" t="s">
        <v>308</v>
      </c>
      <c r="F173" s="1">
        <v>85365</v>
      </c>
      <c r="G173" t="s">
        <v>227</v>
      </c>
      <c r="H173">
        <v>16</v>
      </c>
      <c r="I173" t="s">
        <v>30</v>
      </c>
      <c r="J173">
        <f>F173/1000</f>
        <v>85.364999999999995</v>
      </c>
      <c r="K173" s="3">
        <v>85.46</v>
      </c>
      <c r="L173" t="s">
        <v>338</v>
      </c>
      <c r="N173" s="4">
        <f t="shared" si="2"/>
        <v>9.4999999999998863E-2</v>
      </c>
    </row>
    <row r="174" spans="2:14" x14ac:dyDescent="0.35">
      <c r="B174">
        <v>30809</v>
      </c>
      <c r="C174" t="s">
        <v>363</v>
      </c>
      <c r="D174" t="s">
        <v>1</v>
      </c>
      <c r="E174" t="s">
        <v>310</v>
      </c>
      <c r="F174" s="1">
        <v>85674</v>
      </c>
      <c r="G174" t="s">
        <v>124</v>
      </c>
      <c r="H174">
        <v>16</v>
      </c>
      <c r="I174" t="s">
        <v>30</v>
      </c>
      <c r="J174">
        <f>F174/1000</f>
        <v>85.674000000000007</v>
      </c>
      <c r="K174" s="3">
        <v>85.37</v>
      </c>
      <c r="L174" t="s">
        <v>338</v>
      </c>
      <c r="N174" s="4">
        <f t="shared" si="2"/>
        <v>-0.30400000000000205</v>
      </c>
    </row>
    <row r="175" spans="2:14" x14ac:dyDescent="0.35">
      <c r="B175">
        <v>30810</v>
      </c>
      <c r="C175" t="s">
        <v>364</v>
      </c>
      <c r="D175" t="s">
        <v>1</v>
      </c>
      <c r="E175" t="s">
        <v>308</v>
      </c>
      <c r="F175" s="1">
        <v>85208</v>
      </c>
      <c r="G175" t="s">
        <v>361</v>
      </c>
      <c r="H175">
        <v>16</v>
      </c>
      <c r="I175" t="s">
        <v>30</v>
      </c>
      <c r="J175">
        <f>F175/1000</f>
        <v>85.207999999999998</v>
      </c>
      <c r="K175" s="3">
        <v>85.09</v>
      </c>
      <c r="L175" t="s">
        <v>338</v>
      </c>
      <c r="N175" s="4">
        <f t="shared" si="2"/>
        <v>-0.117999999999995</v>
      </c>
    </row>
    <row r="176" spans="2:14" x14ac:dyDescent="0.35">
      <c r="B176">
        <v>30811</v>
      </c>
      <c r="C176" t="s">
        <v>365</v>
      </c>
      <c r="D176" t="s">
        <v>1</v>
      </c>
      <c r="E176" t="s">
        <v>304</v>
      </c>
      <c r="F176" s="1">
        <v>85105</v>
      </c>
      <c r="G176" t="s">
        <v>198</v>
      </c>
      <c r="H176">
        <v>16</v>
      </c>
      <c r="I176" t="s">
        <v>30</v>
      </c>
      <c r="J176">
        <f>F176/1000</f>
        <v>85.105000000000004</v>
      </c>
      <c r="K176" s="3">
        <v>85.04</v>
      </c>
      <c r="L176" t="s">
        <v>366</v>
      </c>
      <c r="N176" s="4">
        <f t="shared" si="2"/>
        <v>-6.4999999999997726E-2</v>
      </c>
    </row>
    <row r="177" spans="2:14" x14ac:dyDescent="0.35">
      <c r="B177">
        <v>30812</v>
      </c>
      <c r="C177" t="s">
        <v>367</v>
      </c>
      <c r="D177" t="s">
        <v>1</v>
      </c>
      <c r="E177" t="s">
        <v>304</v>
      </c>
      <c r="F177" s="1">
        <v>84951</v>
      </c>
      <c r="G177" t="s">
        <v>194</v>
      </c>
      <c r="H177">
        <v>16</v>
      </c>
      <c r="I177" t="s">
        <v>30</v>
      </c>
      <c r="J177">
        <f>F177/1000</f>
        <v>84.950999999999993</v>
      </c>
      <c r="K177" s="3">
        <v>84.78</v>
      </c>
      <c r="L177" t="s">
        <v>366</v>
      </c>
      <c r="N177" s="4">
        <f t="shared" si="2"/>
        <v>-0.17099999999999227</v>
      </c>
    </row>
    <row r="178" spans="2:14" x14ac:dyDescent="0.35">
      <c r="B178">
        <v>30813</v>
      </c>
      <c r="C178" t="s">
        <v>368</v>
      </c>
      <c r="D178" t="s">
        <v>1</v>
      </c>
      <c r="E178" t="s">
        <v>304</v>
      </c>
      <c r="F178" s="1">
        <v>84798</v>
      </c>
      <c r="G178" t="s">
        <v>194</v>
      </c>
      <c r="H178">
        <v>16</v>
      </c>
      <c r="I178" t="s">
        <v>30</v>
      </c>
      <c r="J178">
        <f>F178/1000</f>
        <v>84.798000000000002</v>
      </c>
      <c r="K178" s="3">
        <v>84.76</v>
      </c>
      <c r="L178" t="s">
        <v>369</v>
      </c>
      <c r="N178" s="4">
        <f t="shared" si="2"/>
        <v>-3.7999999999996703E-2</v>
      </c>
    </row>
    <row r="179" spans="2:14" x14ac:dyDescent="0.35">
      <c r="B179">
        <v>30814</v>
      </c>
      <c r="C179" t="s">
        <v>370</v>
      </c>
      <c r="D179" t="s">
        <v>1</v>
      </c>
      <c r="E179" t="s">
        <v>371</v>
      </c>
      <c r="F179" s="1">
        <v>84743</v>
      </c>
      <c r="G179" t="s">
        <v>325</v>
      </c>
      <c r="H179">
        <v>16</v>
      </c>
      <c r="I179" t="s">
        <v>30</v>
      </c>
      <c r="J179">
        <f>F179/1000</f>
        <v>84.742999999999995</v>
      </c>
      <c r="K179" s="3">
        <v>84.48</v>
      </c>
      <c r="L179" t="s">
        <v>369</v>
      </c>
      <c r="N179" s="4">
        <f t="shared" si="2"/>
        <v>-0.26299999999999102</v>
      </c>
    </row>
    <row r="180" spans="2:14" x14ac:dyDescent="0.35">
      <c r="B180">
        <v>30815</v>
      </c>
      <c r="C180" t="s">
        <v>372</v>
      </c>
      <c r="D180" t="s">
        <v>1</v>
      </c>
      <c r="E180" t="s">
        <v>373</v>
      </c>
      <c r="F180" s="1">
        <v>84381</v>
      </c>
      <c r="G180" t="s">
        <v>340</v>
      </c>
      <c r="H180">
        <v>16</v>
      </c>
      <c r="I180" t="s">
        <v>30</v>
      </c>
      <c r="J180">
        <f>F180/1000</f>
        <v>84.381</v>
      </c>
      <c r="K180" s="3">
        <v>84.25</v>
      </c>
      <c r="L180" t="s">
        <v>369</v>
      </c>
      <c r="N180" s="4">
        <f t="shared" si="2"/>
        <v>-0.13100000000000023</v>
      </c>
    </row>
    <row r="181" spans="2:14" x14ac:dyDescent="0.35">
      <c r="B181">
        <v>30816</v>
      </c>
      <c r="C181" t="s">
        <v>374</v>
      </c>
      <c r="D181" t="s">
        <v>1</v>
      </c>
      <c r="E181" t="s">
        <v>373</v>
      </c>
      <c r="F181" s="1">
        <v>84381</v>
      </c>
      <c r="G181" t="s">
        <v>100</v>
      </c>
      <c r="H181">
        <v>16</v>
      </c>
      <c r="I181" t="s">
        <v>30</v>
      </c>
      <c r="J181">
        <f>F181/1000</f>
        <v>84.381</v>
      </c>
      <c r="K181" s="3">
        <v>84.24</v>
      </c>
      <c r="L181" t="s">
        <v>369</v>
      </c>
      <c r="N181" s="4">
        <f t="shared" si="2"/>
        <v>-0.14100000000000534</v>
      </c>
    </row>
    <row r="182" spans="2:14" x14ac:dyDescent="0.35">
      <c r="B182">
        <v>30817</v>
      </c>
      <c r="C182" t="s">
        <v>375</v>
      </c>
      <c r="D182" t="s">
        <v>1</v>
      </c>
      <c r="E182" t="s">
        <v>371</v>
      </c>
      <c r="F182" s="1">
        <v>84743</v>
      </c>
      <c r="G182" t="s">
        <v>12</v>
      </c>
      <c r="H182">
        <v>16</v>
      </c>
      <c r="I182" t="s">
        <v>30</v>
      </c>
      <c r="J182">
        <f>F182/1000</f>
        <v>84.742999999999995</v>
      </c>
      <c r="K182" s="3">
        <v>84.26</v>
      </c>
      <c r="L182" t="s">
        <v>369</v>
      </c>
      <c r="N182" s="4">
        <f t="shared" si="2"/>
        <v>-0.48299999999998988</v>
      </c>
    </row>
    <row r="183" spans="2:14" x14ac:dyDescent="0.35">
      <c r="B183">
        <v>30818</v>
      </c>
      <c r="C183" t="s">
        <v>376</v>
      </c>
      <c r="D183" t="s">
        <v>1</v>
      </c>
      <c r="E183" t="s">
        <v>298</v>
      </c>
      <c r="F183" s="1">
        <v>83450</v>
      </c>
      <c r="G183" t="s">
        <v>377</v>
      </c>
      <c r="H183">
        <v>16</v>
      </c>
      <c r="I183" t="s">
        <v>30</v>
      </c>
      <c r="J183">
        <f>F183/1000</f>
        <v>83.45</v>
      </c>
      <c r="K183" s="3">
        <v>83.72</v>
      </c>
      <c r="L183" t="s">
        <v>369</v>
      </c>
      <c r="N183" s="4">
        <f t="shared" si="2"/>
        <v>0.26999999999999602</v>
      </c>
    </row>
    <row r="184" spans="2:14" x14ac:dyDescent="0.35">
      <c r="B184">
        <v>30819</v>
      </c>
      <c r="C184" t="s">
        <v>378</v>
      </c>
      <c r="D184" t="s">
        <v>1</v>
      </c>
      <c r="E184" t="s">
        <v>373</v>
      </c>
      <c r="F184" s="1">
        <v>84125</v>
      </c>
      <c r="G184" t="s">
        <v>53</v>
      </c>
      <c r="H184">
        <v>16</v>
      </c>
      <c r="I184" t="s">
        <v>30</v>
      </c>
      <c r="J184">
        <f>F184/1000</f>
        <v>84.125</v>
      </c>
      <c r="K184" s="3">
        <v>83.78</v>
      </c>
      <c r="L184" t="s">
        <v>369</v>
      </c>
      <c r="N184" s="4">
        <f t="shared" si="2"/>
        <v>-0.34499999999999886</v>
      </c>
    </row>
    <row r="185" spans="2:14" x14ac:dyDescent="0.35">
      <c r="B185">
        <v>30820</v>
      </c>
      <c r="C185" t="s">
        <v>379</v>
      </c>
      <c r="D185" t="s">
        <v>1</v>
      </c>
      <c r="E185" t="s">
        <v>300</v>
      </c>
      <c r="F185" s="1">
        <v>83812</v>
      </c>
      <c r="G185" t="s">
        <v>227</v>
      </c>
      <c r="H185">
        <v>16</v>
      </c>
      <c r="I185" t="s">
        <v>30</v>
      </c>
      <c r="J185">
        <f>F185/1000</f>
        <v>83.811999999999998</v>
      </c>
      <c r="K185" s="3">
        <v>83.7</v>
      </c>
      <c r="L185" t="s">
        <v>369</v>
      </c>
      <c r="N185" s="4">
        <f t="shared" si="2"/>
        <v>-0.11199999999999477</v>
      </c>
    </row>
    <row r="186" spans="2:14" x14ac:dyDescent="0.35">
      <c r="B186">
        <v>30821</v>
      </c>
      <c r="C186" t="s">
        <v>380</v>
      </c>
      <c r="D186" t="s">
        <v>1</v>
      </c>
      <c r="E186" t="s">
        <v>298</v>
      </c>
      <c r="F186" s="1">
        <v>83659</v>
      </c>
      <c r="G186" t="s">
        <v>194</v>
      </c>
      <c r="H186">
        <v>16</v>
      </c>
      <c r="I186" t="s">
        <v>30</v>
      </c>
      <c r="J186">
        <f>F186/1000</f>
        <v>83.659000000000006</v>
      </c>
      <c r="K186" s="3">
        <v>83.69</v>
      </c>
      <c r="L186" t="s">
        <v>369</v>
      </c>
      <c r="N186" s="4">
        <f t="shared" si="2"/>
        <v>3.0999999999991701E-2</v>
      </c>
    </row>
    <row r="187" spans="2:14" x14ac:dyDescent="0.35">
      <c r="B187">
        <v>30822</v>
      </c>
      <c r="C187" t="s">
        <v>381</v>
      </c>
      <c r="D187" t="s">
        <v>1</v>
      </c>
      <c r="E187" t="s">
        <v>296</v>
      </c>
      <c r="F187" s="1">
        <v>83089</v>
      </c>
      <c r="G187" t="s">
        <v>354</v>
      </c>
      <c r="H187">
        <v>15</v>
      </c>
      <c r="I187" t="s">
        <v>30</v>
      </c>
      <c r="J187">
        <f>F187/1000</f>
        <v>83.088999999999999</v>
      </c>
      <c r="K187" s="3">
        <v>83.24</v>
      </c>
      <c r="L187" t="s">
        <v>369</v>
      </c>
      <c r="N187" s="4">
        <f t="shared" si="2"/>
        <v>0.15099999999999625</v>
      </c>
    </row>
    <row r="188" spans="2:14" x14ac:dyDescent="0.35">
      <c r="B188">
        <v>30823</v>
      </c>
      <c r="C188" t="s">
        <v>382</v>
      </c>
      <c r="D188" t="s">
        <v>1</v>
      </c>
      <c r="E188" t="s">
        <v>292</v>
      </c>
      <c r="F188" s="1">
        <v>82314</v>
      </c>
      <c r="G188" t="s">
        <v>383</v>
      </c>
      <c r="H188">
        <v>15</v>
      </c>
      <c r="I188" t="s">
        <v>30</v>
      </c>
      <c r="J188">
        <f>F188/1000</f>
        <v>82.313999999999993</v>
      </c>
      <c r="K188" s="3">
        <v>82.53</v>
      </c>
      <c r="L188" t="s">
        <v>384</v>
      </c>
      <c r="N188" s="4">
        <f t="shared" si="2"/>
        <v>0.21600000000000819</v>
      </c>
    </row>
    <row r="189" spans="2:14" x14ac:dyDescent="0.35">
      <c r="B189">
        <v>30824</v>
      </c>
      <c r="C189" t="s">
        <v>385</v>
      </c>
      <c r="D189" t="s">
        <v>1</v>
      </c>
      <c r="E189" t="s">
        <v>294</v>
      </c>
      <c r="F189" s="1">
        <v>82882</v>
      </c>
      <c r="G189" t="s">
        <v>47</v>
      </c>
      <c r="H189">
        <v>15</v>
      </c>
      <c r="I189" t="s">
        <v>30</v>
      </c>
      <c r="J189">
        <f>F189/1000</f>
        <v>82.882000000000005</v>
      </c>
      <c r="K189" s="3">
        <v>82.58</v>
      </c>
      <c r="L189" t="s">
        <v>384</v>
      </c>
      <c r="N189" s="4">
        <f t="shared" si="2"/>
        <v>-0.30200000000000671</v>
      </c>
    </row>
    <row r="190" spans="2:14" x14ac:dyDescent="0.35">
      <c r="B190">
        <v>30825</v>
      </c>
      <c r="C190" t="s">
        <v>386</v>
      </c>
      <c r="D190" t="s">
        <v>1</v>
      </c>
      <c r="E190" t="s">
        <v>292</v>
      </c>
      <c r="F190" s="1">
        <v>82262</v>
      </c>
      <c r="G190" t="s">
        <v>187</v>
      </c>
      <c r="H190">
        <v>15</v>
      </c>
      <c r="I190" t="s">
        <v>30</v>
      </c>
      <c r="J190">
        <f>F190/1000</f>
        <v>82.262</v>
      </c>
      <c r="K190" s="3">
        <v>82.22</v>
      </c>
      <c r="L190" t="s">
        <v>384</v>
      </c>
      <c r="N190" s="4">
        <f t="shared" si="2"/>
        <v>-4.2000000000001592E-2</v>
      </c>
    </row>
    <row r="191" spans="2:14" x14ac:dyDescent="0.35">
      <c r="B191">
        <v>30826</v>
      </c>
      <c r="C191" t="s">
        <v>387</v>
      </c>
      <c r="D191" t="s">
        <v>1</v>
      </c>
      <c r="E191" t="s">
        <v>287</v>
      </c>
      <c r="F191" s="1">
        <v>81693</v>
      </c>
      <c r="G191" t="s">
        <v>354</v>
      </c>
      <c r="H191">
        <v>15</v>
      </c>
      <c r="I191" t="s">
        <v>30</v>
      </c>
      <c r="J191">
        <f>F191/1000</f>
        <v>81.692999999999998</v>
      </c>
      <c r="K191" s="3">
        <v>81.73</v>
      </c>
      <c r="L191" t="s">
        <v>384</v>
      </c>
      <c r="N191" s="4">
        <f t="shared" si="2"/>
        <v>3.7000000000006139E-2</v>
      </c>
    </row>
    <row r="192" spans="2:14" x14ac:dyDescent="0.35">
      <c r="B192">
        <v>30827</v>
      </c>
      <c r="C192" t="s">
        <v>388</v>
      </c>
      <c r="D192" t="s">
        <v>1</v>
      </c>
      <c r="E192" t="s">
        <v>283</v>
      </c>
      <c r="F192" s="1">
        <v>80658</v>
      </c>
      <c r="G192" t="s">
        <v>389</v>
      </c>
      <c r="H192">
        <v>15</v>
      </c>
      <c r="I192" t="s">
        <v>30</v>
      </c>
      <c r="J192">
        <f>F192/1000</f>
        <v>80.658000000000001</v>
      </c>
      <c r="K192" s="3">
        <v>80.790000000000006</v>
      </c>
      <c r="L192" t="s">
        <v>369</v>
      </c>
      <c r="N192" s="4">
        <f t="shared" si="2"/>
        <v>0.132000000000005</v>
      </c>
    </row>
    <row r="193" spans="1:14" x14ac:dyDescent="0.35">
      <c r="A193" s="5"/>
      <c r="B193" s="5">
        <v>30828</v>
      </c>
      <c r="C193" s="5" t="s">
        <v>390</v>
      </c>
      <c r="D193" s="5" t="s">
        <v>1</v>
      </c>
      <c r="E193" s="5" t="s">
        <v>275</v>
      </c>
      <c r="F193" s="6">
        <v>78747</v>
      </c>
      <c r="G193" s="5" t="s">
        <v>391</v>
      </c>
      <c r="H193" s="5">
        <v>15</v>
      </c>
      <c r="I193" s="5" t="s">
        <v>30</v>
      </c>
      <c r="J193" s="5">
        <f>F193/1000</f>
        <v>78.747</v>
      </c>
      <c r="K193" s="7">
        <v>79.53</v>
      </c>
      <c r="L193" s="5" t="s">
        <v>369</v>
      </c>
      <c r="M193" s="5"/>
      <c r="N193" s="4">
        <f t="shared" si="2"/>
        <v>0.78300000000000125</v>
      </c>
    </row>
    <row r="194" spans="1:14" x14ac:dyDescent="0.35">
      <c r="B194">
        <v>30829</v>
      </c>
      <c r="C194" t="s">
        <v>392</v>
      </c>
      <c r="D194" t="s">
        <v>1</v>
      </c>
      <c r="E194" t="s">
        <v>275</v>
      </c>
      <c r="F194" s="1">
        <v>79004</v>
      </c>
      <c r="G194" t="s">
        <v>136</v>
      </c>
      <c r="H194">
        <v>15</v>
      </c>
      <c r="I194" t="s">
        <v>30</v>
      </c>
      <c r="J194">
        <f>F194/1000</f>
        <v>79.004000000000005</v>
      </c>
      <c r="K194" s="3">
        <v>78.97</v>
      </c>
      <c r="L194" t="s">
        <v>369</v>
      </c>
      <c r="N194" s="4">
        <f t="shared" si="2"/>
        <v>-3.4000000000006025E-2</v>
      </c>
    </row>
    <row r="195" spans="1:14" x14ac:dyDescent="0.35">
      <c r="B195">
        <v>30830</v>
      </c>
      <c r="C195" t="s">
        <v>393</v>
      </c>
      <c r="D195" t="s">
        <v>1</v>
      </c>
      <c r="E195" t="s">
        <v>265</v>
      </c>
      <c r="F195" s="1">
        <v>77867</v>
      </c>
      <c r="G195" t="s">
        <v>394</v>
      </c>
      <c r="H195">
        <v>15</v>
      </c>
      <c r="I195" t="s">
        <v>30</v>
      </c>
      <c r="J195">
        <f>F195/1000</f>
        <v>77.867000000000004</v>
      </c>
      <c r="K195" s="3">
        <v>78.040000000000006</v>
      </c>
      <c r="L195" t="s">
        <v>366</v>
      </c>
      <c r="N195" s="4">
        <f t="shared" si="2"/>
        <v>0.17300000000000182</v>
      </c>
    </row>
    <row r="196" spans="1:14" x14ac:dyDescent="0.35">
      <c r="B196">
        <v>30831</v>
      </c>
      <c r="C196" t="s">
        <v>395</v>
      </c>
      <c r="D196" t="s">
        <v>1</v>
      </c>
      <c r="E196" t="s">
        <v>263</v>
      </c>
      <c r="F196" s="1">
        <v>77142</v>
      </c>
      <c r="G196" t="s">
        <v>396</v>
      </c>
      <c r="H196">
        <v>15</v>
      </c>
      <c r="I196" t="s">
        <v>30</v>
      </c>
      <c r="J196">
        <f>F196/1000</f>
        <v>77.141999999999996</v>
      </c>
      <c r="K196" s="3">
        <v>77.28</v>
      </c>
      <c r="L196" t="s">
        <v>366</v>
      </c>
      <c r="N196" s="4">
        <f t="shared" si="2"/>
        <v>0.13800000000000523</v>
      </c>
    </row>
    <row r="197" spans="1:14" x14ac:dyDescent="0.35">
      <c r="B197">
        <v>30832</v>
      </c>
      <c r="C197" t="s">
        <v>397</v>
      </c>
      <c r="D197" t="s">
        <v>1</v>
      </c>
      <c r="E197" t="s">
        <v>259</v>
      </c>
      <c r="F197" s="1">
        <v>76315</v>
      </c>
      <c r="G197" t="s">
        <v>398</v>
      </c>
      <c r="H197">
        <v>15</v>
      </c>
      <c r="I197" t="s">
        <v>30</v>
      </c>
      <c r="J197">
        <f>F197/1000</f>
        <v>76.314999999999998</v>
      </c>
      <c r="K197" s="3">
        <v>76.569999999999993</v>
      </c>
      <c r="L197" t="s">
        <v>366</v>
      </c>
      <c r="N197" s="4">
        <f t="shared" ref="N197:N260" si="3">K197-J197</f>
        <v>0.25499999999999545</v>
      </c>
    </row>
    <row r="198" spans="1:14" x14ac:dyDescent="0.35">
      <c r="B198">
        <v>30833</v>
      </c>
      <c r="C198" t="s">
        <v>399</v>
      </c>
      <c r="D198" t="s">
        <v>1</v>
      </c>
      <c r="E198" t="s">
        <v>400</v>
      </c>
      <c r="F198" s="1">
        <v>75077</v>
      </c>
      <c r="G198" t="s">
        <v>401</v>
      </c>
      <c r="H198">
        <v>15</v>
      </c>
      <c r="I198" t="s">
        <v>30</v>
      </c>
      <c r="J198">
        <f>F198/1000</f>
        <v>75.076999999999998</v>
      </c>
      <c r="K198" s="3">
        <v>75.23</v>
      </c>
      <c r="L198" t="s">
        <v>366</v>
      </c>
      <c r="N198" s="4">
        <f t="shared" si="3"/>
        <v>0.1530000000000058</v>
      </c>
    </row>
    <row r="199" spans="1:14" x14ac:dyDescent="0.35">
      <c r="B199">
        <v>30834</v>
      </c>
      <c r="C199" t="s">
        <v>402</v>
      </c>
      <c r="D199" t="s">
        <v>1</v>
      </c>
      <c r="E199" t="s">
        <v>244</v>
      </c>
      <c r="F199" s="1">
        <v>74454</v>
      </c>
      <c r="G199" t="s">
        <v>187</v>
      </c>
      <c r="H199">
        <v>15</v>
      </c>
      <c r="I199" t="s">
        <v>30</v>
      </c>
      <c r="J199">
        <f>F199/1000</f>
        <v>74.453999999999994</v>
      </c>
      <c r="K199" s="3">
        <v>74.739999999999995</v>
      </c>
      <c r="L199" t="s">
        <v>366</v>
      </c>
      <c r="N199" s="4">
        <f t="shared" si="3"/>
        <v>0.28600000000000136</v>
      </c>
    </row>
    <row r="200" spans="1:14" x14ac:dyDescent="0.35">
      <c r="B200">
        <v>30835</v>
      </c>
      <c r="C200" t="s">
        <v>403</v>
      </c>
      <c r="D200" t="s">
        <v>1</v>
      </c>
      <c r="E200" t="s">
        <v>236</v>
      </c>
      <c r="F200" s="1">
        <v>73058</v>
      </c>
      <c r="G200" t="s">
        <v>404</v>
      </c>
      <c r="H200">
        <v>15</v>
      </c>
      <c r="I200" t="s">
        <v>30</v>
      </c>
      <c r="J200">
        <f>F200/1000</f>
        <v>73.058000000000007</v>
      </c>
      <c r="K200" s="3">
        <v>73.459999999999994</v>
      </c>
      <c r="L200" t="s">
        <v>366</v>
      </c>
      <c r="N200" s="4">
        <f t="shared" si="3"/>
        <v>0.40199999999998681</v>
      </c>
    </row>
    <row r="201" spans="1:14" x14ac:dyDescent="0.35">
      <c r="B201">
        <v>30836</v>
      </c>
      <c r="C201" t="s">
        <v>405</v>
      </c>
      <c r="D201" t="s">
        <v>1</v>
      </c>
      <c r="E201" t="s">
        <v>233</v>
      </c>
      <c r="F201" s="1">
        <v>72231</v>
      </c>
      <c r="G201" t="s">
        <v>398</v>
      </c>
      <c r="H201">
        <v>15</v>
      </c>
      <c r="I201" t="s">
        <v>30</v>
      </c>
      <c r="J201">
        <f>F201/1000</f>
        <v>72.230999999999995</v>
      </c>
      <c r="K201" s="3">
        <v>72.55</v>
      </c>
      <c r="L201" t="s">
        <v>366</v>
      </c>
      <c r="N201" s="4">
        <f t="shared" si="3"/>
        <v>0.31900000000000261</v>
      </c>
    </row>
    <row r="202" spans="1:14" x14ac:dyDescent="0.35">
      <c r="A202" s="5"/>
      <c r="B202" s="5">
        <v>30837</v>
      </c>
      <c r="C202" s="5" t="s">
        <v>406</v>
      </c>
      <c r="D202" s="5" t="s">
        <v>1</v>
      </c>
      <c r="E202" s="5" t="s">
        <v>219</v>
      </c>
      <c r="F202" s="6">
        <v>70938</v>
      </c>
      <c r="G202" s="5" t="s">
        <v>377</v>
      </c>
      <c r="H202" s="5">
        <v>15</v>
      </c>
      <c r="I202" s="5" t="s">
        <v>30</v>
      </c>
      <c r="J202" s="5">
        <f>F202/1000</f>
        <v>70.938000000000002</v>
      </c>
      <c r="K202" s="7">
        <v>71.45</v>
      </c>
      <c r="L202" s="5" t="s">
        <v>338</v>
      </c>
      <c r="M202" s="5"/>
      <c r="N202" s="4">
        <f t="shared" si="3"/>
        <v>0.51200000000000045</v>
      </c>
    </row>
    <row r="203" spans="1:14" x14ac:dyDescent="0.35">
      <c r="B203">
        <v>30838</v>
      </c>
      <c r="C203" t="s">
        <v>407</v>
      </c>
      <c r="D203" t="s">
        <v>1</v>
      </c>
      <c r="E203" t="s">
        <v>214</v>
      </c>
      <c r="F203" s="1">
        <v>70166</v>
      </c>
      <c r="G203" t="s">
        <v>408</v>
      </c>
      <c r="H203">
        <v>15</v>
      </c>
      <c r="I203" t="s">
        <v>30</v>
      </c>
      <c r="J203">
        <f>F203/1000</f>
        <v>70.165999999999997</v>
      </c>
      <c r="K203" s="3">
        <v>70.430000000000007</v>
      </c>
      <c r="L203" t="s">
        <v>338</v>
      </c>
      <c r="N203" s="4">
        <f t="shared" si="3"/>
        <v>0.26400000000001</v>
      </c>
    </row>
    <row r="204" spans="1:14" x14ac:dyDescent="0.35">
      <c r="B204">
        <v>30839</v>
      </c>
      <c r="C204" t="s">
        <v>409</v>
      </c>
      <c r="D204" t="s">
        <v>1</v>
      </c>
      <c r="E204" t="s">
        <v>208</v>
      </c>
      <c r="F204" s="1">
        <v>69542</v>
      </c>
      <c r="G204" t="s">
        <v>187</v>
      </c>
      <c r="H204">
        <v>15</v>
      </c>
      <c r="I204" t="s">
        <v>30</v>
      </c>
      <c r="J204">
        <f>F204/1000</f>
        <v>69.542000000000002</v>
      </c>
      <c r="K204" s="3">
        <v>69.72</v>
      </c>
      <c r="L204" t="s">
        <v>366</v>
      </c>
      <c r="N204" s="4">
        <f t="shared" si="3"/>
        <v>0.17799999999999727</v>
      </c>
    </row>
    <row r="205" spans="1:14" x14ac:dyDescent="0.35">
      <c r="A205" s="5"/>
      <c r="B205" s="5">
        <v>30840</v>
      </c>
      <c r="C205" s="5" t="s">
        <v>410</v>
      </c>
      <c r="D205" s="5" t="s">
        <v>1</v>
      </c>
      <c r="E205" s="5" t="s">
        <v>411</v>
      </c>
      <c r="F205" s="6">
        <v>67887</v>
      </c>
      <c r="G205" s="5" t="s">
        <v>412</v>
      </c>
      <c r="H205" s="5">
        <v>15</v>
      </c>
      <c r="I205" s="5" t="s">
        <v>30</v>
      </c>
      <c r="J205" s="5">
        <f>F205/1000</f>
        <v>67.887</v>
      </c>
      <c r="K205" s="7">
        <v>68.400000000000006</v>
      </c>
      <c r="L205" s="5" t="s">
        <v>366</v>
      </c>
      <c r="M205" s="5"/>
      <c r="N205" s="4">
        <f t="shared" si="3"/>
        <v>0.51300000000000523</v>
      </c>
    </row>
    <row r="206" spans="1:14" x14ac:dyDescent="0.35">
      <c r="B206">
        <v>30841</v>
      </c>
      <c r="C206" t="s">
        <v>413</v>
      </c>
      <c r="D206" t="s">
        <v>1</v>
      </c>
      <c r="E206" t="s">
        <v>414</v>
      </c>
      <c r="F206" s="1">
        <v>66957</v>
      </c>
      <c r="G206" t="s">
        <v>350</v>
      </c>
      <c r="H206">
        <v>15</v>
      </c>
      <c r="I206" t="s">
        <v>30</v>
      </c>
      <c r="J206">
        <f>F206/1000</f>
        <v>66.956999999999994</v>
      </c>
      <c r="K206" s="3">
        <v>67.42</v>
      </c>
      <c r="L206" t="s">
        <v>338</v>
      </c>
      <c r="N206" s="4">
        <f t="shared" si="3"/>
        <v>0.46300000000000807</v>
      </c>
    </row>
    <row r="207" spans="1:14" x14ac:dyDescent="0.35">
      <c r="A207" s="5"/>
      <c r="B207" s="5">
        <v>30842</v>
      </c>
      <c r="C207" s="5" t="s">
        <v>415</v>
      </c>
      <c r="D207" s="5" t="s">
        <v>1</v>
      </c>
      <c r="E207" s="5" t="s">
        <v>185</v>
      </c>
      <c r="F207" s="6">
        <v>65458</v>
      </c>
      <c r="G207" s="5" t="s">
        <v>416</v>
      </c>
      <c r="H207" s="5">
        <v>15</v>
      </c>
      <c r="I207" s="5" t="s">
        <v>30</v>
      </c>
      <c r="J207" s="5">
        <f>F207/1000</f>
        <v>65.457999999999998</v>
      </c>
      <c r="K207" s="7">
        <v>66.14</v>
      </c>
      <c r="L207" s="5" t="s">
        <v>338</v>
      </c>
      <c r="M207" s="5"/>
      <c r="N207" s="4">
        <f t="shared" si="3"/>
        <v>0.68200000000000216</v>
      </c>
    </row>
    <row r="208" spans="1:14" x14ac:dyDescent="0.35">
      <c r="B208">
        <v>30843</v>
      </c>
      <c r="C208" t="s">
        <v>417</v>
      </c>
      <c r="D208" t="s">
        <v>1</v>
      </c>
      <c r="E208" t="s">
        <v>180</v>
      </c>
      <c r="F208" s="1">
        <v>64837</v>
      </c>
      <c r="G208" t="s">
        <v>187</v>
      </c>
      <c r="H208">
        <v>15</v>
      </c>
      <c r="I208" t="s">
        <v>30</v>
      </c>
      <c r="J208">
        <f>F208/1000</f>
        <v>64.837000000000003</v>
      </c>
      <c r="K208" s="3">
        <v>65.17</v>
      </c>
      <c r="L208" t="s">
        <v>338</v>
      </c>
      <c r="N208" s="4">
        <f t="shared" si="3"/>
        <v>0.33299999999999841</v>
      </c>
    </row>
    <row r="209" spans="1:14" x14ac:dyDescent="0.35">
      <c r="B209">
        <v>30844</v>
      </c>
      <c r="C209" t="s">
        <v>418</v>
      </c>
      <c r="D209" t="s">
        <v>1</v>
      </c>
      <c r="E209" t="s">
        <v>178</v>
      </c>
      <c r="F209" s="1">
        <v>63906</v>
      </c>
      <c r="G209" t="s">
        <v>350</v>
      </c>
      <c r="H209">
        <v>15</v>
      </c>
      <c r="I209" t="s">
        <v>30</v>
      </c>
      <c r="J209">
        <f>F209/1000</f>
        <v>63.905999999999999</v>
      </c>
      <c r="K209" s="3">
        <v>63.99</v>
      </c>
      <c r="L209" t="s">
        <v>338</v>
      </c>
      <c r="N209" s="4">
        <f t="shared" si="3"/>
        <v>8.4000000000003183E-2</v>
      </c>
    </row>
    <row r="210" spans="1:14" x14ac:dyDescent="0.35">
      <c r="B210">
        <v>30845</v>
      </c>
      <c r="C210" t="s">
        <v>419</v>
      </c>
      <c r="D210" t="s">
        <v>1</v>
      </c>
      <c r="E210" t="s">
        <v>420</v>
      </c>
      <c r="F210" s="1">
        <v>62770</v>
      </c>
      <c r="G210" t="s">
        <v>394</v>
      </c>
      <c r="H210">
        <v>15</v>
      </c>
      <c r="I210" t="s">
        <v>30</v>
      </c>
      <c r="J210">
        <f>F210/1000</f>
        <v>62.77</v>
      </c>
      <c r="K210" s="3">
        <v>63.04</v>
      </c>
      <c r="L210" t="s">
        <v>338</v>
      </c>
      <c r="N210" s="4">
        <f t="shared" si="3"/>
        <v>0.26999999999999602</v>
      </c>
    </row>
    <row r="211" spans="1:14" x14ac:dyDescent="0.35">
      <c r="A211" s="5"/>
      <c r="B211" s="5">
        <v>30846</v>
      </c>
      <c r="C211" s="5" t="s">
        <v>421</v>
      </c>
      <c r="D211" s="5" t="s">
        <v>1</v>
      </c>
      <c r="E211" s="5" t="s">
        <v>422</v>
      </c>
      <c r="F211" s="6">
        <v>61477</v>
      </c>
      <c r="G211" s="5" t="s">
        <v>377</v>
      </c>
      <c r="H211" s="5">
        <v>15</v>
      </c>
      <c r="I211" s="5" t="s">
        <v>30</v>
      </c>
      <c r="J211" s="5">
        <f>F211/1000</f>
        <v>61.476999999999997</v>
      </c>
      <c r="K211" s="7">
        <v>61.98</v>
      </c>
      <c r="L211" s="5" t="s">
        <v>338</v>
      </c>
      <c r="M211" s="5"/>
      <c r="N211" s="4">
        <f t="shared" si="3"/>
        <v>0.50300000000000011</v>
      </c>
    </row>
    <row r="212" spans="1:14" x14ac:dyDescent="0.35">
      <c r="B212">
        <v>30847</v>
      </c>
      <c r="C212" t="s">
        <v>423</v>
      </c>
      <c r="D212" t="s">
        <v>1</v>
      </c>
      <c r="E212" t="s">
        <v>160</v>
      </c>
      <c r="F212" s="1">
        <v>60752</v>
      </c>
      <c r="G212" t="s">
        <v>396</v>
      </c>
      <c r="H212">
        <v>15</v>
      </c>
      <c r="I212" t="s">
        <v>30</v>
      </c>
      <c r="J212">
        <f>F212/1000</f>
        <v>60.752000000000002</v>
      </c>
      <c r="K212" s="3">
        <v>60.99</v>
      </c>
      <c r="L212" t="s">
        <v>338</v>
      </c>
      <c r="N212" s="4">
        <f t="shared" si="3"/>
        <v>0.23799999999999955</v>
      </c>
    </row>
    <row r="213" spans="1:14" x14ac:dyDescent="0.35">
      <c r="B213">
        <v>30848</v>
      </c>
      <c r="C213" t="s">
        <v>424</v>
      </c>
      <c r="D213" t="s">
        <v>1</v>
      </c>
      <c r="E213" t="s">
        <v>425</v>
      </c>
      <c r="F213" s="1">
        <v>59254</v>
      </c>
      <c r="G213" t="s">
        <v>416</v>
      </c>
      <c r="H213">
        <v>15</v>
      </c>
      <c r="I213" t="s">
        <v>30</v>
      </c>
      <c r="J213">
        <f>F213/1000</f>
        <v>59.253999999999998</v>
      </c>
      <c r="K213" s="3">
        <v>59.72</v>
      </c>
      <c r="L213" t="s">
        <v>338</v>
      </c>
      <c r="N213" s="4">
        <f t="shared" si="3"/>
        <v>0.46600000000000108</v>
      </c>
    </row>
    <row r="214" spans="1:14" x14ac:dyDescent="0.35">
      <c r="A214" s="5"/>
      <c r="B214" s="5">
        <v>30849</v>
      </c>
      <c r="C214" s="5" t="s">
        <v>426</v>
      </c>
      <c r="D214" s="5" t="s">
        <v>1</v>
      </c>
      <c r="E214" s="5" t="s">
        <v>148</v>
      </c>
      <c r="F214" s="6">
        <v>58064</v>
      </c>
      <c r="G214" s="5" t="s">
        <v>427</v>
      </c>
      <c r="H214" s="5">
        <v>15</v>
      </c>
      <c r="I214" s="5" t="s">
        <v>30</v>
      </c>
      <c r="J214" s="5">
        <f>F214/1000</f>
        <v>58.064</v>
      </c>
      <c r="K214" s="7">
        <v>58.67</v>
      </c>
      <c r="L214" s="5" t="s">
        <v>338</v>
      </c>
      <c r="M214" s="5"/>
      <c r="N214" s="4">
        <f t="shared" si="3"/>
        <v>0.60600000000000165</v>
      </c>
    </row>
    <row r="215" spans="1:14" x14ac:dyDescent="0.35">
      <c r="B215">
        <v>30850</v>
      </c>
      <c r="C215" t="s">
        <v>428</v>
      </c>
      <c r="D215" t="s">
        <v>1</v>
      </c>
      <c r="E215" t="s">
        <v>429</v>
      </c>
      <c r="F215" s="1">
        <v>57496</v>
      </c>
      <c r="G215" t="s">
        <v>354</v>
      </c>
      <c r="H215">
        <v>16</v>
      </c>
      <c r="I215" t="s">
        <v>30</v>
      </c>
      <c r="J215">
        <f>F215/1000</f>
        <v>57.496000000000002</v>
      </c>
      <c r="K215" s="3">
        <v>57.49</v>
      </c>
      <c r="L215" t="s">
        <v>338</v>
      </c>
      <c r="N215" s="4">
        <f t="shared" si="3"/>
        <v>-6.0000000000002274E-3</v>
      </c>
    </row>
    <row r="216" spans="1:14" x14ac:dyDescent="0.35">
      <c r="B216">
        <v>30851</v>
      </c>
      <c r="C216" t="s">
        <v>430</v>
      </c>
      <c r="D216" t="s">
        <v>1</v>
      </c>
      <c r="E216" t="s">
        <v>135</v>
      </c>
      <c r="F216" s="1">
        <v>55944</v>
      </c>
      <c r="G216" t="s">
        <v>431</v>
      </c>
      <c r="H216">
        <v>16</v>
      </c>
      <c r="I216" t="s">
        <v>30</v>
      </c>
      <c r="J216">
        <f>F216/1000</f>
        <v>55.944000000000003</v>
      </c>
      <c r="K216" s="3">
        <v>56.26</v>
      </c>
      <c r="L216" t="s">
        <v>338</v>
      </c>
      <c r="N216" s="4">
        <f t="shared" si="3"/>
        <v>0.3159999999999954</v>
      </c>
    </row>
    <row r="217" spans="1:14" x14ac:dyDescent="0.35">
      <c r="B217">
        <v>30852</v>
      </c>
      <c r="C217" t="s">
        <v>432</v>
      </c>
      <c r="D217" t="s">
        <v>1</v>
      </c>
      <c r="E217" t="s">
        <v>133</v>
      </c>
      <c r="F217" s="1">
        <v>55375</v>
      </c>
      <c r="G217" t="s">
        <v>354</v>
      </c>
      <c r="H217">
        <v>15</v>
      </c>
      <c r="I217" t="s">
        <v>30</v>
      </c>
      <c r="J217">
        <f>F217/1000</f>
        <v>55.375</v>
      </c>
      <c r="K217" s="3">
        <v>55.54</v>
      </c>
      <c r="L217" t="s">
        <v>338</v>
      </c>
      <c r="N217" s="4">
        <f t="shared" si="3"/>
        <v>0.16499999999999915</v>
      </c>
    </row>
    <row r="218" spans="1:14" x14ac:dyDescent="0.35">
      <c r="B218">
        <v>30853</v>
      </c>
      <c r="C218" t="s">
        <v>433</v>
      </c>
      <c r="D218" t="s">
        <v>1</v>
      </c>
      <c r="E218" t="s">
        <v>127</v>
      </c>
      <c r="F218" s="1">
        <v>53980</v>
      </c>
      <c r="G218" t="s">
        <v>404</v>
      </c>
      <c r="H218">
        <v>15</v>
      </c>
      <c r="I218" t="s">
        <v>30</v>
      </c>
      <c r="J218">
        <f>F218/1000</f>
        <v>53.98</v>
      </c>
      <c r="K218" s="3">
        <v>54.34</v>
      </c>
      <c r="L218" t="s">
        <v>338</v>
      </c>
      <c r="N218" s="4">
        <f t="shared" si="3"/>
        <v>0.36000000000000654</v>
      </c>
    </row>
    <row r="219" spans="1:14" x14ac:dyDescent="0.35">
      <c r="B219">
        <v>30854</v>
      </c>
      <c r="C219" t="s">
        <v>434</v>
      </c>
      <c r="D219" t="s">
        <v>1</v>
      </c>
      <c r="E219" t="s">
        <v>121</v>
      </c>
      <c r="F219" s="1">
        <v>52687</v>
      </c>
      <c r="G219" t="s">
        <v>377</v>
      </c>
      <c r="H219">
        <v>15</v>
      </c>
      <c r="I219" t="s">
        <v>30</v>
      </c>
      <c r="J219">
        <f>F219/1000</f>
        <v>52.686999999999998</v>
      </c>
      <c r="K219" s="3">
        <v>53.13</v>
      </c>
      <c r="L219" t="s">
        <v>366</v>
      </c>
      <c r="N219" s="4">
        <f t="shared" si="3"/>
        <v>0.44300000000000495</v>
      </c>
    </row>
    <row r="220" spans="1:14" x14ac:dyDescent="0.35">
      <c r="B220">
        <v>30855</v>
      </c>
      <c r="C220" t="s">
        <v>435</v>
      </c>
      <c r="D220" t="s">
        <v>1</v>
      </c>
      <c r="E220" t="s">
        <v>119</v>
      </c>
      <c r="F220" s="1">
        <v>51859</v>
      </c>
      <c r="G220" t="s">
        <v>398</v>
      </c>
      <c r="H220">
        <v>15</v>
      </c>
      <c r="I220" t="s">
        <v>30</v>
      </c>
      <c r="J220">
        <f>F220/1000</f>
        <v>51.859000000000002</v>
      </c>
      <c r="K220" s="3">
        <v>52.11</v>
      </c>
      <c r="L220" t="s">
        <v>366</v>
      </c>
      <c r="N220" s="4">
        <f t="shared" si="3"/>
        <v>0.25099999999999767</v>
      </c>
    </row>
    <row r="221" spans="1:14" x14ac:dyDescent="0.35">
      <c r="B221">
        <v>30856</v>
      </c>
      <c r="C221" t="s">
        <v>436</v>
      </c>
      <c r="D221" t="s">
        <v>1</v>
      </c>
      <c r="E221" t="s">
        <v>115</v>
      </c>
      <c r="F221" s="1">
        <v>50827</v>
      </c>
      <c r="G221" t="s">
        <v>389</v>
      </c>
      <c r="H221">
        <v>16</v>
      </c>
      <c r="I221" t="s">
        <v>30</v>
      </c>
      <c r="J221">
        <f>F221/1000</f>
        <v>50.826999999999998</v>
      </c>
      <c r="K221" s="3">
        <v>51.08</v>
      </c>
      <c r="L221" t="s">
        <v>366</v>
      </c>
      <c r="N221" s="4">
        <f t="shared" si="3"/>
        <v>0.25300000000000011</v>
      </c>
    </row>
    <row r="222" spans="1:14" x14ac:dyDescent="0.35">
      <c r="B222">
        <v>30857</v>
      </c>
      <c r="C222" t="s">
        <v>437</v>
      </c>
      <c r="D222" t="s">
        <v>1</v>
      </c>
      <c r="E222" t="s">
        <v>438</v>
      </c>
      <c r="F222" s="1">
        <v>49844</v>
      </c>
      <c r="G222" t="s">
        <v>439</v>
      </c>
      <c r="H222">
        <v>16</v>
      </c>
      <c r="I222" t="s">
        <v>30</v>
      </c>
      <c r="J222">
        <f>F222/1000</f>
        <v>49.844000000000001</v>
      </c>
      <c r="K222" s="3">
        <v>50.1</v>
      </c>
      <c r="L222" t="s">
        <v>366</v>
      </c>
      <c r="N222" s="4">
        <f t="shared" si="3"/>
        <v>0.25600000000000023</v>
      </c>
    </row>
    <row r="223" spans="1:14" x14ac:dyDescent="0.35">
      <c r="B223">
        <v>30858</v>
      </c>
      <c r="C223" t="s">
        <v>440</v>
      </c>
      <c r="D223" t="s">
        <v>1</v>
      </c>
      <c r="E223" t="s">
        <v>441</v>
      </c>
      <c r="F223" s="1">
        <v>48447</v>
      </c>
      <c r="G223" t="s">
        <v>404</v>
      </c>
      <c r="H223">
        <v>16</v>
      </c>
      <c r="I223" t="s">
        <v>30</v>
      </c>
      <c r="J223">
        <f>F223/1000</f>
        <v>48.447000000000003</v>
      </c>
      <c r="K223" s="3">
        <v>48.88</v>
      </c>
      <c r="L223" t="s">
        <v>366</v>
      </c>
      <c r="N223" s="4">
        <f t="shared" si="3"/>
        <v>0.43299999999999983</v>
      </c>
    </row>
    <row r="224" spans="1:14" x14ac:dyDescent="0.35">
      <c r="A224" s="5"/>
      <c r="B224" s="5">
        <v>30859</v>
      </c>
      <c r="C224" s="5" t="s">
        <v>442</v>
      </c>
      <c r="D224" s="5" t="s">
        <v>1</v>
      </c>
      <c r="E224" s="5" t="s">
        <v>443</v>
      </c>
      <c r="F224" s="6">
        <v>47051</v>
      </c>
      <c r="G224" s="5" t="s">
        <v>404</v>
      </c>
      <c r="H224" s="5">
        <v>16</v>
      </c>
      <c r="I224" s="5" t="s">
        <v>30</v>
      </c>
      <c r="J224" s="5">
        <f>F224/1000</f>
        <v>47.051000000000002</v>
      </c>
      <c r="K224" s="7">
        <v>47.67</v>
      </c>
      <c r="L224" s="5" t="s">
        <v>369</v>
      </c>
      <c r="M224" s="5"/>
      <c r="N224" s="4">
        <f t="shared" si="3"/>
        <v>0.61899999999999977</v>
      </c>
    </row>
    <row r="225" spans="1:14" x14ac:dyDescent="0.35">
      <c r="B225">
        <v>30860</v>
      </c>
      <c r="C225" t="s">
        <v>444</v>
      </c>
      <c r="D225" t="s">
        <v>1</v>
      </c>
      <c r="E225" t="s">
        <v>445</v>
      </c>
      <c r="F225" s="1">
        <v>46585</v>
      </c>
      <c r="G225" t="s">
        <v>361</v>
      </c>
      <c r="H225">
        <v>16</v>
      </c>
      <c r="I225" t="s">
        <v>30</v>
      </c>
      <c r="J225">
        <f>F225/1000</f>
        <v>46.585000000000001</v>
      </c>
      <c r="K225" s="3">
        <v>46.51</v>
      </c>
      <c r="L225" t="s">
        <v>369</v>
      </c>
      <c r="N225" s="4">
        <f t="shared" si="3"/>
        <v>-7.5000000000002842E-2</v>
      </c>
    </row>
    <row r="226" spans="1:14" x14ac:dyDescent="0.35">
      <c r="A226" s="5"/>
      <c r="B226" s="5">
        <v>30861</v>
      </c>
      <c r="C226" s="5" t="s">
        <v>446</v>
      </c>
      <c r="D226" s="5" t="s">
        <v>1</v>
      </c>
      <c r="E226" s="5" t="s">
        <v>94</v>
      </c>
      <c r="F226" s="6">
        <v>44466</v>
      </c>
      <c r="G226" s="5" t="s">
        <v>447</v>
      </c>
      <c r="H226" s="5">
        <v>16</v>
      </c>
      <c r="I226" s="5" t="s">
        <v>30</v>
      </c>
      <c r="J226" s="5">
        <f>F226/1000</f>
        <v>44.466000000000001</v>
      </c>
      <c r="K226" s="7">
        <v>45.26</v>
      </c>
      <c r="L226" s="5" t="s">
        <v>369</v>
      </c>
      <c r="M226" s="5"/>
      <c r="N226" s="4">
        <f t="shared" si="3"/>
        <v>0.79399999999999693</v>
      </c>
    </row>
    <row r="227" spans="1:14" x14ac:dyDescent="0.35">
      <c r="B227">
        <v>30862</v>
      </c>
      <c r="C227" t="s">
        <v>448</v>
      </c>
      <c r="D227" t="s">
        <v>1</v>
      </c>
      <c r="E227" t="s">
        <v>449</v>
      </c>
      <c r="F227" s="1">
        <v>43897</v>
      </c>
      <c r="G227" t="s">
        <v>354</v>
      </c>
      <c r="H227">
        <v>16</v>
      </c>
      <c r="I227" t="s">
        <v>30</v>
      </c>
      <c r="J227">
        <f>F227/1000</f>
        <v>43.896999999999998</v>
      </c>
      <c r="K227" s="3">
        <v>44.03</v>
      </c>
      <c r="L227" t="s">
        <v>369</v>
      </c>
      <c r="N227" s="4">
        <f t="shared" si="3"/>
        <v>0.13300000000000267</v>
      </c>
    </row>
    <row r="228" spans="1:14" x14ac:dyDescent="0.35">
      <c r="A228" s="5"/>
      <c r="B228" s="5">
        <v>30863</v>
      </c>
      <c r="C228" s="5" t="s">
        <v>450</v>
      </c>
      <c r="D228" s="5" t="s">
        <v>1</v>
      </c>
      <c r="E228" s="5" t="s">
        <v>89</v>
      </c>
      <c r="F228" s="6">
        <v>42348</v>
      </c>
      <c r="G228" s="5" t="s">
        <v>431</v>
      </c>
      <c r="H228" s="5">
        <v>16</v>
      </c>
      <c r="I228" s="5" t="s">
        <v>30</v>
      </c>
      <c r="J228" s="5">
        <f>F228/1000</f>
        <v>42.347999999999999</v>
      </c>
      <c r="K228" s="7">
        <v>42.9</v>
      </c>
      <c r="L228" s="5" t="s">
        <v>369</v>
      </c>
      <c r="M228" s="5"/>
      <c r="N228" s="4">
        <f t="shared" si="3"/>
        <v>0.5519999999999996</v>
      </c>
    </row>
    <row r="229" spans="1:14" x14ac:dyDescent="0.35">
      <c r="B229">
        <v>30864</v>
      </c>
      <c r="C229" t="s">
        <v>451</v>
      </c>
      <c r="D229" t="s">
        <v>1</v>
      </c>
      <c r="E229" t="s">
        <v>85</v>
      </c>
      <c r="F229" s="1">
        <v>41674</v>
      </c>
      <c r="G229" t="s">
        <v>452</v>
      </c>
      <c r="H229">
        <v>16</v>
      </c>
      <c r="I229" t="s">
        <v>30</v>
      </c>
      <c r="J229">
        <f>F229/1000</f>
        <v>41.673999999999999</v>
      </c>
      <c r="K229" s="3">
        <v>41.93</v>
      </c>
      <c r="L229" t="s">
        <v>369</v>
      </c>
      <c r="N229" s="4">
        <f t="shared" si="3"/>
        <v>0.25600000000000023</v>
      </c>
    </row>
    <row r="230" spans="1:14" x14ac:dyDescent="0.35">
      <c r="B230">
        <v>30865</v>
      </c>
      <c r="C230" t="s">
        <v>453</v>
      </c>
      <c r="D230" t="s">
        <v>1</v>
      </c>
      <c r="E230" t="s">
        <v>81</v>
      </c>
      <c r="F230" s="1">
        <v>40278</v>
      </c>
      <c r="G230" t="s">
        <v>404</v>
      </c>
      <c r="H230">
        <v>16</v>
      </c>
      <c r="I230" t="s">
        <v>30</v>
      </c>
      <c r="J230">
        <f>F230/1000</f>
        <v>40.277999999999999</v>
      </c>
      <c r="K230" s="3">
        <v>40.74</v>
      </c>
      <c r="L230" t="s">
        <v>369</v>
      </c>
      <c r="N230" s="4">
        <f t="shared" si="3"/>
        <v>0.4620000000000033</v>
      </c>
    </row>
    <row r="231" spans="1:14" x14ac:dyDescent="0.35">
      <c r="A231" s="5"/>
      <c r="B231" s="5">
        <v>30866</v>
      </c>
      <c r="C231" s="5" t="s">
        <v>454</v>
      </c>
      <c r="D231" s="5" t="s">
        <v>1</v>
      </c>
      <c r="E231" s="5" t="s">
        <v>78</v>
      </c>
      <c r="F231" s="6">
        <v>39193</v>
      </c>
      <c r="G231" s="5" t="s">
        <v>455</v>
      </c>
      <c r="H231" s="5">
        <v>16</v>
      </c>
      <c r="I231" s="5" t="s">
        <v>30</v>
      </c>
      <c r="J231" s="5">
        <f>F231/1000</f>
        <v>39.192999999999998</v>
      </c>
      <c r="K231" s="7">
        <v>39.74</v>
      </c>
      <c r="L231" s="5" t="s">
        <v>369</v>
      </c>
      <c r="M231" s="5"/>
      <c r="N231" s="4">
        <f t="shared" si="3"/>
        <v>0.54700000000000415</v>
      </c>
    </row>
    <row r="232" spans="1:14" x14ac:dyDescent="0.35">
      <c r="A232" s="5"/>
      <c r="B232" s="5">
        <v>30867</v>
      </c>
      <c r="C232" s="5" t="s">
        <v>456</v>
      </c>
      <c r="D232" s="5" t="s">
        <v>1</v>
      </c>
      <c r="E232" s="5" t="s">
        <v>457</v>
      </c>
      <c r="F232" s="6">
        <v>38158</v>
      </c>
      <c r="G232" s="5" t="s">
        <v>389</v>
      </c>
      <c r="H232" s="5">
        <v>16</v>
      </c>
      <c r="I232" s="5" t="s">
        <v>30</v>
      </c>
      <c r="J232" s="5">
        <f>F232/1000</f>
        <v>38.158000000000001</v>
      </c>
      <c r="K232" s="7">
        <v>38.950000000000003</v>
      </c>
      <c r="L232" s="5" t="s">
        <v>369</v>
      </c>
      <c r="M232" s="5"/>
      <c r="N232" s="4">
        <f t="shared" si="3"/>
        <v>0.79200000000000159</v>
      </c>
    </row>
    <row r="233" spans="1:14" x14ac:dyDescent="0.35">
      <c r="A233" s="5"/>
      <c r="B233" s="5">
        <v>30868</v>
      </c>
      <c r="C233" s="5" t="s">
        <v>458</v>
      </c>
      <c r="D233" s="5" t="s">
        <v>1</v>
      </c>
      <c r="E233" s="5" t="s">
        <v>72</v>
      </c>
      <c r="F233" s="6">
        <v>37331</v>
      </c>
      <c r="G233" s="5" t="s">
        <v>398</v>
      </c>
      <c r="H233" s="5">
        <v>16</v>
      </c>
      <c r="I233" s="5" t="s">
        <v>30</v>
      </c>
      <c r="J233" s="5">
        <f>F233/1000</f>
        <v>37.331000000000003</v>
      </c>
      <c r="K233" s="7">
        <v>38.159999999999997</v>
      </c>
      <c r="L233" s="5" t="s">
        <v>384</v>
      </c>
      <c r="M233" s="5"/>
      <c r="N233" s="4">
        <f t="shared" si="3"/>
        <v>0.82899999999999352</v>
      </c>
    </row>
    <row r="234" spans="1:14" x14ac:dyDescent="0.35">
      <c r="A234" s="5"/>
      <c r="B234" s="5">
        <v>30869</v>
      </c>
      <c r="C234" s="5" t="s">
        <v>459</v>
      </c>
      <c r="D234" s="5" t="s">
        <v>1</v>
      </c>
      <c r="E234" s="5" t="s">
        <v>460</v>
      </c>
      <c r="F234" s="6">
        <v>36762</v>
      </c>
      <c r="G234" s="5" t="s">
        <v>354</v>
      </c>
      <c r="H234" s="5">
        <v>16</v>
      </c>
      <c r="I234" s="5" t="s">
        <v>30</v>
      </c>
      <c r="J234" s="5">
        <f>F234/1000</f>
        <v>36.762</v>
      </c>
      <c r="K234" s="7">
        <v>37.450000000000003</v>
      </c>
      <c r="L234" s="5" t="s">
        <v>384</v>
      </c>
      <c r="M234" s="5"/>
      <c r="N234" s="4">
        <f t="shared" si="3"/>
        <v>0.68800000000000239</v>
      </c>
    </row>
    <row r="235" spans="1:14" x14ac:dyDescent="0.35">
      <c r="A235" s="5"/>
      <c r="B235" s="5">
        <v>30870</v>
      </c>
      <c r="C235" s="5" t="s">
        <v>461</v>
      </c>
      <c r="D235" s="5" t="s">
        <v>1</v>
      </c>
      <c r="E235" s="5" t="s">
        <v>462</v>
      </c>
      <c r="F235" s="6">
        <v>36039</v>
      </c>
      <c r="G235" s="5" t="s">
        <v>396</v>
      </c>
      <c r="H235" s="5">
        <v>16</v>
      </c>
      <c r="I235" s="5" t="s">
        <v>30</v>
      </c>
      <c r="J235" s="5">
        <f>F235/1000</f>
        <v>36.039000000000001</v>
      </c>
      <c r="K235" s="7">
        <v>36.700000000000003</v>
      </c>
      <c r="L235" s="5" t="s">
        <v>384</v>
      </c>
      <c r="M235" s="5"/>
      <c r="N235" s="4">
        <f t="shared" si="3"/>
        <v>0.66100000000000136</v>
      </c>
    </row>
    <row r="236" spans="1:14" x14ac:dyDescent="0.35">
      <c r="A236" s="5"/>
      <c r="B236" s="5">
        <v>30871</v>
      </c>
      <c r="C236" s="5" t="s">
        <v>463</v>
      </c>
      <c r="D236" s="5" t="s">
        <v>1</v>
      </c>
      <c r="E236" s="5" t="s">
        <v>464</v>
      </c>
      <c r="F236" s="6">
        <v>35004</v>
      </c>
      <c r="G236" s="5" t="s">
        <v>389</v>
      </c>
      <c r="H236" s="5">
        <v>16</v>
      </c>
      <c r="I236" s="5" t="s">
        <v>30</v>
      </c>
      <c r="J236" s="5">
        <f>F236/1000</f>
        <v>35.003999999999998</v>
      </c>
      <c r="K236" s="7">
        <v>35.979999999999997</v>
      </c>
      <c r="L236" s="5" t="s">
        <v>384</v>
      </c>
      <c r="M236" s="5"/>
      <c r="N236" s="4">
        <f t="shared" si="3"/>
        <v>0.97599999999999909</v>
      </c>
    </row>
    <row r="237" spans="1:14" x14ac:dyDescent="0.35">
      <c r="A237" s="5"/>
      <c r="B237" s="5">
        <v>30872</v>
      </c>
      <c r="C237" s="5" t="s">
        <v>465</v>
      </c>
      <c r="D237" s="5" t="s">
        <v>1</v>
      </c>
      <c r="E237" s="5" t="s">
        <v>466</v>
      </c>
      <c r="F237" s="6">
        <v>34437</v>
      </c>
      <c r="G237" s="5" t="s">
        <v>354</v>
      </c>
      <c r="H237" s="5">
        <v>16</v>
      </c>
      <c r="I237" s="5" t="s">
        <v>30</v>
      </c>
      <c r="J237" s="5">
        <f>F237/1000</f>
        <v>34.436999999999998</v>
      </c>
      <c r="K237" s="7">
        <v>35.24</v>
      </c>
      <c r="L237" s="5" t="s">
        <v>384</v>
      </c>
      <c r="M237" s="5"/>
      <c r="N237" s="4">
        <f t="shared" si="3"/>
        <v>0.80300000000000438</v>
      </c>
    </row>
    <row r="238" spans="1:14" x14ac:dyDescent="0.35">
      <c r="B238">
        <v>30873</v>
      </c>
      <c r="C238" t="s">
        <v>467</v>
      </c>
      <c r="D238" t="s">
        <v>1</v>
      </c>
      <c r="E238" t="s">
        <v>64</v>
      </c>
      <c r="F238" s="1">
        <v>34336</v>
      </c>
      <c r="G238" t="s">
        <v>198</v>
      </c>
      <c r="H238">
        <v>16</v>
      </c>
      <c r="I238" t="s">
        <v>30</v>
      </c>
      <c r="J238">
        <f>F238/1000</f>
        <v>34.335999999999999</v>
      </c>
      <c r="K238" s="3">
        <v>34.700000000000003</v>
      </c>
      <c r="L238" t="s">
        <v>468</v>
      </c>
      <c r="N238" s="4">
        <f t="shared" si="3"/>
        <v>0.36400000000000432</v>
      </c>
    </row>
    <row r="239" spans="1:14" x14ac:dyDescent="0.35">
      <c r="A239" s="5"/>
      <c r="B239" s="5">
        <v>30874</v>
      </c>
      <c r="C239" s="5" t="s">
        <v>469</v>
      </c>
      <c r="D239" s="5" t="s">
        <v>1</v>
      </c>
      <c r="E239" s="5" t="s">
        <v>61</v>
      </c>
      <c r="F239" s="6">
        <v>33407</v>
      </c>
      <c r="G239" s="5" t="s">
        <v>350</v>
      </c>
      <c r="H239" s="5">
        <v>16</v>
      </c>
      <c r="I239" s="5" t="s">
        <v>30</v>
      </c>
      <c r="J239" s="5">
        <f>F239/1000</f>
        <v>33.406999999999996</v>
      </c>
      <c r="K239" s="7">
        <v>34.200000000000003</v>
      </c>
      <c r="L239" s="5" t="s">
        <v>468</v>
      </c>
      <c r="M239" s="5"/>
      <c r="N239" s="4">
        <f t="shared" si="3"/>
        <v>0.79300000000000637</v>
      </c>
    </row>
    <row r="240" spans="1:14" x14ac:dyDescent="0.35">
      <c r="A240" s="5"/>
      <c r="B240" s="5">
        <v>30875</v>
      </c>
      <c r="C240" s="5" t="s">
        <v>470</v>
      </c>
      <c r="D240" s="5" t="s">
        <v>1</v>
      </c>
      <c r="E240" s="5" t="s">
        <v>471</v>
      </c>
      <c r="F240" s="6">
        <v>32943</v>
      </c>
      <c r="G240" s="5" t="s">
        <v>361</v>
      </c>
      <c r="H240" s="5">
        <v>16</v>
      </c>
      <c r="I240" s="5" t="s">
        <v>30</v>
      </c>
      <c r="J240" s="5">
        <f>F240/1000</f>
        <v>32.942999999999998</v>
      </c>
      <c r="K240" s="7">
        <v>33.53</v>
      </c>
      <c r="L240" s="5" t="s">
        <v>468</v>
      </c>
      <c r="M240" s="5"/>
      <c r="N240" s="4">
        <f t="shared" si="3"/>
        <v>0.5870000000000033</v>
      </c>
    </row>
    <row r="241" spans="1:14" x14ac:dyDescent="0.35">
      <c r="A241" s="5"/>
      <c r="B241" s="5">
        <v>30876</v>
      </c>
      <c r="C241" s="5" t="s">
        <v>472</v>
      </c>
      <c r="D241" s="5" t="s">
        <v>1</v>
      </c>
      <c r="E241" s="5" t="s">
        <v>473</v>
      </c>
      <c r="F241" s="6">
        <v>32578</v>
      </c>
      <c r="G241" s="5" t="s">
        <v>340</v>
      </c>
      <c r="H241" s="5">
        <v>16</v>
      </c>
      <c r="I241" s="5" t="s">
        <v>30</v>
      </c>
      <c r="J241" s="5">
        <f>F241/1000</f>
        <v>32.578000000000003</v>
      </c>
      <c r="K241" s="7">
        <v>33.08</v>
      </c>
      <c r="L241" s="5" t="s">
        <v>468</v>
      </c>
      <c r="M241" s="5"/>
      <c r="N241" s="4">
        <f t="shared" si="3"/>
        <v>0.50199999999999534</v>
      </c>
    </row>
    <row r="242" spans="1:14" x14ac:dyDescent="0.35">
      <c r="A242" s="5"/>
      <c r="B242" s="5">
        <v>30877</v>
      </c>
      <c r="C242" s="5" t="s">
        <v>474</v>
      </c>
      <c r="D242" s="5" t="s">
        <v>1</v>
      </c>
      <c r="E242" s="5" t="s">
        <v>59</v>
      </c>
      <c r="F242" s="6">
        <v>31917</v>
      </c>
      <c r="G242" s="5" t="s">
        <v>475</v>
      </c>
      <c r="H242" s="5">
        <v>16</v>
      </c>
      <c r="I242" s="5" t="s">
        <v>30</v>
      </c>
      <c r="J242" s="5">
        <f>F242/1000</f>
        <v>31.917000000000002</v>
      </c>
      <c r="K242" s="7">
        <v>32.51</v>
      </c>
      <c r="L242" s="5" t="s">
        <v>476</v>
      </c>
      <c r="M242" s="5"/>
      <c r="N242" s="4">
        <f t="shared" si="3"/>
        <v>0.59299999999999642</v>
      </c>
    </row>
    <row r="243" spans="1:14" x14ac:dyDescent="0.35">
      <c r="A243" s="5"/>
      <c r="B243" s="5">
        <v>30878</v>
      </c>
      <c r="C243" s="5" t="s">
        <v>477</v>
      </c>
      <c r="D243" s="5" t="s">
        <v>1</v>
      </c>
      <c r="E243" s="5" t="s">
        <v>478</v>
      </c>
      <c r="F243" s="6">
        <v>30256</v>
      </c>
      <c r="G243" s="5" t="s">
        <v>412</v>
      </c>
      <c r="H243" s="5">
        <v>16</v>
      </c>
      <c r="I243" s="5" t="s">
        <v>30</v>
      </c>
      <c r="J243" s="5">
        <f>F243/1000</f>
        <v>30.256</v>
      </c>
      <c r="K243" s="7">
        <v>31.61</v>
      </c>
      <c r="L243" s="5" t="s">
        <v>476</v>
      </c>
      <c r="M243" s="5"/>
      <c r="N243" s="4">
        <f t="shared" si="3"/>
        <v>1.3539999999999992</v>
      </c>
    </row>
    <row r="244" spans="1:14" x14ac:dyDescent="0.35">
      <c r="A244" s="5"/>
      <c r="B244" s="5">
        <v>30879</v>
      </c>
      <c r="C244" s="5" t="s">
        <v>479</v>
      </c>
      <c r="D244" s="5" t="s">
        <v>1</v>
      </c>
      <c r="E244" s="5" t="s">
        <v>478</v>
      </c>
      <c r="F244" s="6">
        <v>30063</v>
      </c>
      <c r="G244" s="5" t="s">
        <v>480</v>
      </c>
      <c r="H244" s="5">
        <v>16</v>
      </c>
      <c r="I244" s="5" t="s">
        <v>30</v>
      </c>
      <c r="J244" s="5">
        <f>F244/1000</f>
        <v>30.062999999999999</v>
      </c>
      <c r="K244" s="7">
        <v>30.81</v>
      </c>
      <c r="L244" s="5" t="s">
        <v>476</v>
      </c>
      <c r="M244" s="5"/>
      <c r="N244" s="4">
        <f t="shared" si="3"/>
        <v>0.74699999999999989</v>
      </c>
    </row>
    <row r="245" spans="1:14" x14ac:dyDescent="0.35">
      <c r="A245" s="5"/>
      <c r="B245" s="5">
        <v>30880</v>
      </c>
      <c r="C245" s="5" t="s">
        <v>481</v>
      </c>
      <c r="D245" s="5" t="s">
        <v>1</v>
      </c>
      <c r="E245" s="5" t="s">
        <v>482</v>
      </c>
      <c r="F245" s="6">
        <v>29426</v>
      </c>
      <c r="G245" s="5" t="s">
        <v>475</v>
      </c>
      <c r="H245" s="5">
        <v>16</v>
      </c>
      <c r="I245" s="5" t="s">
        <v>30</v>
      </c>
      <c r="J245" s="5">
        <f>F245/1000</f>
        <v>29.425999999999998</v>
      </c>
      <c r="K245" s="7">
        <v>30.27</v>
      </c>
      <c r="L245" s="5" t="s">
        <v>476</v>
      </c>
      <c r="M245" s="5"/>
      <c r="N245" s="4">
        <f t="shared" si="3"/>
        <v>0.84400000000000119</v>
      </c>
    </row>
    <row r="246" spans="1:14" x14ac:dyDescent="0.35">
      <c r="A246" s="5"/>
      <c r="B246" s="5">
        <v>30881</v>
      </c>
      <c r="C246" s="5" t="s">
        <v>483</v>
      </c>
      <c r="D246" s="5" t="s">
        <v>1</v>
      </c>
      <c r="E246" s="5" t="s">
        <v>484</v>
      </c>
      <c r="F246" s="6">
        <v>28582</v>
      </c>
      <c r="G246" s="5" t="s">
        <v>398</v>
      </c>
      <c r="H246" s="5">
        <v>16</v>
      </c>
      <c r="I246" s="5" t="s">
        <v>30</v>
      </c>
      <c r="J246" s="5">
        <f>F246/1000</f>
        <v>28.582000000000001</v>
      </c>
      <c r="K246" s="7">
        <v>29.45</v>
      </c>
      <c r="L246" s="5" t="s">
        <v>476</v>
      </c>
      <c r="M246" s="5"/>
      <c r="N246" s="4">
        <f t="shared" si="3"/>
        <v>0.86799999999999855</v>
      </c>
    </row>
    <row r="247" spans="1:14" x14ac:dyDescent="0.35">
      <c r="A247" s="5"/>
      <c r="B247" s="5">
        <v>30882</v>
      </c>
      <c r="C247" s="5" t="s">
        <v>485</v>
      </c>
      <c r="D247" s="5" t="s">
        <v>1</v>
      </c>
      <c r="E247" s="5" t="s">
        <v>46</v>
      </c>
      <c r="F247" s="6">
        <v>28212</v>
      </c>
      <c r="G247" s="5" t="s">
        <v>340</v>
      </c>
      <c r="H247" s="5">
        <v>16</v>
      </c>
      <c r="I247" s="5" t="s">
        <v>30</v>
      </c>
      <c r="J247" s="5">
        <f>F247/1000</f>
        <v>28.212</v>
      </c>
      <c r="K247" s="7">
        <v>28.77</v>
      </c>
      <c r="L247" s="5" t="s">
        <v>486</v>
      </c>
      <c r="M247" s="5"/>
      <c r="N247" s="4">
        <f t="shared" si="3"/>
        <v>0.55799999999999983</v>
      </c>
    </row>
    <row r="248" spans="1:14" x14ac:dyDescent="0.35">
      <c r="A248" s="5"/>
      <c r="B248" s="5">
        <v>30883</v>
      </c>
      <c r="C248" s="5" t="s">
        <v>487</v>
      </c>
      <c r="D248" s="5" t="s">
        <v>1</v>
      </c>
      <c r="E248" s="5" t="s">
        <v>488</v>
      </c>
      <c r="F248" s="6">
        <v>27011</v>
      </c>
      <c r="G248" s="5" t="s">
        <v>427</v>
      </c>
      <c r="H248" s="5">
        <v>16</v>
      </c>
      <c r="I248" s="5" t="s">
        <v>30</v>
      </c>
      <c r="J248" s="5">
        <f>F248/1000</f>
        <v>27.010999999999999</v>
      </c>
      <c r="K248" s="7">
        <v>28.08</v>
      </c>
      <c r="L248" s="5" t="s">
        <v>486</v>
      </c>
      <c r="M248" s="5"/>
      <c r="N248" s="4">
        <f t="shared" si="3"/>
        <v>1.0689999999999991</v>
      </c>
    </row>
    <row r="249" spans="1:14" x14ac:dyDescent="0.35">
      <c r="A249" s="5"/>
      <c r="B249" s="5">
        <v>30884</v>
      </c>
      <c r="C249" s="5" t="s">
        <v>489</v>
      </c>
      <c r="D249" s="5" t="s">
        <v>1</v>
      </c>
      <c r="E249" s="5" t="s">
        <v>488</v>
      </c>
      <c r="F249" s="6">
        <v>26917</v>
      </c>
      <c r="G249" s="5" t="s">
        <v>198</v>
      </c>
      <c r="H249" s="5">
        <v>16</v>
      </c>
      <c r="I249" s="5" t="s">
        <v>30</v>
      </c>
      <c r="J249" s="5">
        <f>F249/1000</f>
        <v>26.917000000000002</v>
      </c>
      <c r="K249" s="7">
        <v>27.48</v>
      </c>
      <c r="L249" s="5" t="s">
        <v>486</v>
      </c>
      <c r="M249" s="5"/>
      <c r="N249" s="4">
        <f t="shared" si="3"/>
        <v>0.56299999999999883</v>
      </c>
    </row>
    <row r="250" spans="1:14" x14ac:dyDescent="0.35">
      <c r="A250" s="5"/>
      <c r="B250" s="5">
        <v>30885</v>
      </c>
      <c r="C250" s="5" t="s">
        <v>490</v>
      </c>
      <c r="D250" s="5" t="s">
        <v>1</v>
      </c>
      <c r="E250" s="5" t="s">
        <v>491</v>
      </c>
      <c r="F250" s="6">
        <v>25992</v>
      </c>
      <c r="G250" s="5" t="s">
        <v>350</v>
      </c>
      <c r="H250" s="5">
        <v>16</v>
      </c>
      <c r="I250" s="5" t="s">
        <v>30</v>
      </c>
      <c r="J250" s="5">
        <f>F250/1000</f>
        <v>25.992000000000001</v>
      </c>
      <c r="K250" s="7">
        <v>26.79</v>
      </c>
      <c r="L250" s="5" t="s">
        <v>486</v>
      </c>
      <c r="M250" s="5"/>
      <c r="N250" s="4">
        <f t="shared" si="3"/>
        <v>0.79799999999999827</v>
      </c>
    </row>
    <row r="251" spans="1:14" x14ac:dyDescent="0.35">
      <c r="A251" s="5"/>
      <c r="B251" s="5">
        <v>30886</v>
      </c>
      <c r="C251" s="5" t="s">
        <v>492</v>
      </c>
      <c r="D251" s="5" t="s">
        <v>1</v>
      </c>
      <c r="E251" s="5" t="s">
        <v>493</v>
      </c>
      <c r="F251" s="6">
        <v>25622</v>
      </c>
      <c r="G251" s="5" t="s">
        <v>340</v>
      </c>
      <c r="H251" s="5">
        <v>16</v>
      </c>
      <c r="I251" s="5" t="s">
        <v>30</v>
      </c>
      <c r="J251" s="5">
        <f>F251/1000</f>
        <v>25.622</v>
      </c>
      <c r="K251" s="7">
        <v>26.19</v>
      </c>
      <c r="L251" s="5" t="s">
        <v>486</v>
      </c>
      <c r="M251" s="5"/>
      <c r="N251" s="4">
        <f t="shared" si="3"/>
        <v>0.56800000000000139</v>
      </c>
    </row>
    <row r="252" spans="1:14" x14ac:dyDescent="0.35">
      <c r="A252" s="5"/>
      <c r="B252" s="5">
        <v>30887</v>
      </c>
      <c r="C252" s="5" t="s">
        <v>494</v>
      </c>
      <c r="D252" s="5" t="s">
        <v>1</v>
      </c>
      <c r="E252" s="5" t="s">
        <v>495</v>
      </c>
      <c r="F252" s="6">
        <v>24697</v>
      </c>
      <c r="G252" s="5" t="s">
        <v>350</v>
      </c>
      <c r="H252" s="5">
        <v>16</v>
      </c>
      <c r="I252" s="5" t="s">
        <v>30</v>
      </c>
      <c r="J252" s="5">
        <f>F252/1000</f>
        <v>24.696999999999999</v>
      </c>
      <c r="K252" s="7">
        <v>25.6</v>
      </c>
      <c r="L252" s="5" t="s">
        <v>496</v>
      </c>
      <c r="M252" s="5"/>
      <c r="N252" s="4">
        <f t="shared" si="3"/>
        <v>0.90300000000000225</v>
      </c>
    </row>
    <row r="253" spans="1:14" x14ac:dyDescent="0.35">
      <c r="B253">
        <v>30888</v>
      </c>
      <c r="C253" t="s">
        <v>497</v>
      </c>
      <c r="D253" t="s">
        <v>1</v>
      </c>
      <c r="E253" t="s">
        <v>37</v>
      </c>
      <c r="F253" s="1">
        <v>25068</v>
      </c>
      <c r="G253" t="s">
        <v>12</v>
      </c>
      <c r="H253">
        <v>16</v>
      </c>
      <c r="I253" t="s">
        <v>30</v>
      </c>
      <c r="J253">
        <f>F253/1000</f>
        <v>25.068000000000001</v>
      </c>
      <c r="K253" s="3">
        <v>25.19</v>
      </c>
      <c r="L253" t="s">
        <v>496</v>
      </c>
      <c r="N253" s="4">
        <f t="shared" si="3"/>
        <v>0.12199999999999989</v>
      </c>
    </row>
    <row r="254" spans="1:14" x14ac:dyDescent="0.35">
      <c r="B254">
        <v>30889</v>
      </c>
      <c r="C254" t="s">
        <v>498</v>
      </c>
      <c r="D254" t="s">
        <v>1</v>
      </c>
      <c r="E254" t="s">
        <v>499</v>
      </c>
      <c r="F254" s="1">
        <v>24517</v>
      </c>
      <c r="G254" t="s">
        <v>500</v>
      </c>
      <c r="H254">
        <v>16</v>
      </c>
      <c r="I254" t="s">
        <v>30</v>
      </c>
      <c r="J254">
        <f>F254/1000</f>
        <v>24.516999999999999</v>
      </c>
      <c r="K254" s="3">
        <v>24.88</v>
      </c>
      <c r="L254" t="s">
        <v>496</v>
      </c>
      <c r="N254" s="4">
        <f t="shared" si="3"/>
        <v>0.36299999999999955</v>
      </c>
    </row>
    <row r="255" spans="1:14" x14ac:dyDescent="0.35">
      <c r="B255">
        <v>30890</v>
      </c>
      <c r="C255" t="s">
        <v>501</v>
      </c>
      <c r="D255" t="s">
        <v>1</v>
      </c>
      <c r="E255" t="s">
        <v>499</v>
      </c>
      <c r="F255" s="1">
        <v>24346</v>
      </c>
      <c r="G255" t="s">
        <v>480</v>
      </c>
      <c r="H255">
        <v>16</v>
      </c>
      <c r="I255" t="s">
        <v>30</v>
      </c>
      <c r="J255">
        <f>F255/1000</f>
        <v>24.346</v>
      </c>
      <c r="K255" s="3">
        <v>24.64</v>
      </c>
      <c r="L255" t="s">
        <v>502</v>
      </c>
      <c r="N255" s="4">
        <f t="shared" si="3"/>
        <v>0.29400000000000048</v>
      </c>
    </row>
    <row r="256" spans="1:14" x14ac:dyDescent="0.35">
      <c r="B256">
        <v>30891</v>
      </c>
      <c r="C256" t="s">
        <v>503</v>
      </c>
      <c r="D256" t="s">
        <v>1</v>
      </c>
      <c r="E256" t="s">
        <v>499</v>
      </c>
      <c r="F256" s="1">
        <v>24517</v>
      </c>
      <c r="G256" t="s">
        <v>183</v>
      </c>
      <c r="H256">
        <v>16</v>
      </c>
      <c r="I256" t="s">
        <v>30</v>
      </c>
      <c r="J256">
        <f>F256/1000</f>
        <v>24.516999999999999</v>
      </c>
      <c r="K256" s="3">
        <v>24.58</v>
      </c>
      <c r="L256" t="s">
        <v>502</v>
      </c>
      <c r="N256" s="4">
        <f t="shared" si="3"/>
        <v>6.2999999999998835E-2</v>
      </c>
    </row>
    <row r="257" spans="2:14" x14ac:dyDescent="0.35">
      <c r="B257">
        <v>30892</v>
      </c>
      <c r="C257" t="s">
        <v>504</v>
      </c>
      <c r="D257" t="s">
        <v>1</v>
      </c>
      <c r="E257" t="s">
        <v>495</v>
      </c>
      <c r="F257" s="1">
        <v>24891</v>
      </c>
      <c r="G257" t="s">
        <v>12</v>
      </c>
      <c r="H257">
        <v>16</v>
      </c>
      <c r="I257" t="s">
        <v>30</v>
      </c>
      <c r="J257">
        <f>F257/1000</f>
        <v>24.890999999999998</v>
      </c>
      <c r="K257" s="3">
        <v>24.57</v>
      </c>
      <c r="L257" t="s">
        <v>502</v>
      </c>
      <c r="N257" s="4">
        <f t="shared" si="3"/>
        <v>-0.32099999999999795</v>
      </c>
    </row>
    <row r="258" spans="2:14" x14ac:dyDescent="0.35">
      <c r="B258">
        <v>30893</v>
      </c>
      <c r="C258" t="s">
        <v>505</v>
      </c>
      <c r="D258" t="s">
        <v>1</v>
      </c>
      <c r="E258" t="s">
        <v>35</v>
      </c>
      <c r="F258" s="1">
        <v>24235</v>
      </c>
      <c r="G258" t="s">
        <v>475</v>
      </c>
      <c r="H258">
        <v>16</v>
      </c>
      <c r="I258" t="s">
        <v>30</v>
      </c>
      <c r="J258">
        <f>F258/1000</f>
        <v>24.234999999999999</v>
      </c>
      <c r="K258" s="3">
        <v>24.34</v>
      </c>
      <c r="L258" t="s">
        <v>502</v>
      </c>
      <c r="N258" s="4">
        <f t="shared" si="3"/>
        <v>0.10500000000000043</v>
      </c>
    </row>
    <row r="259" spans="2:14" x14ac:dyDescent="0.35">
      <c r="B259">
        <v>30894</v>
      </c>
      <c r="C259" t="s">
        <v>506</v>
      </c>
      <c r="D259" t="s">
        <v>1</v>
      </c>
      <c r="E259" t="s">
        <v>499</v>
      </c>
      <c r="F259" s="1">
        <v>24485</v>
      </c>
      <c r="G259" t="s">
        <v>136</v>
      </c>
      <c r="H259">
        <v>16</v>
      </c>
      <c r="I259" t="s">
        <v>30</v>
      </c>
      <c r="J259">
        <f>F259/1000</f>
        <v>24.484999999999999</v>
      </c>
      <c r="K259" s="3">
        <v>24.36</v>
      </c>
      <c r="L259" t="s">
        <v>502</v>
      </c>
      <c r="N259" s="4">
        <f t="shared" si="3"/>
        <v>-0.125</v>
      </c>
    </row>
    <row r="260" spans="2:14" x14ac:dyDescent="0.35">
      <c r="B260">
        <v>30895</v>
      </c>
      <c r="C260" t="s">
        <v>507</v>
      </c>
      <c r="D260" t="s">
        <v>1</v>
      </c>
      <c r="E260" t="s">
        <v>508</v>
      </c>
      <c r="F260" s="1">
        <v>23887</v>
      </c>
      <c r="G260" t="s">
        <v>187</v>
      </c>
      <c r="H260">
        <v>16</v>
      </c>
      <c r="I260" t="s">
        <v>30</v>
      </c>
      <c r="J260">
        <f>F260/1000</f>
        <v>23.887</v>
      </c>
      <c r="K260" s="3">
        <v>24.13</v>
      </c>
      <c r="L260" t="s">
        <v>509</v>
      </c>
      <c r="N260" s="4">
        <f t="shared" si="3"/>
        <v>0.24299999999999855</v>
      </c>
    </row>
    <row r="261" spans="2:14" x14ac:dyDescent="0.35">
      <c r="B261">
        <v>30896</v>
      </c>
      <c r="C261" t="s">
        <v>510</v>
      </c>
      <c r="D261" t="s">
        <v>1</v>
      </c>
      <c r="E261" t="s">
        <v>499</v>
      </c>
      <c r="F261" s="1">
        <v>24562</v>
      </c>
      <c r="G261" t="s">
        <v>53</v>
      </c>
      <c r="H261">
        <v>16</v>
      </c>
      <c r="I261" t="s">
        <v>30</v>
      </c>
      <c r="J261">
        <f>F261/1000</f>
        <v>24.562000000000001</v>
      </c>
      <c r="K261" s="3">
        <v>24.2</v>
      </c>
      <c r="L261" t="s">
        <v>509</v>
      </c>
      <c r="N261" s="4">
        <f t="shared" ref="N261:N324" si="4">K261-J261</f>
        <v>-0.36200000000000188</v>
      </c>
    </row>
    <row r="262" spans="2:14" x14ac:dyDescent="0.35">
      <c r="B262">
        <v>30897</v>
      </c>
      <c r="C262" t="s">
        <v>511</v>
      </c>
      <c r="D262" t="s">
        <v>1</v>
      </c>
      <c r="E262" t="s">
        <v>35</v>
      </c>
      <c r="F262" s="1">
        <v>24029</v>
      </c>
      <c r="G262" t="s">
        <v>500</v>
      </c>
      <c r="H262">
        <v>16</v>
      </c>
      <c r="I262" t="s">
        <v>30</v>
      </c>
      <c r="J262">
        <f>F262/1000</f>
        <v>24.029</v>
      </c>
      <c r="K262" s="3">
        <v>23.98</v>
      </c>
      <c r="L262" t="s">
        <v>512</v>
      </c>
      <c r="N262" s="4">
        <f t="shared" si="4"/>
        <v>-4.8999999999999488E-2</v>
      </c>
    </row>
    <row r="263" spans="2:14" x14ac:dyDescent="0.35">
      <c r="B263">
        <v>30898</v>
      </c>
      <c r="C263" t="s">
        <v>513</v>
      </c>
      <c r="D263" t="s">
        <v>1</v>
      </c>
      <c r="E263" t="s">
        <v>35</v>
      </c>
      <c r="F263" s="1">
        <v>24263</v>
      </c>
      <c r="G263" t="s">
        <v>136</v>
      </c>
      <c r="H263">
        <v>16</v>
      </c>
      <c r="I263" t="s">
        <v>30</v>
      </c>
      <c r="J263">
        <f>F263/1000</f>
        <v>24.263000000000002</v>
      </c>
      <c r="K263" s="3">
        <v>24.01</v>
      </c>
      <c r="L263" t="s">
        <v>512</v>
      </c>
      <c r="N263" s="4">
        <f t="shared" si="4"/>
        <v>-0.25300000000000011</v>
      </c>
    </row>
    <row r="264" spans="2:14" x14ac:dyDescent="0.35">
      <c r="B264">
        <v>30899</v>
      </c>
      <c r="C264" t="s">
        <v>514</v>
      </c>
      <c r="D264" t="s">
        <v>1</v>
      </c>
      <c r="E264" t="s">
        <v>499</v>
      </c>
      <c r="F264" s="1">
        <v>24410</v>
      </c>
      <c r="G264" t="s">
        <v>104</v>
      </c>
      <c r="H264">
        <v>16</v>
      </c>
      <c r="I264" t="s">
        <v>30</v>
      </c>
      <c r="J264">
        <f>F264/1000</f>
        <v>24.41</v>
      </c>
      <c r="K264" s="3">
        <v>24.03</v>
      </c>
      <c r="L264" t="s">
        <v>512</v>
      </c>
      <c r="N264" s="4">
        <f t="shared" si="4"/>
        <v>-0.37999999999999901</v>
      </c>
    </row>
    <row r="265" spans="2:14" x14ac:dyDescent="0.35">
      <c r="B265">
        <v>30900</v>
      </c>
      <c r="C265" t="s">
        <v>515</v>
      </c>
      <c r="D265" t="s">
        <v>1</v>
      </c>
      <c r="E265" t="s">
        <v>35</v>
      </c>
      <c r="F265" s="1">
        <v>24266</v>
      </c>
      <c r="G265" t="s">
        <v>194</v>
      </c>
      <c r="H265">
        <v>16</v>
      </c>
      <c r="I265" t="s">
        <v>30</v>
      </c>
      <c r="J265">
        <f>F265/1000</f>
        <v>24.265999999999998</v>
      </c>
      <c r="K265" s="3">
        <v>24</v>
      </c>
      <c r="L265" t="s">
        <v>512</v>
      </c>
      <c r="N265" s="4">
        <f t="shared" si="4"/>
        <v>-0.26599999999999824</v>
      </c>
    </row>
    <row r="266" spans="2:14" x14ac:dyDescent="0.35">
      <c r="B266">
        <v>30901</v>
      </c>
      <c r="C266" t="s">
        <v>516</v>
      </c>
      <c r="D266" t="s">
        <v>1</v>
      </c>
      <c r="E266" t="s">
        <v>35</v>
      </c>
      <c r="F266" s="1">
        <v>23955</v>
      </c>
      <c r="G266" t="s">
        <v>227</v>
      </c>
      <c r="H266">
        <v>16</v>
      </c>
      <c r="I266" t="s">
        <v>30</v>
      </c>
      <c r="J266">
        <f>F266/1000</f>
        <v>23.954999999999998</v>
      </c>
      <c r="K266" s="3">
        <v>23.93</v>
      </c>
      <c r="L266" t="s">
        <v>512</v>
      </c>
      <c r="N266" s="4">
        <f t="shared" si="4"/>
        <v>-2.4999999999998579E-2</v>
      </c>
    </row>
    <row r="267" spans="2:14" x14ac:dyDescent="0.35">
      <c r="B267">
        <v>30902</v>
      </c>
      <c r="C267" t="s">
        <v>517</v>
      </c>
      <c r="D267" t="s">
        <v>1</v>
      </c>
      <c r="E267" t="s">
        <v>508</v>
      </c>
      <c r="F267" s="1">
        <v>23746</v>
      </c>
      <c r="G267" t="s">
        <v>174</v>
      </c>
      <c r="H267">
        <v>16</v>
      </c>
      <c r="I267" t="s">
        <v>30</v>
      </c>
      <c r="J267">
        <f>F267/1000</f>
        <v>23.745999999999999</v>
      </c>
      <c r="K267" s="3">
        <v>23.71</v>
      </c>
      <c r="L267" t="s">
        <v>518</v>
      </c>
      <c r="N267" s="4">
        <f t="shared" si="4"/>
        <v>-3.5999999999997812E-2</v>
      </c>
    </row>
    <row r="268" spans="2:14" x14ac:dyDescent="0.35">
      <c r="B268">
        <v>30903</v>
      </c>
      <c r="C268" t="s">
        <v>519</v>
      </c>
      <c r="D268" t="s">
        <v>1</v>
      </c>
      <c r="E268" t="s">
        <v>35</v>
      </c>
      <c r="F268" s="1">
        <v>24198</v>
      </c>
      <c r="G268" t="s">
        <v>33</v>
      </c>
      <c r="H268">
        <v>16</v>
      </c>
      <c r="I268" t="s">
        <v>30</v>
      </c>
      <c r="J268">
        <f>F268/1000</f>
        <v>24.198</v>
      </c>
      <c r="K268" s="3">
        <v>23.73</v>
      </c>
      <c r="L268" t="s">
        <v>518</v>
      </c>
      <c r="N268" s="4">
        <f t="shared" si="4"/>
        <v>-0.46799999999999997</v>
      </c>
    </row>
    <row r="269" spans="2:14" x14ac:dyDescent="0.35">
      <c r="B269">
        <v>30904</v>
      </c>
      <c r="C269" t="s">
        <v>520</v>
      </c>
      <c r="D269" t="s">
        <v>1</v>
      </c>
      <c r="E269" t="s">
        <v>35</v>
      </c>
      <c r="F269" s="1">
        <v>24132</v>
      </c>
      <c r="G269" t="s">
        <v>325</v>
      </c>
      <c r="H269">
        <v>16</v>
      </c>
      <c r="I269" t="s">
        <v>30</v>
      </c>
      <c r="J269">
        <f>F269/1000</f>
        <v>24.132000000000001</v>
      </c>
      <c r="K269" s="3">
        <v>23.82</v>
      </c>
      <c r="L269" t="s">
        <v>518</v>
      </c>
      <c r="N269" s="4">
        <f t="shared" si="4"/>
        <v>-0.31200000000000117</v>
      </c>
    </row>
    <row r="270" spans="2:14" x14ac:dyDescent="0.35">
      <c r="B270">
        <v>30905</v>
      </c>
      <c r="C270" t="s">
        <v>521</v>
      </c>
      <c r="D270" t="s">
        <v>1</v>
      </c>
      <c r="E270" t="s">
        <v>508</v>
      </c>
      <c r="F270" s="1">
        <v>23619</v>
      </c>
      <c r="G270" t="s">
        <v>522</v>
      </c>
      <c r="H270">
        <v>16</v>
      </c>
      <c r="I270" t="s">
        <v>30</v>
      </c>
      <c r="J270">
        <f>F270/1000</f>
        <v>23.619</v>
      </c>
      <c r="K270" s="3">
        <v>23.66</v>
      </c>
      <c r="L270" t="s">
        <v>518</v>
      </c>
      <c r="N270" s="4">
        <f t="shared" si="4"/>
        <v>4.1000000000000369E-2</v>
      </c>
    </row>
    <row r="271" spans="2:14" x14ac:dyDescent="0.35">
      <c r="B271">
        <v>30906</v>
      </c>
      <c r="C271" t="s">
        <v>523</v>
      </c>
      <c r="D271" t="s">
        <v>1</v>
      </c>
      <c r="E271" t="s">
        <v>35</v>
      </c>
      <c r="F271" s="1">
        <v>24006</v>
      </c>
      <c r="G271" t="s">
        <v>311</v>
      </c>
      <c r="H271">
        <v>16</v>
      </c>
      <c r="I271" t="s">
        <v>30</v>
      </c>
      <c r="J271">
        <f>F271/1000</f>
        <v>24.006</v>
      </c>
      <c r="K271" s="3">
        <v>23.68</v>
      </c>
      <c r="L271" t="s">
        <v>518</v>
      </c>
      <c r="N271" s="4">
        <f t="shared" si="4"/>
        <v>-0.32600000000000051</v>
      </c>
    </row>
    <row r="272" spans="2:14" x14ac:dyDescent="0.35">
      <c r="B272">
        <v>30907</v>
      </c>
      <c r="C272" t="s">
        <v>524</v>
      </c>
      <c r="D272" t="s">
        <v>1</v>
      </c>
      <c r="E272" t="s">
        <v>508</v>
      </c>
      <c r="F272" s="1">
        <v>23890</v>
      </c>
      <c r="G272" t="s">
        <v>198</v>
      </c>
      <c r="H272">
        <v>16</v>
      </c>
      <c r="I272" t="s">
        <v>30</v>
      </c>
      <c r="J272">
        <f>F272/1000</f>
        <v>23.89</v>
      </c>
      <c r="K272" s="3">
        <v>23.55</v>
      </c>
      <c r="L272" t="s">
        <v>525</v>
      </c>
      <c r="N272" s="4">
        <f t="shared" si="4"/>
        <v>-0.33999999999999986</v>
      </c>
    </row>
    <row r="273" spans="1:14" x14ac:dyDescent="0.35">
      <c r="B273">
        <v>30908</v>
      </c>
      <c r="C273" t="s">
        <v>526</v>
      </c>
      <c r="D273" t="s">
        <v>1</v>
      </c>
      <c r="E273" t="s">
        <v>508</v>
      </c>
      <c r="F273" s="1">
        <v>23619</v>
      </c>
      <c r="G273" t="s">
        <v>234</v>
      </c>
      <c r="H273">
        <v>16</v>
      </c>
      <c r="I273" t="s">
        <v>30</v>
      </c>
      <c r="J273">
        <f>F273/1000</f>
        <v>23.619</v>
      </c>
      <c r="K273" s="3">
        <v>23.54</v>
      </c>
      <c r="L273" t="s">
        <v>525</v>
      </c>
      <c r="N273" s="4">
        <f t="shared" si="4"/>
        <v>-7.9000000000000625E-2</v>
      </c>
    </row>
    <row r="274" spans="1:14" x14ac:dyDescent="0.35">
      <c r="B274">
        <v>30909</v>
      </c>
      <c r="C274" t="s">
        <v>527</v>
      </c>
      <c r="D274" t="s">
        <v>1</v>
      </c>
      <c r="E274" t="s">
        <v>508</v>
      </c>
      <c r="F274" s="1">
        <v>23835</v>
      </c>
      <c r="G274" t="s">
        <v>139</v>
      </c>
      <c r="H274">
        <v>16</v>
      </c>
      <c r="I274" t="s">
        <v>30</v>
      </c>
      <c r="J274">
        <f>F274/1000</f>
        <v>23.835000000000001</v>
      </c>
      <c r="K274" s="3">
        <v>23.52</v>
      </c>
      <c r="L274" t="s">
        <v>525</v>
      </c>
      <c r="N274" s="4">
        <f t="shared" si="4"/>
        <v>-0.31500000000000128</v>
      </c>
    </row>
    <row r="275" spans="1:14" x14ac:dyDescent="0.35">
      <c r="A275" s="8"/>
      <c r="B275" s="8">
        <v>30910</v>
      </c>
      <c r="C275" s="8" t="s">
        <v>528</v>
      </c>
      <c r="D275" s="8" t="s">
        <v>1</v>
      </c>
      <c r="E275" s="8" t="s">
        <v>35</v>
      </c>
      <c r="F275" s="9">
        <v>24174</v>
      </c>
      <c r="G275" s="8" t="s">
        <v>124</v>
      </c>
      <c r="H275" s="8">
        <v>16</v>
      </c>
      <c r="I275" s="8" t="s">
        <v>30</v>
      </c>
      <c r="J275" s="8">
        <f>F275/1000</f>
        <v>24.173999999999999</v>
      </c>
      <c r="K275" s="10">
        <v>23.59</v>
      </c>
      <c r="L275" s="8" t="s">
        <v>525</v>
      </c>
      <c r="M275" s="8"/>
      <c r="N275" s="4">
        <f t="shared" si="4"/>
        <v>-0.58399999999999963</v>
      </c>
    </row>
    <row r="276" spans="1:14" x14ac:dyDescent="0.35">
      <c r="B276">
        <v>30911</v>
      </c>
      <c r="C276" t="s">
        <v>529</v>
      </c>
      <c r="D276" t="s">
        <v>1</v>
      </c>
      <c r="E276" t="s">
        <v>35</v>
      </c>
      <c r="F276" s="1">
        <v>24226</v>
      </c>
      <c r="G276" t="s">
        <v>241</v>
      </c>
      <c r="H276">
        <v>16</v>
      </c>
      <c r="I276" t="s">
        <v>30</v>
      </c>
      <c r="J276">
        <f>F276/1000</f>
        <v>24.225999999999999</v>
      </c>
      <c r="K276" s="3">
        <v>23.8</v>
      </c>
      <c r="L276" t="s">
        <v>525</v>
      </c>
      <c r="N276" s="4">
        <f t="shared" si="4"/>
        <v>-0.42599999999999838</v>
      </c>
    </row>
    <row r="277" spans="1:14" x14ac:dyDescent="0.35">
      <c r="A277" s="8"/>
      <c r="B277" s="8">
        <v>30912</v>
      </c>
      <c r="C277" s="8" t="s">
        <v>530</v>
      </c>
      <c r="D277" s="8" t="s">
        <v>1</v>
      </c>
      <c r="E277" s="8" t="s">
        <v>499</v>
      </c>
      <c r="F277" s="9">
        <v>24566</v>
      </c>
      <c r="G277" s="8" t="s">
        <v>124</v>
      </c>
      <c r="H277" s="8">
        <v>16</v>
      </c>
      <c r="I277" s="8" t="s">
        <v>30</v>
      </c>
      <c r="J277" s="8">
        <f>F277/1000</f>
        <v>24.565999999999999</v>
      </c>
      <c r="K277" s="10">
        <v>23.98</v>
      </c>
      <c r="L277" s="8" t="s">
        <v>525</v>
      </c>
      <c r="M277" s="8"/>
      <c r="N277" s="4">
        <f t="shared" si="4"/>
        <v>-0.58599999999999852</v>
      </c>
    </row>
    <row r="278" spans="1:14" x14ac:dyDescent="0.35">
      <c r="B278">
        <v>30913</v>
      </c>
      <c r="C278" t="s">
        <v>531</v>
      </c>
      <c r="D278" t="s">
        <v>1</v>
      </c>
      <c r="E278" t="s">
        <v>499</v>
      </c>
      <c r="F278" s="1">
        <v>24566</v>
      </c>
      <c r="G278" t="s">
        <v>100</v>
      </c>
      <c r="H278">
        <v>16</v>
      </c>
      <c r="I278" t="s">
        <v>30</v>
      </c>
      <c r="J278">
        <f>F278/1000</f>
        <v>24.565999999999999</v>
      </c>
      <c r="K278" s="3">
        <v>24.1</v>
      </c>
      <c r="L278" t="s">
        <v>532</v>
      </c>
      <c r="N278" s="4">
        <f t="shared" si="4"/>
        <v>-0.46599999999999753</v>
      </c>
    </row>
    <row r="279" spans="1:14" x14ac:dyDescent="0.35">
      <c r="B279">
        <v>30914</v>
      </c>
      <c r="C279" t="s">
        <v>533</v>
      </c>
      <c r="D279" t="s">
        <v>1</v>
      </c>
      <c r="E279" t="s">
        <v>35</v>
      </c>
      <c r="F279" s="1">
        <v>24125</v>
      </c>
      <c r="G279" t="s">
        <v>534</v>
      </c>
      <c r="H279">
        <v>16</v>
      </c>
      <c r="I279" t="s">
        <v>30</v>
      </c>
      <c r="J279">
        <f>F279/1000</f>
        <v>24.125</v>
      </c>
      <c r="K279" s="3">
        <v>24.08</v>
      </c>
      <c r="L279" t="s">
        <v>525</v>
      </c>
      <c r="N279" s="4">
        <f t="shared" si="4"/>
        <v>-4.5000000000001705E-2</v>
      </c>
    </row>
    <row r="280" spans="1:14" x14ac:dyDescent="0.35">
      <c r="A280" s="8"/>
      <c r="B280" s="8">
        <v>30915</v>
      </c>
      <c r="C280" s="8" t="s">
        <v>535</v>
      </c>
      <c r="D280" s="8" t="s">
        <v>1</v>
      </c>
      <c r="E280" s="8" t="s">
        <v>495</v>
      </c>
      <c r="F280" s="9">
        <v>24865</v>
      </c>
      <c r="G280" s="8" t="s">
        <v>536</v>
      </c>
      <c r="H280" s="8">
        <v>16</v>
      </c>
      <c r="I280" s="8" t="s">
        <v>30</v>
      </c>
      <c r="J280" s="8">
        <f>F280/1000</f>
        <v>24.864999999999998</v>
      </c>
      <c r="K280" s="10">
        <v>24.16</v>
      </c>
      <c r="L280" s="8" t="s">
        <v>532</v>
      </c>
      <c r="M280" s="8"/>
      <c r="N280" s="4">
        <f t="shared" si="4"/>
        <v>-0.70499999999999829</v>
      </c>
    </row>
    <row r="281" spans="1:14" x14ac:dyDescent="0.35">
      <c r="A281" s="8"/>
      <c r="B281" s="8">
        <v>30916</v>
      </c>
      <c r="C281" s="8" t="s">
        <v>537</v>
      </c>
      <c r="D281" s="8" t="s">
        <v>1</v>
      </c>
      <c r="E281" s="8" t="s">
        <v>495</v>
      </c>
      <c r="F281" s="9">
        <v>24821</v>
      </c>
      <c r="G281" s="8" t="s">
        <v>150</v>
      </c>
      <c r="H281" s="8">
        <v>16</v>
      </c>
      <c r="I281" s="8" t="s">
        <v>30</v>
      </c>
      <c r="J281" s="8">
        <f>F281/1000</f>
        <v>24.821000000000002</v>
      </c>
      <c r="K281" s="10">
        <v>24.31</v>
      </c>
      <c r="L281" s="8" t="s">
        <v>532</v>
      </c>
      <c r="M281" s="8"/>
      <c r="N281" s="4">
        <f t="shared" si="4"/>
        <v>-0.51100000000000279</v>
      </c>
    </row>
    <row r="282" spans="1:14" x14ac:dyDescent="0.35">
      <c r="B282">
        <v>30917</v>
      </c>
      <c r="C282" t="s">
        <v>538</v>
      </c>
      <c r="D282" t="s">
        <v>1</v>
      </c>
      <c r="E282" t="s">
        <v>499</v>
      </c>
      <c r="F282" s="1">
        <v>24385</v>
      </c>
      <c r="G282" t="s">
        <v>534</v>
      </c>
      <c r="H282">
        <v>16</v>
      </c>
      <c r="I282" t="s">
        <v>30</v>
      </c>
      <c r="J282">
        <f>F282/1000</f>
        <v>24.385000000000002</v>
      </c>
      <c r="K282" s="3">
        <v>24.29</v>
      </c>
      <c r="L282" t="s">
        <v>532</v>
      </c>
      <c r="N282" s="4">
        <f t="shared" si="4"/>
        <v>-9.5000000000002416E-2</v>
      </c>
    </row>
    <row r="283" spans="1:14" x14ac:dyDescent="0.35">
      <c r="B283">
        <v>30918</v>
      </c>
      <c r="C283" t="s">
        <v>539</v>
      </c>
      <c r="D283" t="s">
        <v>1</v>
      </c>
      <c r="E283" t="s">
        <v>495</v>
      </c>
      <c r="F283" s="1">
        <v>24780</v>
      </c>
      <c r="G283" t="s">
        <v>311</v>
      </c>
      <c r="H283">
        <v>16</v>
      </c>
      <c r="I283" t="s">
        <v>30</v>
      </c>
      <c r="J283">
        <f>F283/1000</f>
        <v>24.78</v>
      </c>
      <c r="K283" s="3">
        <v>24.41</v>
      </c>
      <c r="L283" t="s">
        <v>532</v>
      </c>
      <c r="N283" s="4">
        <f t="shared" si="4"/>
        <v>-0.37000000000000099</v>
      </c>
    </row>
    <row r="284" spans="1:14" x14ac:dyDescent="0.35">
      <c r="A284" s="8"/>
      <c r="B284" s="8">
        <v>30919</v>
      </c>
      <c r="C284" s="8" t="s">
        <v>540</v>
      </c>
      <c r="D284" s="8" t="s">
        <v>1</v>
      </c>
      <c r="E284" s="8" t="s">
        <v>37</v>
      </c>
      <c r="F284" s="9">
        <v>25176</v>
      </c>
      <c r="G284" s="8" t="s">
        <v>311</v>
      </c>
      <c r="H284" s="8">
        <v>16</v>
      </c>
      <c r="I284" s="8" t="s">
        <v>30</v>
      </c>
      <c r="J284" s="8">
        <f>F284/1000</f>
        <v>25.175999999999998</v>
      </c>
      <c r="K284" s="10">
        <v>24.59</v>
      </c>
      <c r="L284" s="8" t="s">
        <v>532</v>
      </c>
      <c r="M284" s="8"/>
      <c r="N284" s="4">
        <f t="shared" si="4"/>
        <v>-0.58599999999999852</v>
      </c>
    </row>
    <row r="285" spans="1:14" x14ac:dyDescent="0.35">
      <c r="B285">
        <v>30920</v>
      </c>
      <c r="C285" t="s">
        <v>541</v>
      </c>
      <c r="D285" t="s">
        <v>1</v>
      </c>
      <c r="E285" t="s">
        <v>37</v>
      </c>
      <c r="F285" s="1">
        <v>25068</v>
      </c>
      <c r="G285" t="s">
        <v>198</v>
      </c>
      <c r="H285">
        <v>16</v>
      </c>
      <c r="I285" t="s">
        <v>30</v>
      </c>
      <c r="J285">
        <f>F285/1000</f>
        <v>25.068000000000001</v>
      </c>
      <c r="K285" s="3">
        <v>24.67</v>
      </c>
      <c r="L285" t="s">
        <v>532</v>
      </c>
      <c r="N285" s="4">
        <f t="shared" si="4"/>
        <v>-0.39799999999999969</v>
      </c>
    </row>
    <row r="286" spans="1:14" x14ac:dyDescent="0.35">
      <c r="B286">
        <v>30921</v>
      </c>
      <c r="C286" t="s">
        <v>542</v>
      </c>
      <c r="D286" t="s">
        <v>1</v>
      </c>
      <c r="E286" t="s">
        <v>37</v>
      </c>
      <c r="F286" s="1">
        <v>25068</v>
      </c>
      <c r="G286" t="s">
        <v>100</v>
      </c>
      <c r="H286">
        <v>16</v>
      </c>
      <c r="I286" t="s">
        <v>30</v>
      </c>
      <c r="J286">
        <f>F286/1000</f>
        <v>25.068000000000001</v>
      </c>
      <c r="K286" s="3">
        <v>24.77</v>
      </c>
      <c r="L286" t="s">
        <v>532</v>
      </c>
      <c r="N286" s="4">
        <f t="shared" si="4"/>
        <v>-0.29800000000000182</v>
      </c>
    </row>
    <row r="287" spans="1:14" x14ac:dyDescent="0.35">
      <c r="B287">
        <v>30922</v>
      </c>
      <c r="C287" t="s">
        <v>543</v>
      </c>
      <c r="D287" t="s">
        <v>1</v>
      </c>
      <c r="E287" t="s">
        <v>37</v>
      </c>
      <c r="F287" s="1">
        <v>25037</v>
      </c>
      <c r="G287" t="s">
        <v>150</v>
      </c>
      <c r="H287">
        <v>16</v>
      </c>
      <c r="I287" t="s">
        <v>30</v>
      </c>
      <c r="J287">
        <f>F287/1000</f>
        <v>25.036999999999999</v>
      </c>
      <c r="K287" s="3">
        <v>24.9</v>
      </c>
      <c r="L287" t="s">
        <v>532</v>
      </c>
      <c r="N287" s="4">
        <f t="shared" si="4"/>
        <v>-0.13700000000000045</v>
      </c>
    </row>
    <row r="288" spans="1:14" x14ac:dyDescent="0.35">
      <c r="B288">
        <v>30923</v>
      </c>
      <c r="C288" t="s">
        <v>544</v>
      </c>
      <c r="D288" t="s">
        <v>1</v>
      </c>
      <c r="E288" t="s">
        <v>37</v>
      </c>
      <c r="F288" s="1">
        <v>25037</v>
      </c>
      <c r="G288" t="s">
        <v>545</v>
      </c>
      <c r="H288">
        <v>16</v>
      </c>
      <c r="I288" t="s">
        <v>30</v>
      </c>
      <c r="J288">
        <f>F288/1000</f>
        <v>25.036999999999999</v>
      </c>
      <c r="K288" s="3">
        <v>24.95</v>
      </c>
      <c r="L288" t="s">
        <v>532</v>
      </c>
      <c r="N288" s="4">
        <f t="shared" si="4"/>
        <v>-8.6999999999999744E-2</v>
      </c>
    </row>
    <row r="289" spans="1:14" x14ac:dyDescent="0.35">
      <c r="B289">
        <v>30924</v>
      </c>
      <c r="C289" t="s">
        <v>546</v>
      </c>
      <c r="D289" t="s">
        <v>1</v>
      </c>
      <c r="E289" t="s">
        <v>493</v>
      </c>
      <c r="F289" s="1">
        <v>25405</v>
      </c>
      <c r="G289" t="s">
        <v>12</v>
      </c>
      <c r="H289">
        <v>16</v>
      </c>
      <c r="I289" t="s">
        <v>30</v>
      </c>
      <c r="J289">
        <f>F289/1000</f>
        <v>25.405000000000001</v>
      </c>
      <c r="K289" s="3">
        <v>25.03</v>
      </c>
      <c r="L289" t="s">
        <v>532</v>
      </c>
      <c r="N289" s="4">
        <f t="shared" si="4"/>
        <v>-0.375</v>
      </c>
    </row>
    <row r="290" spans="1:14" x14ac:dyDescent="0.35">
      <c r="B290">
        <v>30925</v>
      </c>
      <c r="C290" t="s">
        <v>547</v>
      </c>
      <c r="D290" t="s">
        <v>1</v>
      </c>
      <c r="E290" t="s">
        <v>493</v>
      </c>
      <c r="F290" s="1">
        <v>25405</v>
      </c>
      <c r="G290" t="s">
        <v>100</v>
      </c>
      <c r="H290">
        <v>15</v>
      </c>
      <c r="I290" t="s">
        <v>30</v>
      </c>
      <c r="J290">
        <f>F290/1000</f>
        <v>25.405000000000001</v>
      </c>
      <c r="K290" s="3">
        <v>25.11</v>
      </c>
      <c r="L290" t="s">
        <v>532</v>
      </c>
      <c r="N290" s="4">
        <f t="shared" si="4"/>
        <v>-0.29500000000000171</v>
      </c>
    </row>
    <row r="291" spans="1:14" x14ac:dyDescent="0.35">
      <c r="B291">
        <v>30926</v>
      </c>
      <c r="C291" t="s">
        <v>548</v>
      </c>
      <c r="D291" t="s">
        <v>1</v>
      </c>
      <c r="E291" t="s">
        <v>495</v>
      </c>
      <c r="F291" s="1">
        <v>24956</v>
      </c>
      <c r="G291" t="s">
        <v>534</v>
      </c>
      <c r="H291">
        <v>15</v>
      </c>
      <c r="I291" t="s">
        <v>30</v>
      </c>
      <c r="J291">
        <f>F291/1000</f>
        <v>24.956</v>
      </c>
      <c r="K291" s="3">
        <v>25.15</v>
      </c>
      <c r="L291" t="s">
        <v>525</v>
      </c>
      <c r="N291" s="4">
        <f t="shared" si="4"/>
        <v>0.19399999999999906</v>
      </c>
    </row>
    <row r="292" spans="1:14" x14ac:dyDescent="0.35">
      <c r="A292" s="8"/>
      <c r="B292" s="8">
        <v>30927</v>
      </c>
      <c r="C292" s="8" t="s">
        <v>549</v>
      </c>
      <c r="D292" s="8" t="s">
        <v>1</v>
      </c>
      <c r="E292" s="8" t="s">
        <v>491</v>
      </c>
      <c r="F292" s="9">
        <v>25778</v>
      </c>
      <c r="G292" s="8" t="s">
        <v>18</v>
      </c>
      <c r="H292" s="8">
        <v>15</v>
      </c>
      <c r="I292" s="8" t="s">
        <v>30</v>
      </c>
      <c r="J292" s="8">
        <f>F292/1000</f>
        <v>25.777999999999999</v>
      </c>
      <c r="K292" s="10">
        <v>25.21</v>
      </c>
      <c r="L292" s="8" t="s">
        <v>532</v>
      </c>
      <c r="M292" s="8"/>
      <c r="N292" s="4">
        <f t="shared" si="4"/>
        <v>-0.56799999999999784</v>
      </c>
    </row>
    <row r="293" spans="1:14" x14ac:dyDescent="0.35">
      <c r="B293">
        <v>30928</v>
      </c>
      <c r="C293" t="s">
        <v>550</v>
      </c>
      <c r="D293" t="s">
        <v>1</v>
      </c>
      <c r="E293" t="s">
        <v>37</v>
      </c>
      <c r="F293" s="1">
        <v>25379</v>
      </c>
      <c r="G293" t="s">
        <v>551</v>
      </c>
      <c r="H293">
        <v>16</v>
      </c>
      <c r="I293" t="s">
        <v>30</v>
      </c>
      <c r="J293">
        <f>F293/1000</f>
        <v>25.379000000000001</v>
      </c>
      <c r="K293" s="3">
        <v>25.34</v>
      </c>
      <c r="L293" t="s">
        <v>532</v>
      </c>
      <c r="N293" s="4">
        <f t="shared" si="4"/>
        <v>-3.9000000000001478E-2</v>
      </c>
    </row>
    <row r="294" spans="1:14" x14ac:dyDescent="0.35">
      <c r="B294">
        <v>30929</v>
      </c>
      <c r="C294" t="s">
        <v>552</v>
      </c>
      <c r="D294" t="s">
        <v>1</v>
      </c>
      <c r="E294" t="s">
        <v>37</v>
      </c>
      <c r="F294" s="1">
        <v>25333</v>
      </c>
      <c r="G294" t="s">
        <v>150</v>
      </c>
      <c r="H294">
        <v>16</v>
      </c>
      <c r="I294" t="s">
        <v>30</v>
      </c>
      <c r="J294">
        <f>F294/1000</f>
        <v>25.332999999999998</v>
      </c>
      <c r="K294" s="3">
        <v>25.21</v>
      </c>
      <c r="L294" t="s">
        <v>532</v>
      </c>
      <c r="N294" s="4">
        <f t="shared" si="4"/>
        <v>-0.12299999999999756</v>
      </c>
    </row>
    <row r="295" spans="1:14" x14ac:dyDescent="0.35">
      <c r="B295">
        <v>30930</v>
      </c>
      <c r="C295" t="s">
        <v>553</v>
      </c>
      <c r="D295" t="s">
        <v>1</v>
      </c>
      <c r="E295" t="s">
        <v>493</v>
      </c>
      <c r="F295" s="1">
        <v>25732</v>
      </c>
      <c r="G295" t="s">
        <v>311</v>
      </c>
      <c r="H295">
        <v>15</v>
      </c>
      <c r="I295" t="s">
        <v>30</v>
      </c>
      <c r="J295">
        <f>F295/1000</f>
        <v>25.731999999999999</v>
      </c>
      <c r="K295" s="3">
        <v>25.44</v>
      </c>
      <c r="L295" t="s">
        <v>532</v>
      </c>
      <c r="N295" s="4">
        <f t="shared" si="4"/>
        <v>-0.29199999999999804</v>
      </c>
    </row>
    <row r="296" spans="1:14" x14ac:dyDescent="0.35">
      <c r="B296">
        <v>30931</v>
      </c>
      <c r="C296" t="s">
        <v>554</v>
      </c>
      <c r="D296" t="s">
        <v>1</v>
      </c>
      <c r="E296" t="s">
        <v>493</v>
      </c>
      <c r="F296" s="1">
        <v>25696</v>
      </c>
      <c r="G296" t="s">
        <v>150</v>
      </c>
      <c r="H296">
        <v>15</v>
      </c>
      <c r="I296" t="s">
        <v>30</v>
      </c>
      <c r="J296">
        <f>F296/1000</f>
        <v>25.696000000000002</v>
      </c>
      <c r="K296" s="3">
        <v>25.4</v>
      </c>
      <c r="L296" t="s">
        <v>532</v>
      </c>
      <c r="N296" s="4">
        <f t="shared" si="4"/>
        <v>-0.29600000000000293</v>
      </c>
    </row>
    <row r="297" spans="1:14" x14ac:dyDescent="0.35">
      <c r="B297">
        <v>30932</v>
      </c>
      <c r="C297" t="s">
        <v>555</v>
      </c>
      <c r="D297" t="s">
        <v>1</v>
      </c>
      <c r="E297" t="s">
        <v>37</v>
      </c>
      <c r="F297" s="1">
        <v>25297</v>
      </c>
      <c r="G297" t="s">
        <v>551</v>
      </c>
      <c r="H297">
        <v>16</v>
      </c>
      <c r="I297" t="s">
        <v>30</v>
      </c>
      <c r="J297">
        <f>F297/1000</f>
        <v>25.297000000000001</v>
      </c>
      <c r="K297" s="3">
        <v>25.36</v>
      </c>
      <c r="L297" t="s">
        <v>556</v>
      </c>
      <c r="N297" s="4">
        <f t="shared" si="4"/>
        <v>6.2999999999998835E-2</v>
      </c>
    </row>
    <row r="298" spans="1:14" x14ac:dyDescent="0.35">
      <c r="B298">
        <v>30933</v>
      </c>
      <c r="C298" t="s">
        <v>557</v>
      </c>
      <c r="D298" t="s">
        <v>1</v>
      </c>
      <c r="E298" t="s">
        <v>37</v>
      </c>
      <c r="F298" s="1">
        <v>25333</v>
      </c>
      <c r="G298" t="s">
        <v>241</v>
      </c>
      <c r="H298">
        <v>16</v>
      </c>
      <c r="I298" t="s">
        <v>30</v>
      </c>
      <c r="J298">
        <f>F298/1000</f>
        <v>25.332999999999998</v>
      </c>
      <c r="K298" s="3">
        <v>25.38</v>
      </c>
      <c r="L298" t="s">
        <v>556</v>
      </c>
      <c r="N298" s="4">
        <f t="shared" si="4"/>
        <v>4.7000000000000597E-2</v>
      </c>
    </row>
    <row r="299" spans="1:14" x14ac:dyDescent="0.35">
      <c r="B299">
        <v>30934</v>
      </c>
      <c r="C299" t="s">
        <v>558</v>
      </c>
      <c r="D299" t="s">
        <v>1</v>
      </c>
      <c r="E299" t="s">
        <v>37</v>
      </c>
      <c r="F299" s="1">
        <v>25314</v>
      </c>
      <c r="G299" t="s">
        <v>150</v>
      </c>
      <c r="H299">
        <v>16</v>
      </c>
      <c r="I299" t="s">
        <v>30</v>
      </c>
      <c r="J299">
        <f>F299/1000</f>
        <v>25.314</v>
      </c>
      <c r="K299" s="3">
        <v>25.26</v>
      </c>
      <c r="L299" t="s">
        <v>556</v>
      </c>
      <c r="N299" s="4">
        <f t="shared" si="4"/>
        <v>-5.3999999999998494E-2</v>
      </c>
    </row>
    <row r="300" spans="1:14" x14ac:dyDescent="0.35">
      <c r="B300">
        <v>30935</v>
      </c>
      <c r="C300" t="s">
        <v>559</v>
      </c>
      <c r="D300" t="s">
        <v>1</v>
      </c>
      <c r="E300" t="s">
        <v>37</v>
      </c>
      <c r="F300" s="1">
        <v>25251</v>
      </c>
      <c r="G300" t="s">
        <v>325</v>
      </c>
      <c r="H300">
        <v>16</v>
      </c>
      <c r="I300" t="s">
        <v>30</v>
      </c>
      <c r="J300">
        <f>F300/1000</f>
        <v>25.251000000000001</v>
      </c>
      <c r="K300" s="3">
        <v>25.32</v>
      </c>
      <c r="L300" t="s">
        <v>556</v>
      </c>
      <c r="N300" s="4">
        <f t="shared" si="4"/>
        <v>6.8999999999999062E-2</v>
      </c>
    </row>
    <row r="301" spans="1:14" x14ac:dyDescent="0.35">
      <c r="B301">
        <v>30936</v>
      </c>
      <c r="C301" t="s">
        <v>560</v>
      </c>
      <c r="D301" t="s">
        <v>1</v>
      </c>
      <c r="E301" t="s">
        <v>495</v>
      </c>
      <c r="F301" s="1">
        <v>24914</v>
      </c>
      <c r="G301" t="s">
        <v>227</v>
      </c>
      <c r="H301">
        <v>16</v>
      </c>
      <c r="I301" t="s">
        <v>30</v>
      </c>
      <c r="J301">
        <f>F301/1000</f>
        <v>24.914000000000001</v>
      </c>
      <c r="K301" s="3">
        <v>25.19</v>
      </c>
      <c r="L301" t="s">
        <v>556</v>
      </c>
      <c r="N301" s="4">
        <f t="shared" si="4"/>
        <v>0.2759999999999998</v>
      </c>
    </row>
    <row r="302" spans="1:14" x14ac:dyDescent="0.35">
      <c r="B302">
        <v>30937</v>
      </c>
      <c r="C302" t="s">
        <v>561</v>
      </c>
      <c r="D302" t="s">
        <v>1</v>
      </c>
      <c r="E302" t="s">
        <v>493</v>
      </c>
      <c r="F302" s="1">
        <v>25682</v>
      </c>
      <c r="G302" t="s">
        <v>536</v>
      </c>
      <c r="H302">
        <v>16</v>
      </c>
      <c r="I302" t="s">
        <v>30</v>
      </c>
      <c r="J302">
        <f>F302/1000</f>
        <v>25.681999999999999</v>
      </c>
      <c r="K302" s="3">
        <v>25.41</v>
      </c>
      <c r="L302" t="s">
        <v>556</v>
      </c>
      <c r="N302" s="4">
        <f t="shared" si="4"/>
        <v>-0.27199999999999847</v>
      </c>
    </row>
    <row r="303" spans="1:14" x14ac:dyDescent="0.35">
      <c r="B303">
        <v>30938</v>
      </c>
      <c r="C303" t="s">
        <v>562</v>
      </c>
      <c r="D303" t="s">
        <v>1</v>
      </c>
      <c r="E303" t="s">
        <v>493</v>
      </c>
      <c r="F303" s="1">
        <v>25669</v>
      </c>
      <c r="G303" t="s">
        <v>545</v>
      </c>
      <c r="H303">
        <v>16</v>
      </c>
      <c r="I303" t="s">
        <v>30</v>
      </c>
      <c r="J303">
        <f>F303/1000</f>
        <v>25.669</v>
      </c>
      <c r="K303" s="3">
        <v>25.43</v>
      </c>
      <c r="L303" t="s">
        <v>563</v>
      </c>
      <c r="N303" s="4">
        <f t="shared" si="4"/>
        <v>-0.23900000000000077</v>
      </c>
    </row>
    <row r="304" spans="1:14" x14ac:dyDescent="0.35">
      <c r="B304">
        <v>30939</v>
      </c>
      <c r="C304" t="s">
        <v>564</v>
      </c>
      <c r="D304" t="s">
        <v>1</v>
      </c>
      <c r="E304" t="s">
        <v>37</v>
      </c>
      <c r="F304" s="1">
        <v>25282</v>
      </c>
      <c r="G304" t="s">
        <v>551</v>
      </c>
      <c r="H304">
        <v>16</v>
      </c>
      <c r="I304" t="s">
        <v>30</v>
      </c>
      <c r="J304">
        <f>F304/1000</f>
        <v>25.282</v>
      </c>
      <c r="K304" s="3">
        <v>25.38</v>
      </c>
      <c r="L304" t="s">
        <v>563</v>
      </c>
      <c r="N304" s="4">
        <f t="shared" si="4"/>
        <v>9.7999999999998977E-2</v>
      </c>
    </row>
    <row r="305" spans="1:14" x14ac:dyDescent="0.35">
      <c r="B305">
        <v>30940</v>
      </c>
      <c r="C305" t="s">
        <v>565</v>
      </c>
      <c r="D305" t="s">
        <v>1</v>
      </c>
      <c r="E305" t="s">
        <v>37</v>
      </c>
      <c r="F305" s="1">
        <v>25251</v>
      </c>
      <c r="G305" t="s">
        <v>150</v>
      </c>
      <c r="H305">
        <v>16</v>
      </c>
      <c r="I305" t="s">
        <v>30</v>
      </c>
      <c r="J305">
        <f>F305/1000</f>
        <v>25.251000000000001</v>
      </c>
      <c r="K305" s="3">
        <v>25.24</v>
      </c>
      <c r="L305" t="s">
        <v>566</v>
      </c>
      <c r="N305" s="4">
        <f t="shared" si="4"/>
        <v>-1.1000000000002785E-2</v>
      </c>
    </row>
    <row r="306" spans="1:14" x14ac:dyDescent="0.35">
      <c r="B306">
        <v>30941</v>
      </c>
      <c r="C306" t="s">
        <v>567</v>
      </c>
      <c r="D306" t="s">
        <v>1</v>
      </c>
      <c r="E306" t="s">
        <v>495</v>
      </c>
      <c r="F306" s="1">
        <v>24882</v>
      </c>
      <c r="G306" t="s">
        <v>340</v>
      </c>
      <c r="H306">
        <v>16</v>
      </c>
      <c r="I306" t="s">
        <v>30</v>
      </c>
      <c r="J306">
        <f>F306/1000</f>
        <v>24.882000000000001</v>
      </c>
      <c r="K306" s="3">
        <v>25.13</v>
      </c>
      <c r="L306" t="s">
        <v>566</v>
      </c>
      <c r="N306" s="4">
        <f t="shared" si="4"/>
        <v>0.24799999999999756</v>
      </c>
    </row>
    <row r="307" spans="1:14" x14ac:dyDescent="0.35">
      <c r="B307">
        <v>30942</v>
      </c>
      <c r="C307" t="s">
        <v>568</v>
      </c>
      <c r="D307" t="s">
        <v>1</v>
      </c>
      <c r="E307" t="s">
        <v>493</v>
      </c>
      <c r="F307" s="1">
        <v>25713</v>
      </c>
      <c r="G307" t="s">
        <v>18</v>
      </c>
      <c r="H307">
        <v>15</v>
      </c>
      <c r="I307" t="s">
        <v>30</v>
      </c>
      <c r="J307">
        <f>F307/1000</f>
        <v>25.713000000000001</v>
      </c>
      <c r="K307" s="3">
        <v>25.36</v>
      </c>
      <c r="L307" t="s">
        <v>566</v>
      </c>
      <c r="N307" s="4">
        <f t="shared" si="4"/>
        <v>-0.35300000000000153</v>
      </c>
    </row>
    <row r="308" spans="1:14" x14ac:dyDescent="0.35">
      <c r="B308">
        <v>30943</v>
      </c>
      <c r="C308" t="s">
        <v>569</v>
      </c>
      <c r="D308" t="s">
        <v>1</v>
      </c>
      <c r="E308" t="s">
        <v>495</v>
      </c>
      <c r="F308" s="1">
        <v>24850</v>
      </c>
      <c r="G308" t="s">
        <v>570</v>
      </c>
      <c r="H308">
        <v>15</v>
      </c>
      <c r="I308" t="s">
        <v>30</v>
      </c>
      <c r="J308">
        <f>F308/1000</f>
        <v>24.85</v>
      </c>
      <c r="K308" s="3">
        <v>25.26</v>
      </c>
      <c r="L308" t="s">
        <v>566</v>
      </c>
      <c r="N308" s="4">
        <f t="shared" si="4"/>
        <v>0.41000000000000014</v>
      </c>
    </row>
    <row r="309" spans="1:14" x14ac:dyDescent="0.35">
      <c r="B309">
        <v>30944</v>
      </c>
      <c r="C309" t="s">
        <v>571</v>
      </c>
      <c r="D309" t="s">
        <v>1</v>
      </c>
      <c r="E309" t="s">
        <v>495</v>
      </c>
      <c r="F309" s="1">
        <v>24858</v>
      </c>
      <c r="G309" t="s">
        <v>100</v>
      </c>
      <c r="H309">
        <v>15</v>
      </c>
      <c r="I309" t="s">
        <v>30</v>
      </c>
      <c r="J309">
        <f>F309/1000</f>
        <v>24.858000000000001</v>
      </c>
      <c r="K309" s="3">
        <v>25.2</v>
      </c>
      <c r="L309" t="s">
        <v>566</v>
      </c>
      <c r="N309" s="4">
        <f t="shared" si="4"/>
        <v>0.34199999999999875</v>
      </c>
    </row>
    <row r="310" spans="1:14" x14ac:dyDescent="0.35">
      <c r="B310">
        <v>30945</v>
      </c>
      <c r="C310" t="s">
        <v>572</v>
      </c>
      <c r="D310" t="s">
        <v>1</v>
      </c>
      <c r="E310" t="s">
        <v>495</v>
      </c>
      <c r="F310" s="1">
        <v>24956</v>
      </c>
      <c r="G310" t="s">
        <v>113</v>
      </c>
      <c r="H310">
        <v>16</v>
      </c>
      <c r="I310" t="s">
        <v>30</v>
      </c>
      <c r="J310">
        <f>F310/1000</f>
        <v>24.956</v>
      </c>
      <c r="K310" s="3">
        <v>25.02</v>
      </c>
      <c r="L310" t="s">
        <v>566</v>
      </c>
      <c r="N310" s="4">
        <f t="shared" si="4"/>
        <v>6.4000000000000057E-2</v>
      </c>
    </row>
    <row r="311" spans="1:14" x14ac:dyDescent="0.35">
      <c r="B311">
        <v>30946</v>
      </c>
      <c r="C311" t="s">
        <v>573</v>
      </c>
      <c r="D311" t="s">
        <v>1</v>
      </c>
      <c r="E311" t="s">
        <v>495</v>
      </c>
      <c r="F311" s="1">
        <v>24850</v>
      </c>
      <c r="G311" t="s">
        <v>198</v>
      </c>
      <c r="H311">
        <v>16</v>
      </c>
      <c r="I311" t="s">
        <v>30</v>
      </c>
      <c r="J311">
        <f>F311/1000</f>
        <v>24.85</v>
      </c>
      <c r="K311" s="3">
        <v>25.07</v>
      </c>
      <c r="L311" t="s">
        <v>566</v>
      </c>
      <c r="N311" s="4">
        <f t="shared" si="4"/>
        <v>0.21999999999999886</v>
      </c>
    </row>
    <row r="312" spans="1:14" x14ac:dyDescent="0.35">
      <c r="A312" s="5"/>
      <c r="B312" s="5">
        <v>30947</v>
      </c>
      <c r="C312" s="5" t="s">
        <v>574</v>
      </c>
      <c r="D312" s="5" t="s">
        <v>1</v>
      </c>
      <c r="E312" s="5" t="s">
        <v>499</v>
      </c>
      <c r="F312" s="6">
        <v>24444</v>
      </c>
      <c r="G312" s="5" t="s">
        <v>551</v>
      </c>
      <c r="H312" s="5">
        <v>16</v>
      </c>
      <c r="I312" s="5" t="s">
        <v>30</v>
      </c>
      <c r="J312" s="5">
        <f>F312/1000</f>
        <v>24.443999999999999</v>
      </c>
      <c r="K312" s="7">
        <v>24.98</v>
      </c>
      <c r="L312" s="5" t="s">
        <v>566</v>
      </c>
      <c r="M312" s="5"/>
      <c r="N312" s="4">
        <f t="shared" si="4"/>
        <v>0.53600000000000136</v>
      </c>
    </row>
    <row r="313" spans="1:14" x14ac:dyDescent="0.35">
      <c r="B313">
        <v>30948</v>
      </c>
      <c r="C313" t="s">
        <v>575</v>
      </c>
      <c r="D313" t="s">
        <v>1</v>
      </c>
      <c r="E313" t="s">
        <v>495</v>
      </c>
      <c r="F313" s="1">
        <v>24869</v>
      </c>
      <c r="G313" t="s">
        <v>201</v>
      </c>
      <c r="H313">
        <v>16</v>
      </c>
      <c r="I313" t="s">
        <v>30</v>
      </c>
      <c r="J313">
        <f>F313/1000</f>
        <v>24.869</v>
      </c>
      <c r="K313" s="3">
        <v>24.95</v>
      </c>
      <c r="L313" t="s">
        <v>566</v>
      </c>
      <c r="N313" s="4">
        <f t="shared" si="4"/>
        <v>8.0999999999999517E-2</v>
      </c>
    </row>
    <row r="314" spans="1:14" x14ac:dyDescent="0.35">
      <c r="B314">
        <v>30949</v>
      </c>
      <c r="C314" t="s">
        <v>576</v>
      </c>
      <c r="D314" t="s">
        <v>1</v>
      </c>
      <c r="E314" t="s">
        <v>495</v>
      </c>
      <c r="F314" s="1">
        <v>24841</v>
      </c>
      <c r="G314" t="s">
        <v>150</v>
      </c>
      <c r="H314">
        <v>16</v>
      </c>
      <c r="I314" t="s">
        <v>30</v>
      </c>
      <c r="J314">
        <f>F314/1000</f>
        <v>24.841000000000001</v>
      </c>
      <c r="K314" s="3">
        <v>24.97</v>
      </c>
      <c r="L314" t="s">
        <v>566</v>
      </c>
      <c r="N314" s="4">
        <f t="shared" si="4"/>
        <v>0.12899999999999778</v>
      </c>
    </row>
    <row r="315" spans="1:14" x14ac:dyDescent="0.35">
      <c r="A315" s="5"/>
      <c r="B315" s="5">
        <v>30950</v>
      </c>
      <c r="C315" s="5" t="s">
        <v>577</v>
      </c>
      <c r="D315" s="5" t="s">
        <v>1</v>
      </c>
      <c r="E315" s="5" t="s">
        <v>508</v>
      </c>
      <c r="F315" s="6">
        <v>23638</v>
      </c>
      <c r="G315" s="5" t="s">
        <v>427</v>
      </c>
      <c r="H315" s="5">
        <v>16</v>
      </c>
      <c r="I315" s="5" t="s">
        <v>30</v>
      </c>
      <c r="J315" s="5">
        <f>F315/1000</f>
        <v>23.638000000000002</v>
      </c>
      <c r="K315" s="7">
        <v>24.66</v>
      </c>
      <c r="L315" s="5" t="s">
        <v>563</v>
      </c>
      <c r="M315" s="5"/>
      <c r="N315" s="4">
        <f t="shared" si="4"/>
        <v>1.0219999999999985</v>
      </c>
    </row>
    <row r="316" spans="1:14" x14ac:dyDescent="0.35">
      <c r="B316">
        <v>30951</v>
      </c>
      <c r="C316" t="s">
        <v>578</v>
      </c>
      <c r="D316" t="s">
        <v>1</v>
      </c>
      <c r="E316" t="s">
        <v>35</v>
      </c>
      <c r="F316" s="1">
        <v>24038</v>
      </c>
      <c r="G316" t="s">
        <v>311</v>
      </c>
      <c r="H316">
        <v>16</v>
      </c>
      <c r="I316" t="s">
        <v>30</v>
      </c>
      <c r="J316">
        <f>F316/1000</f>
        <v>24.038</v>
      </c>
      <c r="K316" s="3">
        <v>24.48</v>
      </c>
      <c r="L316" t="s">
        <v>563</v>
      </c>
      <c r="N316" s="4">
        <f t="shared" si="4"/>
        <v>0.44200000000000017</v>
      </c>
    </row>
    <row r="317" spans="1:14" x14ac:dyDescent="0.35">
      <c r="B317">
        <v>30952</v>
      </c>
      <c r="C317" t="s">
        <v>579</v>
      </c>
      <c r="D317" t="s">
        <v>1</v>
      </c>
      <c r="E317" t="s">
        <v>35</v>
      </c>
      <c r="F317" s="1">
        <v>24043</v>
      </c>
      <c r="G317" t="s">
        <v>100</v>
      </c>
      <c r="H317">
        <v>16</v>
      </c>
      <c r="I317" t="s">
        <v>30</v>
      </c>
      <c r="J317">
        <f>F317/1000</f>
        <v>24.042999999999999</v>
      </c>
      <c r="K317" s="3">
        <v>24.43</v>
      </c>
      <c r="L317" t="s">
        <v>563</v>
      </c>
      <c r="N317" s="4">
        <f t="shared" si="4"/>
        <v>0.38700000000000045</v>
      </c>
    </row>
    <row r="318" spans="1:14" x14ac:dyDescent="0.35">
      <c r="B318">
        <v>30953</v>
      </c>
      <c r="C318" t="s">
        <v>580</v>
      </c>
      <c r="D318" t="s">
        <v>1</v>
      </c>
      <c r="E318" t="s">
        <v>35</v>
      </c>
      <c r="F318" s="1">
        <v>24043</v>
      </c>
      <c r="G318" t="s">
        <v>100</v>
      </c>
      <c r="H318">
        <v>16</v>
      </c>
      <c r="I318" t="s">
        <v>30</v>
      </c>
      <c r="J318">
        <f>F318/1000</f>
        <v>24.042999999999999</v>
      </c>
      <c r="K318" s="3">
        <v>24.26</v>
      </c>
      <c r="L318" t="s">
        <v>563</v>
      </c>
      <c r="N318" s="4">
        <f t="shared" si="4"/>
        <v>0.2170000000000023</v>
      </c>
    </row>
    <row r="319" spans="1:14" x14ac:dyDescent="0.35">
      <c r="A319" s="5"/>
      <c r="B319" s="5">
        <v>30954</v>
      </c>
      <c r="C319" s="5" t="s">
        <v>581</v>
      </c>
      <c r="D319" s="5" t="s">
        <v>1</v>
      </c>
      <c r="E319" s="5" t="s">
        <v>582</v>
      </c>
      <c r="F319" s="6">
        <v>23248</v>
      </c>
      <c r="G319" s="5" t="s">
        <v>383</v>
      </c>
      <c r="H319" s="5">
        <v>16</v>
      </c>
      <c r="I319" s="5" t="s">
        <v>30</v>
      </c>
      <c r="J319" s="5">
        <f>F319/1000</f>
        <v>23.248000000000001</v>
      </c>
      <c r="K319" s="7">
        <v>24.07</v>
      </c>
      <c r="L319" s="5" t="s">
        <v>563</v>
      </c>
      <c r="M319" s="5"/>
      <c r="N319" s="4">
        <f t="shared" si="4"/>
        <v>0.82199999999999918</v>
      </c>
    </row>
    <row r="320" spans="1:14" x14ac:dyDescent="0.35">
      <c r="B320">
        <v>30955</v>
      </c>
      <c r="C320" t="s">
        <v>583</v>
      </c>
      <c r="D320" t="s">
        <v>1</v>
      </c>
      <c r="E320" t="s">
        <v>508</v>
      </c>
      <c r="F320" s="1">
        <v>23643</v>
      </c>
      <c r="G320" t="s">
        <v>311</v>
      </c>
      <c r="H320">
        <v>16</v>
      </c>
      <c r="I320" t="s">
        <v>30</v>
      </c>
      <c r="J320">
        <f>F320/1000</f>
        <v>23.643000000000001</v>
      </c>
      <c r="K320" s="3">
        <v>23.96</v>
      </c>
      <c r="L320" t="s">
        <v>563</v>
      </c>
      <c r="N320" s="4">
        <f t="shared" si="4"/>
        <v>0.31700000000000017</v>
      </c>
    </row>
    <row r="321" spans="1:14" x14ac:dyDescent="0.35">
      <c r="B321">
        <v>30956</v>
      </c>
      <c r="C321" t="s">
        <v>584</v>
      </c>
      <c r="D321" t="s">
        <v>1</v>
      </c>
      <c r="E321" t="s">
        <v>35</v>
      </c>
      <c r="F321" s="1">
        <v>24068</v>
      </c>
      <c r="G321" t="s">
        <v>201</v>
      </c>
      <c r="H321">
        <v>16</v>
      </c>
      <c r="I321" t="s">
        <v>30</v>
      </c>
      <c r="J321">
        <f>F321/1000</f>
        <v>24.068000000000001</v>
      </c>
      <c r="K321" s="3">
        <v>23.97</v>
      </c>
      <c r="L321" t="s">
        <v>563</v>
      </c>
      <c r="N321" s="4">
        <f t="shared" si="4"/>
        <v>-9.800000000000253E-2</v>
      </c>
    </row>
    <row r="322" spans="1:14" x14ac:dyDescent="0.35">
      <c r="A322" s="5"/>
      <c r="B322" s="5">
        <v>30957</v>
      </c>
      <c r="C322" s="5" t="s">
        <v>585</v>
      </c>
      <c r="D322" s="5" t="s">
        <v>1</v>
      </c>
      <c r="E322" s="5" t="s">
        <v>29</v>
      </c>
      <c r="F322" s="6">
        <v>22441</v>
      </c>
      <c r="G322" s="5" t="s">
        <v>586</v>
      </c>
      <c r="H322" s="5">
        <v>16</v>
      </c>
      <c r="I322" s="5" t="s">
        <v>30</v>
      </c>
      <c r="J322" s="5">
        <f>F322/1000</f>
        <v>22.440999999999999</v>
      </c>
      <c r="K322" s="7">
        <v>23.57</v>
      </c>
      <c r="L322" s="5" t="s">
        <v>563</v>
      </c>
      <c r="M322" s="5"/>
      <c r="N322" s="4">
        <f t="shared" si="4"/>
        <v>1.1290000000000013</v>
      </c>
    </row>
    <row r="323" spans="1:14" x14ac:dyDescent="0.35">
      <c r="B323">
        <v>30958</v>
      </c>
      <c r="C323" t="s">
        <v>587</v>
      </c>
      <c r="D323" t="s">
        <v>1</v>
      </c>
      <c r="E323" t="s">
        <v>508</v>
      </c>
      <c r="F323" s="1">
        <v>23682</v>
      </c>
      <c r="G323" t="s">
        <v>588</v>
      </c>
      <c r="H323">
        <v>16</v>
      </c>
      <c r="I323" t="s">
        <v>30</v>
      </c>
      <c r="J323">
        <f>F323/1000</f>
        <v>23.681999999999999</v>
      </c>
      <c r="K323" s="3">
        <v>23.55</v>
      </c>
      <c r="L323" t="s">
        <v>563</v>
      </c>
      <c r="N323" s="4">
        <f t="shared" si="4"/>
        <v>-0.1319999999999979</v>
      </c>
    </row>
    <row r="324" spans="1:14" x14ac:dyDescent="0.35">
      <c r="B324">
        <v>30959</v>
      </c>
      <c r="C324" t="s">
        <v>589</v>
      </c>
      <c r="D324" t="s">
        <v>1</v>
      </c>
      <c r="E324" t="s">
        <v>32</v>
      </c>
      <c r="F324" s="1">
        <v>22899</v>
      </c>
      <c r="G324" t="s">
        <v>383</v>
      </c>
      <c r="H324">
        <v>16</v>
      </c>
      <c r="I324" t="s">
        <v>30</v>
      </c>
      <c r="J324">
        <f>F324/1000</f>
        <v>22.899000000000001</v>
      </c>
      <c r="K324" s="3">
        <v>23.37</v>
      </c>
      <c r="L324" t="s">
        <v>563</v>
      </c>
      <c r="N324" s="4">
        <f t="shared" si="4"/>
        <v>0.47100000000000009</v>
      </c>
    </row>
    <row r="325" spans="1:14" x14ac:dyDescent="0.35">
      <c r="A325" s="5"/>
      <c r="B325" s="5">
        <v>30960</v>
      </c>
      <c r="C325" s="5" t="s">
        <v>590</v>
      </c>
      <c r="D325" s="5" t="s">
        <v>1</v>
      </c>
      <c r="E325" s="5" t="s">
        <v>29</v>
      </c>
      <c r="F325" s="6">
        <v>22142</v>
      </c>
      <c r="G325" s="5" t="s">
        <v>408</v>
      </c>
      <c r="H325" s="5">
        <v>16</v>
      </c>
      <c r="I325" s="5" t="s">
        <v>30</v>
      </c>
      <c r="J325" s="5">
        <f>F325/1000</f>
        <v>22.141999999999999</v>
      </c>
      <c r="K325" s="7">
        <v>23.03</v>
      </c>
      <c r="L325" s="5" t="s">
        <v>563</v>
      </c>
      <c r="M325" s="5"/>
      <c r="N325" s="4">
        <f t="shared" ref="N325:N387" si="5">K325-J325</f>
        <v>0.88800000000000168</v>
      </c>
    </row>
    <row r="326" spans="1:14" x14ac:dyDescent="0.35">
      <c r="A326" s="5"/>
      <c r="B326" s="5">
        <v>30961</v>
      </c>
      <c r="C326" s="5" t="s">
        <v>591</v>
      </c>
      <c r="D326" s="5" t="s">
        <v>1</v>
      </c>
      <c r="E326" s="5" t="s">
        <v>592</v>
      </c>
      <c r="F326" s="6">
        <v>21896</v>
      </c>
      <c r="G326" s="5" t="s">
        <v>336</v>
      </c>
      <c r="H326" s="5">
        <v>15</v>
      </c>
      <c r="I326" s="5" t="s">
        <v>4</v>
      </c>
      <c r="J326" s="5">
        <f>F326/1000</f>
        <v>21.896000000000001</v>
      </c>
      <c r="K326" s="7">
        <v>22.75</v>
      </c>
      <c r="L326" s="5" t="s">
        <v>563</v>
      </c>
      <c r="M326" s="5"/>
      <c r="N326" s="4">
        <f t="shared" si="5"/>
        <v>0.8539999999999992</v>
      </c>
    </row>
    <row r="327" spans="1:14" x14ac:dyDescent="0.35">
      <c r="B327">
        <v>30962</v>
      </c>
      <c r="C327" t="s">
        <v>593</v>
      </c>
      <c r="D327" t="s">
        <v>1</v>
      </c>
      <c r="E327" t="s">
        <v>594</v>
      </c>
      <c r="F327" s="1">
        <v>22654</v>
      </c>
      <c r="G327" t="s">
        <v>536</v>
      </c>
      <c r="H327">
        <v>15</v>
      </c>
      <c r="I327" t="s">
        <v>4</v>
      </c>
      <c r="J327">
        <f>F327/1000</f>
        <v>22.654</v>
      </c>
      <c r="K327" s="3">
        <v>22.68</v>
      </c>
      <c r="L327" t="s">
        <v>563</v>
      </c>
      <c r="N327" s="4">
        <f t="shared" si="5"/>
        <v>2.5999999999999801E-2</v>
      </c>
    </row>
    <row r="328" spans="1:14" x14ac:dyDescent="0.35">
      <c r="B328">
        <v>30963</v>
      </c>
      <c r="C328" t="s">
        <v>595</v>
      </c>
      <c r="D328" t="s">
        <v>1</v>
      </c>
      <c r="E328" t="s">
        <v>29</v>
      </c>
      <c r="F328" s="1">
        <v>22370</v>
      </c>
      <c r="G328" t="s">
        <v>234</v>
      </c>
      <c r="H328">
        <v>15</v>
      </c>
      <c r="I328" t="s">
        <v>4</v>
      </c>
      <c r="J328">
        <f>F328/1000</f>
        <v>22.37</v>
      </c>
      <c r="K328" s="3">
        <v>22.63</v>
      </c>
      <c r="L328" t="s">
        <v>563</v>
      </c>
      <c r="N328" s="4">
        <f t="shared" si="5"/>
        <v>0.25999999999999801</v>
      </c>
    </row>
    <row r="329" spans="1:14" x14ac:dyDescent="0.35">
      <c r="B329">
        <v>30964</v>
      </c>
      <c r="C329" t="s">
        <v>596</v>
      </c>
      <c r="D329" t="s">
        <v>1</v>
      </c>
      <c r="E329" t="s">
        <v>29</v>
      </c>
      <c r="F329" s="1">
        <v>22413</v>
      </c>
      <c r="G329" t="s">
        <v>241</v>
      </c>
      <c r="H329">
        <v>14</v>
      </c>
      <c r="I329" t="s">
        <v>4</v>
      </c>
      <c r="J329">
        <f>F329/1000</f>
        <v>22.413</v>
      </c>
      <c r="K329" s="3">
        <v>22.5</v>
      </c>
      <c r="L329" t="s">
        <v>563</v>
      </c>
      <c r="N329" s="4">
        <f t="shared" si="5"/>
        <v>8.6999999999999744E-2</v>
      </c>
    </row>
    <row r="330" spans="1:14" x14ac:dyDescent="0.35">
      <c r="A330" s="5"/>
      <c r="B330" s="5">
        <v>30965</v>
      </c>
      <c r="C330" s="5" t="s">
        <v>597</v>
      </c>
      <c r="D330" s="5" t="s">
        <v>1</v>
      </c>
      <c r="E330" s="5" t="s">
        <v>598</v>
      </c>
      <c r="F330" s="6">
        <v>21440</v>
      </c>
      <c r="G330" s="5" t="s">
        <v>439</v>
      </c>
      <c r="H330" s="5">
        <v>14</v>
      </c>
      <c r="I330" s="5" t="s">
        <v>4</v>
      </c>
      <c r="J330" s="5">
        <f>F330/1000</f>
        <v>21.44</v>
      </c>
      <c r="K330" s="7">
        <v>22.14</v>
      </c>
      <c r="L330" s="5" t="s">
        <v>563</v>
      </c>
      <c r="M330" s="5"/>
      <c r="N330" s="4">
        <f t="shared" si="5"/>
        <v>0.69999999999999929</v>
      </c>
    </row>
    <row r="331" spans="1:14" x14ac:dyDescent="0.35">
      <c r="B331">
        <v>30966</v>
      </c>
      <c r="C331" t="s">
        <v>599</v>
      </c>
      <c r="D331" t="s">
        <v>1</v>
      </c>
      <c r="E331" t="s">
        <v>29</v>
      </c>
      <c r="F331" s="1">
        <v>22210</v>
      </c>
      <c r="G331" t="s">
        <v>536</v>
      </c>
      <c r="H331">
        <v>14</v>
      </c>
      <c r="I331" t="s">
        <v>4</v>
      </c>
      <c r="J331">
        <f>F331/1000</f>
        <v>22.21</v>
      </c>
      <c r="K331" s="3">
        <v>22.19</v>
      </c>
      <c r="L331" t="s">
        <v>563</v>
      </c>
      <c r="N331" s="4">
        <f t="shared" si="5"/>
        <v>-1.9999999999999574E-2</v>
      </c>
    </row>
    <row r="332" spans="1:14" x14ac:dyDescent="0.35">
      <c r="B332">
        <v>30967</v>
      </c>
      <c r="C332" t="s">
        <v>600</v>
      </c>
      <c r="D332" t="s">
        <v>1</v>
      </c>
      <c r="E332" t="s">
        <v>598</v>
      </c>
      <c r="F332" s="1">
        <v>21440</v>
      </c>
      <c r="G332" t="s">
        <v>408</v>
      </c>
      <c r="H332">
        <v>14</v>
      </c>
      <c r="I332" t="s">
        <v>4</v>
      </c>
      <c r="J332">
        <f>F332/1000</f>
        <v>21.44</v>
      </c>
      <c r="K332" s="3">
        <v>21.85</v>
      </c>
      <c r="L332" t="s">
        <v>563</v>
      </c>
      <c r="N332" s="4">
        <f t="shared" si="5"/>
        <v>0.41000000000000014</v>
      </c>
    </row>
    <row r="333" spans="1:14" x14ac:dyDescent="0.35">
      <c r="B333">
        <v>30968</v>
      </c>
      <c r="C333" t="s">
        <v>601</v>
      </c>
      <c r="D333" t="s">
        <v>1</v>
      </c>
      <c r="E333" t="s">
        <v>598</v>
      </c>
      <c r="F333" s="1">
        <v>21559</v>
      </c>
      <c r="G333" t="s">
        <v>113</v>
      </c>
      <c r="H333">
        <v>14</v>
      </c>
      <c r="I333" t="s">
        <v>4</v>
      </c>
      <c r="J333">
        <f>F333/1000</f>
        <v>21.559000000000001</v>
      </c>
      <c r="K333" s="3">
        <v>21.76</v>
      </c>
      <c r="L333" t="s">
        <v>566</v>
      </c>
      <c r="N333" s="4">
        <f t="shared" si="5"/>
        <v>0.20100000000000051</v>
      </c>
    </row>
    <row r="334" spans="1:14" x14ac:dyDescent="0.35">
      <c r="A334" s="5"/>
      <c r="B334" s="5">
        <v>30969</v>
      </c>
      <c r="C334" s="5" t="s">
        <v>602</v>
      </c>
      <c r="D334" s="5" t="s">
        <v>1</v>
      </c>
      <c r="E334" s="5" t="s">
        <v>25</v>
      </c>
      <c r="F334" s="6">
        <v>20840</v>
      </c>
      <c r="G334" s="5" t="s">
        <v>396</v>
      </c>
      <c r="H334" s="5">
        <v>14</v>
      </c>
      <c r="I334" s="5" t="s">
        <v>4</v>
      </c>
      <c r="J334" s="5">
        <f>F334/1000</f>
        <v>20.84</v>
      </c>
      <c r="K334" s="7">
        <v>21.58</v>
      </c>
      <c r="L334" s="5" t="s">
        <v>563</v>
      </c>
      <c r="M334" s="5"/>
      <c r="N334" s="4">
        <f t="shared" si="5"/>
        <v>0.73999999999999844</v>
      </c>
    </row>
    <row r="335" spans="1:14" x14ac:dyDescent="0.35">
      <c r="B335">
        <v>30970</v>
      </c>
      <c r="C335" t="s">
        <v>603</v>
      </c>
      <c r="D335" t="s">
        <v>1</v>
      </c>
      <c r="E335" t="s">
        <v>25</v>
      </c>
      <c r="F335" s="1">
        <v>20922</v>
      </c>
      <c r="G335" t="s">
        <v>129</v>
      </c>
      <c r="H335">
        <v>14</v>
      </c>
      <c r="I335" t="s">
        <v>4</v>
      </c>
      <c r="J335">
        <f>F335/1000</f>
        <v>20.922000000000001</v>
      </c>
      <c r="K335" s="3">
        <v>21.41</v>
      </c>
      <c r="L335" t="s">
        <v>566</v>
      </c>
      <c r="N335" s="4">
        <f t="shared" si="5"/>
        <v>0.48799999999999955</v>
      </c>
    </row>
    <row r="336" spans="1:14" x14ac:dyDescent="0.35">
      <c r="B336">
        <v>30971</v>
      </c>
      <c r="C336" t="s">
        <v>604</v>
      </c>
      <c r="D336" t="s">
        <v>1</v>
      </c>
      <c r="E336" t="s">
        <v>25</v>
      </c>
      <c r="F336" s="1">
        <v>20798</v>
      </c>
      <c r="G336" t="s">
        <v>198</v>
      </c>
      <c r="H336">
        <v>14</v>
      </c>
      <c r="I336" t="s">
        <v>4</v>
      </c>
      <c r="J336">
        <f>F336/1000</f>
        <v>20.797999999999998</v>
      </c>
      <c r="K336" s="3">
        <v>21.1</v>
      </c>
      <c r="L336" t="s">
        <v>566</v>
      </c>
      <c r="N336" s="4">
        <f t="shared" si="5"/>
        <v>0.30200000000000315</v>
      </c>
    </row>
    <row r="337" spans="1:14" x14ac:dyDescent="0.35">
      <c r="A337" s="5"/>
      <c r="B337" s="5">
        <v>30972</v>
      </c>
      <c r="C337" s="5" t="s">
        <v>605</v>
      </c>
      <c r="D337" s="5" t="s">
        <v>1</v>
      </c>
      <c r="E337" s="5" t="s">
        <v>606</v>
      </c>
      <c r="F337" s="6">
        <v>20224</v>
      </c>
      <c r="G337" s="5" t="s">
        <v>354</v>
      </c>
      <c r="H337" s="5">
        <v>14</v>
      </c>
      <c r="I337" s="5" t="s">
        <v>4</v>
      </c>
      <c r="J337" s="5">
        <f>F337/1000</f>
        <v>20.224</v>
      </c>
      <c r="K337" s="7">
        <v>20.76</v>
      </c>
      <c r="L337" s="5" t="s">
        <v>566</v>
      </c>
      <c r="M337" s="5"/>
      <c r="N337" s="4">
        <f t="shared" si="5"/>
        <v>0.53600000000000136</v>
      </c>
    </row>
    <row r="338" spans="1:14" x14ac:dyDescent="0.35">
      <c r="B338">
        <v>30973</v>
      </c>
      <c r="C338" t="s">
        <v>607</v>
      </c>
      <c r="D338" t="s">
        <v>1</v>
      </c>
      <c r="E338" t="s">
        <v>606</v>
      </c>
      <c r="F338" s="1">
        <v>20107</v>
      </c>
      <c r="G338" t="s">
        <v>198</v>
      </c>
      <c r="H338">
        <v>14</v>
      </c>
      <c r="I338" t="s">
        <v>4</v>
      </c>
      <c r="J338">
        <f>F338/1000</f>
        <v>20.106999999999999</v>
      </c>
      <c r="K338" s="3">
        <v>20.56</v>
      </c>
      <c r="L338" t="s">
        <v>566</v>
      </c>
      <c r="N338" s="4">
        <f t="shared" si="5"/>
        <v>0.4529999999999994</v>
      </c>
    </row>
    <row r="339" spans="1:14" x14ac:dyDescent="0.35">
      <c r="B339">
        <v>30974</v>
      </c>
      <c r="C339" t="s">
        <v>608</v>
      </c>
      <c r="D339" t="s">
        <v>1</v>
      </c>
      <c r="E339" t="s">
        <v>606</v>
      </c>
      <c r="F339" s="1">
        <v>20022</v>
      </c>
      <c r="G339" t="s">
        <v>325</v>
      </c>
      <c r="H339">
        <v>14</v>
      </c>
      <c r="I339" t="s">
        <v>4</v>
      </c>
      <c r="J339">
        <f>F339/1000</f>
        <v>20.021999999999998</v>
      </c>
      <c r="K339" s="3">
        <v>20.23</v>
      </c>
      <c r="L339" t="s">
        <v>566</v>
      </c>
      <c r="N339" s="4">
        <f t="shared" si="5"/>
        <v>0.20800000000000196</v>
      </c>
    </row>
    <row r="340" spans="1:14" x14ac:dyDescent="0.35">
      <c r="B340">
        <v>30975</v>
      </c>
      <c r="C340" t="s">
        <v>609</v>
      </c>
      <c r="D340" t="s">
        <v>1</v>
      </c>
      <c r="E340" t="s">
        <v>22</v>
      </c>
      <c r="F340" s="1">
        <v>19628</v>
      </c>
      <c r="G340" t="s">
        <v>551</v>
      </c>
      <c r="H340">
        <v>14</v>
      </c>
      <c r="I340" t="s">
        <v>4</v>
      </c>
      <c r="J340">
        <f>F340/1000</f>
        <v>19.628</v>
      </c>
      <c r="K340" s="3">
        <v>19.920000000000002</v>
      </c>
      <c r="L340" t="s">
        <v>566</v>
      </c>
      <c r="N340" s="4">
        <f t="shared" si="5"/>
        <v>0.29200000000000159</v>
      </c>
    </row>
    <row r="341" spans="1:14" x14ac:dyDescent="0.35">
      <c r="B341">
        <v>30976</v>
      </c>
      <c r="C341" t="s">
        <v>610</v>
      </c>
      <c r="D341" t="s">
        <v>1</v>
      </c>
      <c r="E341" t="s">
        <v>611</v>
      </c>
      <c r="F341" s="1">
        <v>19590</v>
      </c>
      <c r="G341" t="s">
        <v>150</v>
      </c>
      <c r="H341">
        <v>14</v>
      </c>
      <c r="I341" t="s">
        <v>4</v>
      </c>
      <c r="J341">
        <f>F341/1000</f>
        <v>19.59</v>
      </c>
      <c r="K341" s="3">
        <v>19.75</v>
      </c>
      <c r="L341" t="s">
        <v>566</v>
      </c>
      <c r="N341" s="4">
        <f t="shared" si="5"/>
        <v>0.16000000000000014</v>
      </c>
    </row>
    <row r="342" spans="1:14" x14ac:dyDescent="0.35">
      <c r="B342">
        <v>30977</v>
      </c>
      <c r="C342" t="s">
        <v>612</v>
      </c>
      <c r="D342" t="s">
        <v>1</v>
      </c>
      <c r="E342" t="s">
        <v>20</v>
      </c>
      <c r="F342" s="1">
        <v>18980</v>
      </c>
      <c r="G342" t="s">
        <v>187</v>
      </c>
      <c r="H342">
        <v>14</v>
      </c>
      <c r="I342" t="s">
        <v>4</v>
      </c>
      <c r="J342">
        <f>F342/1000</f>
        <v>18.98</v>
      </c>
      <c r="K342" s="3">
        <v>19.399999999999999</v>
      </c>
      <c r="L342" t="s">
        <v>566</v>
      </c>
      <c r="N342" s="4">
        <f t="shared" si="5"/>
        <v>0.41999999999999815</v>
      </c>
    </row>
    <row r="343" spans="1:14" x14ac:dyDescent="0.35">
      <c r="B343">
        <v>30978</v>
      </c>
      <c r="C343" t="s">
        <v>613</v>
      </c>
      <c r="D343" t="s">
        <v>1</v>
      </c>
      <c r="E343" t="s">
        <v>20</v>
      </c>
      <c r="F343" s="1">
        <v>18980</v>
      </c>
      <c r="G343" t="s">
        <v>100</v>
      </c>
      <c r="H343">
        <v>14</v>
      </c>
      <c r="I343" t="s">
        <v>4</v>
      </c>
      <c r="J343">
        <f>F343/1000</f>
        <v>18.98</v>
      </c>
      <c r="K343" s="3">
        <v>19.21</v>
      </c>
      <c r="L343" t="s">
        <v>566</v>
      </c>
      <c r="N343" s="4">
        <f t="shared" si="5"/>
        <v>0.23000000000000043</v>
      </c>
    </row>
    <row r="344" spans="1:14" x14ac:dyDescent="0.35">
      <c r="A344" s="5"/>
      <c r="B344" s="5">
        <v>30979</v>
      </c>
      <c r="C344" s="5" t="s">
        <v>614</v>
      </c>
      <c r="D344" s="5" t="s">
        <v>1</v>
      </c>
      <c r="E344" s="5" t="s">
        <v>615</v>
      </c>
      <c r="F344" s="6">
        <v>17567</v>
      </c>
      <c r="G344" s="5" t="s">
        <v>404</v>
      </c>
      <c r="H344" s="5">
        <v>13</v>
      </c>
      <c r="I344" s="5" t="s">
        <v>4</v>
      </c>
      <c r="J344" s="5">
        <f>F344/1000</f>
        <v>17.567</v>
      </c>
      <c r="K344" s="7">
        <v>18.72</v>
      </c>
      <c r="L344" s="5" t="s">
        <v>566</v>
      </c>
      <c r="M344" s="5"/>
      <c r="N344" s="4">
        <f t="shared" si="5"/>
        <v>1.1529999999999987</v>
      </c>
    </row>
    <row r="345" spans="1:14" x14ac:dyDescent="0.35">
      <c r="A345" s="5"/>
      <c r="B345" s="5">
        <v>30980</v>
      </c>
      <c r="C345" s="5" t="s">
        <v>616</v>
      </c>
      <c r="D345" s="5" t="s">
        <v>1</v>
      </c>
      <c r="E345" s="5" t="s">
        <v>17</v>
      </c>
      <c r="F345" s="6">
        <v>17435</v>
      </c>
      <c r="G345" s="5" t="s">
        <v>194</v>
      </c>
      <c r="H345" s="5">
        <v>14</v>
      </c>
      <c r="I345" s="5" t="s">
        <v>4</v>
      </c>
      <c r="J345" s="5">
        <f>F345/1000</f>
        <v>17.434999999999999</v>
      </c>
      <c r="K345" s="7">
        <v>18.28</v>
      </c>
      <c r="L345" s="5" t="s">
        <v>566</v>
      </c>
      <c r="M345" s="5"/>
      <c r="N345" s="4">
        <f t="shared" si="5"/>
        <v>0.84500000000000242</v>
      </c>
    </row>
    <row r="346" spans="1:14" x14ac:dyDescent="0.35">
      <c r="A346" s="5"/>
      <c r="B346" s="5">
        <v>30981</v>
      </c>
      <c r="C346" s="5" t="s">
        <v>617</v>
      </c>
      <c r="D346" s="5" t="s">
        <v>1</v>
      </c>
      <c r="E346" s="5" t="s">
        <v>618</v>
      </c>
      <c r="F346" s="6">
        <v>16977</v>
      </c>
      <c r="G346" s="5" t="s">
        <v>361</v>
      </c>
      <c r="H346" s="5">
        <v>14</v>
      </c>
      <c r="I346" s="5" t="s">
        <v>4</v>
      </c>
      <c r="J346" s="5">
        <f>F346/1000</f>
        <v>16.977</v>
      </c>
      <c r="K346" s="7">
        <v>17.75</v>
      </c>
      <c r="L346" s="5" t="s">
        <v>566</v>
      </c>
      <c r="M346" s="5"/>
      <c r="N346" s="4">
        <f t="shared" si="5"/>
        <v>0.77299999999999969</v>
      </c>
    </row>
    <row r="347" spans="1:14" x14ac:dyDescent="0.35">
      <c r="A347" s="5"/>
      <c r="B347" s="5">
        <v>30982</v>
      </c>
      <c r="C347" s="5" t="s">
        <v>619</v>
      </c>
      <c r="D347" s="5" t="s">
        <v>1</v>
      </c>
      <c r="E347" s="5" t="s">
        <v>620</v>
      </c>
      <c r="F347" s="6">
        <v>16020</v>
      </c>
      <c r="G347" s="5" t="s">
        <v>439</v>
      </c>
      <c r="H347" s="5">
        <v>14</v>
      </c>
      <c r="I347" s="5" t="s">
        <v>4</v>
      </c>
      <c r="J347" s="5">
        <f>F347/1000</f>
        <v>16.02</v>
      </c>
      <c r="K347" s="7">
        <v>17.09</v>
      </c>
      <c r="L347" s="5" t="s">
        <v>566</v>
      </c>
      <c r="M347" s="5"/>
      <c r="N347" s="4">
        <f t="shared" si="5"/>
        <v>1.0700000000000003</v>
      </c>
    </row>
    <row r="348" spans="1:14" x14ac:dyDescent="0.35">
      <c r="B348">
        <v>30983</v>
      </c>
      <c r="C348" t="s">
        <v>621</v>
      </c>
      <c r="D348" t="s">
        <v>1</v>
      </c>
      <c r="E348" t="s">
        <v>618</v>
      </c>
      <c r="F348" s="1">
        <v>16796</v>
      </c>
      <c r="G348" t="s">
        <v>153</v>
      </c>
      <c r="H348">
        <v>14</v>
      </c>
      <c r="I348" t="s">
        <v>4</v>
      </c>
      <c r="J348">
        <f>F348/1000</f>
        <v>16.795999999999999</v>
      </c>
      <c r="K348" s="3">
        <v>16.96</v>
      </c>
      <c r="L348" t="s">
        <v>566</v>
      </c>
      <c r="N348" s="4">
        <f t="shared" si="5"/>
        <v>0.16400000000000148</v>
      </c>
    </row>
    <row r="349" spans="1:14" x14ac:dyDescent="0.35">
      <c r="B349">
        <v>30984</v>
      </c>
      <c r="C349" t="s">
        <v>622</v>
      </c>
      <c r="D349" t="s">
        <v>1</v>
      </c>
      <c r="E349" t="s">
        <v>618</v>
      </c>
      <c r="F349" s="1">
        <v>16919</v>
      </c>
      <c r="G349" t="s">
        <v>113</v>
      </c>
      <c r="H349">
        <v>14</v>
      </c>
      <c r="I349" t="s">
        <v>4</v>
      </c>
      <c r="J349">
        <f>F349/1000</f>
        <v>16.919</v>
      </c>
      <c r="K349" s="3">
        <v>16.8</v>
      </c>
      <c r="L349" t="s">
        <v>563</v>
      </c>
      <c r="N349" s="4">
        <f t="shared" si="5"/>
        <v>-0.11899999999999977</v>
      </c>
    </row>
    <row r="350" spans="1:14" x14ac:dyDescent="0.35">
      <c r="B350">
        <v>30985</v>
      </c>
      <c r="C350" t="s">
        <v>623</v>
      </c>
      <c r="D350" t="s">
        <v>1</v>
      </c>
      <c r="E350" t="s">
        <v>14</v>
      </c>
      <c r="F350" s="1">
        <v>16646</v>
      </c>
      <c r="G350" t="s">
        <v>234</v>
      </c>
      <c r="H350">
        <v>14</v>
      </c>
      <c r="I350" t="s">
        <v>4</v>
      </c>
      <c r="J350">
        <f>F350/1000</f>
        <v>16.646000000000001</v>
      </c>
      <c r="K350" s="3">
        <v>16.62</v>
      </c>
      <c r="L350" t="s">
        <v>563</v>
      </c>
      <c r="N350" s="4">
        <f t="shared" si="5"/>
        <v>-2.5999999999999801E-2</v>
      </c>
    </row>
    <row r="351" spans="1:14" x14ac:dyDescent="0.35">
      <c r="B351">
        <v>30986</v>
      </c>
      <c r="C351" t="s">
        <v>624</v>
      </c>
      <c r="D351" t="s">
        <v>1</v>
      </c>
      <c r="E351" t="s">
        <v>618</v>
      </c>
      <c r="F351" s="1">
        <v>16774</v>
      </c>
      <c r="G351" t="s">
        <v>104</v>
      </c>
      <c r="H351">
        <v>14</v>
      </c>
      <c r="I351" t="s">
        <v>4</v>
      </c>
      <c r="J351">
        <f>F351/1000</f>
        <v>16.774000000000001</v>
      </c>
      <c r="K351" s="3">
        <v>16.64</v>
      </c>
      <c r="L351" t="s">
        <v>563</v>
      </c>
      <c r="N351" s="4">
        <f t="shared" si="5"/>
        <v>-0.13400000000000034</v>
      </c>
    </row>
    <row r="352" spans="1:14" x14ac:dyDescent="0.35">
      <c r="B352">
        <v>30987</v>
      </c>
      <c r="C352" t="s">
        <v>625</v>
      </c>
      <c r="D352" t="s">
        <v>1</v>
      </c>
      <c r="E352" t="s">
        <v>14</v>
      </c>
      <c r="F352" s="1">
        <v>16548</v>
      </c>
      <c r="G352" t="s">
        <v>174</v>
      </c>
      <c r="H352">
        <v>14</v>
      </c>
      <c r="I352" t="s">
        <v>4</v>
      </c>
      <c r="J352">
        <f>F352/1000</f>
        <v>16.547999999999998</v>
      </c>
      <c r="K352" s="3">
        <v>16.47</v>
      </c>
      <c r="L352" t="s">
        <v>563</v>
      </c>
      <c r="N352" s="4">
        <f t="shared" si="5"/>
        <v>-7.7999999999999403E-2</v>
      </c>
    </row>
    <row r="353" spans="1:14" x14ac:dyDescent="0.35">
      <c r="B353">
        <v>30988</v>
      </c>
      <c r="C353" t="s">
        <v>626</v>
      </c>
      <c r="D353" t="s">
        <v>1</v>
      </c>
      <c r="E353" t="s">
        <v>627</v>
      </c>
      <c r="F353" s="1">
        <v>16119</v>
      </c>
      <c r="G353" t="s">
        <v>534</v>
      </c>
      <c r="H353">
        <v>14</v>
      </c>
      <c r="I353" t="s">
        <v>4</v>
      </c>
      <c r="J353">
        <f>F353/1000</f>
        <v>16.119</v>
      </c>
      <c r="K353" s="3">
        <v>16.28</v>
      </c>
      <c r="L353" t="s">
        <v>556</v>
      </c>
      <c r="N353" s="4">
        <f t="shared" si="5"/>
        <v>0.16100000000000136</v>
      </c>
    </row>
    <row r="354" spans="1:14" x14ac:dyDescent="0.35">
      <c r="B354">
        <v>30989</v>
      </c>
      <c r="C354" t="s">
        <v>628</v>
      </c>
      <c r="D354" t="s">
        <v>1</v>
      </c>
      <c r="E354" t="s">
        <v>627</v>
      </c>
      <c r="F354" s="1">
        <v>16116</v>
      </c>
      <c r="G354" t="s">
        <v>545</v>
      </c>
      <c r="H354">
        <v>14</v>
      </c>
      <c r="I354" t="s">
        <v>4</v>
      </c>
      <c r="J354">
        <f>F354/1000</f>
        <v>16.116</v>
      </c>
      <c r="K354" s="3">
        <v>16.190000000000001</v>
      </c>
      <c r="L354" t="s">
        <v>556</v>
      </c>
      <c r="N354" s="4">
        <f t="shared" si="5"/>
        <v>7.400000000000162E-2</v>
      </c>
    </row>
    <row r="355" spans="1:14" x14ac:dyDescent="0.35">
      <c r="B355">
        <v>30990</v>
      </c>
      <c r="C355" t="s">
        <v>629</v>
      </c>
      <c r="D355" t="s">
        <v>1</v>
      </c>
      <c r="E355" t="s">
        <v>620</v>
      </c>
      <c r="F355" s="1">
        <v>15702</v>
      </c>
      <c r="G355" t="s">
        <v>551</v>
      </c>
      <c r="H355">
        <v>14</v>
      </c>
      <c r="I355" t="s">
        <v>4</v>
      </c>
      <c r="J355">
        <f>F355/1000</f>
        <v>15.702</v>
      </c>
      <c r="K355" s="3">
        <v>16.11</v>
      </c>
      <c r="L355" t="s">
        <v>556</v>
      </c>
      <c r="N355" s="4">
        <f t="shared" si="5"/>
        <v>0.40799999999999947</v>
      </c>
    </row>
    <row r="356" spans="1:14" x14ac:dyDescent="0.35">
      <c r="B356">
        <v>30991</v>
      </c>
      <c r="C356" t="s">
        <v>630</v>
      </c>
      <c r="D356" t="s">
        <v>1</v>
      </c>
      <c r="E356" t="s">
        <v>627</v>
      </c>
      <c r="F356" s="1">
        <v>16119</v>
      </c>
      <c r="G356" t="s">
        <v>201</v>
      </c>
      <c r="H356">
        <v>14</v>
      </c>
      <c r="I356" t="s">
        <v>4</v>
      </c>
      <c r="J356">
        <f>F356/1000</f>
        <v>16.119</v>
      </c>
      <c r="K356" s="3">
        <v>16.3</v>
      </c>
      <c r="L356" t="s">
        <v>556</v>
      </c>
      <c r="N356" s="4">
        <f t="shared" si="5"/>
        <v>0.18100000000000094</v>
      </c>
    </row>
    <row r="357" spans="1:14" x14ac:dyDescent="0.35">
      <c r="A357" s="5"/>
      <c r="B357" s="5">
        <v>30992</v>
      </c>
      <c r="C357" s="5" t="s">
        <v>631</v>
      </c>
      <c r="D357" s="5" t="s">
        <v>1</v>
      </c>
      <c r="E357" s="5" t="s">
        <v>7</v>
      </c>
      <c r="F357" s="6">
        <v>14781</v>
      </c>
      <c r="G357" s="5" t="s">
        <v>632</v>
      </c>
      <c r="H357" s="5">
        <v>14</v>
      </c>
      <c r="I357" s="5" t="s">
        <v>4</v>
      </c>
      <c r="J357" s="5">
        <f>F357/1000</f>
        <v>14.781000000000001</v>
      </c>
      <c r="K357" s="7">
        <v>15.82</v>
      </c>
      <c r="L357" s="5" t="s">
        <v>556</v>
      </c>
      <c r="M357" s="5"/>
      <c r="N357" s="4">
        <f t="shared" si="5"/>
        <v>1.0389999999999997</v>
      </c>
    </row>
    <row r="358" spans="1:14" x14ac:dyDescent="0.35">
      <c r="B358">
        <v>30993</v>
      </c>
      <c r="C358" t="s">
        <v>633</v>
      </c>
      <c r="D358" t="s">
        <v>1</v>
      </c>
      <c r="E358" t="s">
        <v>11</v>
      </c>
      <c r="F358" s="1">
        <v>15151</v>
      </c>
      <c r="G358" t="s">
        <v>12</v>
      </c>
      <c r="H358">
        <v>14</v>
      </c>
      <c r="I358" t="s">
        <v>4</v>
      </c>
      <c r="J358">
        <f>F358/1000</f>
        <v>15.151</v>
      </c>
      <c r="K358" s="3">
        <v>15.46</v>
      </c>
      <c r="L358" t="s">
        <v>556</v>
      </c>
      <c r="N358" s="4">
        <f t="shared" si="5"/>
        <v>0.30900000000000105</v>
      </c>
    </row>
    <row r="359" spans="1:14" x14ac:dyDescent="0.35">
      <c r="B359">
        <v>30994</v>
      </c>
      <c r="C359" t="s">
        <v>634</v>
      </c>
      <c r="D359" t="s">
        <v>1</v>
      </c>
      <c r="E359" t="s">
        <v>11</v>
      </c>
      <c r="F359" s="1">
        <v>15151</v>
      </c>
      <c r="G359" t="s">
        <v>100</v>
      </c>
      <c r="H359">
        <v>14</v>
      </c>
      <c r="I359" t="s">
        <v>4</v>
      </c>
      <c r="J359">
        <f>F359/1000</f>
        <v>15.151</v>
      </c>
      <c r="K359" s="3">
        <v>15.2</v>
      </c>
      <c r="L359" t="s">
        <v>556</v>
      </c>
      <c r="N359" s="4">
        <f t="shared" si="5"/>
        <v>4.8999999999999488E-2</v>
      </c>
    </row>
    <row r="360" spans="1:14" x14ac:dyDescent="0.35">
      <c r="B360">
        <v>30995</v>
      </c>
      <c r="C360" t="s">
        <v>635</v>
      </c>
      <c r="D360" t="s">
        <v>1</v>
      </c>
      <c r="E360" t="s">
        <v>11</v>
      </c>
      <c r="F360" s="1">
        <v>15293</v>
      </c>
      <c r="G360" t="s">
        <v>104</v>
      </c>
      <c r="H360">
        <v>13</v>
      </c>
      <c r="I360" t="s">
        <v>4</v>
      </c>
      <c r="J360">
        <f>F360/1000</f>
        <v>15.292999999999999</v>
      </c>
      <c r="K360" s="3">
        <v>15.23</v>
      </c>
      <c r="L360" t="s">
        <v>556</v>
      </c>
      <c r="N360" s="4">
        <f t="shared" si="5"/>
        <v>-6.2999999999998835E-2</v>
      </c>
    </row>
    <row r="361" spans="1:14" x14ac:dyDescent="0.35">
      <c r="B361">
        <v>30996</v>
      </c>
      <c r="C361" t="s">
        <v>636</v>
      </c>
      <c r="D361" t="s">
        <v>1</v>
      </c>
      <c r="E361" t="s">
        <v>7</v>
      </c>
      <c r="F361" s="1">
        <v>14699</v>
      </c>
      <c r="G361" t="s">
        <v>187</v>
      </c>
      <c r="H361">
        <v>13</v>
      </c>
      <c r="I361" t="s">
        <v>4</v>
      </c>
      <c r="J361">
        <f>F361/1000</f>
        <v>14.699</v>
      </c>
      <c r="K361" s="3">
        <v>15</v>
      </c>
      <c r="L361" t="s">
        <v>556</v>
      </c>
      <c r="N361" s="4">
        <f t="shared" si="5"/>
        <v>0.30100000000000016</v>
      </c>
    </row>
    <row r="362" spans="1:14" x14ac:dyDescent="0.35">
      <c r="A362" s="8"/>
      <c r="B362" s="8">
        <v>30997</v>
      </c>
      <c r="C362" s="8" t="s">
        <v>637</v>
      </c>
      <c r="D362" s="8" t="s">
        <v>1</v>
      </c>
      <c r="E362" s="8" t="s">
        <v>620</v>
      </c>
      <c r="F362" s="9">
        <v>15849</v>
      </c>
      <c r="G362" s="8" t="s">
        <v>26</v>
      </c>
      <c r="H362" s="8">
        <v>13</v>
      </c>
      <c r="I362" s="8" t="s">
        <v>4</v>
      </c>
      <c r="J362" s="8">
        <f>F362/1000</f>
        <v>15.849</v>
      </c>
      <c r="K362" s="10">
        <v>15.11</v>
      </c>
      <c r="L362" s="8" t="s">
        <v>556</v>
      </c>
      <c r="M362" s="8"/>
      <c r="N362" s="4">
        <f t="shared" si="5"/>
        <v>-0.73900000000000077</v>
      </c>
    </row>
    <row r="363" spans="1:14" x14ac:dyDescent="0.35">
      <c r="B363">
        <v>30998</v>
      </c>
      <c r="C363" t="s">
        <v>638</v>
      </c>
      <c r="D363" t="s">
        <v>1</v>
      </c>
      <c r="E363" t="s">
        <v>7</v>
      </c>
      <c r="F363" s="1">
        <v>14845</v>
      </c>
      <c r="G363" t="s">
        <v>639</v>
      </c>
      <c r="H363">
        <v>13</v>
      </c>
      <c r="I363" t="s">
        <v>4</v>
      </c>
      <c r="J363">
        <f>F363/1000</f>
        <v>14.845000000000001</v>
      </c>
      <c r="K363" s="3">
        <v>14.98</v>
      </c>
      <c r="L363" t="s">
        <v>556</v>
      </c>
      <c r="N363" s="4">
        <f t="shared" si="5"/>
        <v>0.13499999999999979</v>
      </c>
    </row>
    <row r="364" spans="1:14" x14ac:dyDescent="0.35">
      <c r="A364" s="5"/>
      <c r="B364" s="5">
        <v>30999</v>
      </c>
      <c r="C364" s="5" t="s">
        <v>640</v>
      </c>
      <c r="D364" s="5" t="s">
        <v>1</v>
      </c>
      <c r="E364" s="5" t="s">
        <v>641</v>
      </c>
      <c r="F364" s="6">
        <v>13976</v>
      </c>
      <c r="G364" s="5" t="s">
        <v>570</v>
      </c>
      <c r="H364" s="5">
        <v>13</v>
      </c>
      <c r="I364" s="5" t="s">
        <v>4</v>
      </c>
      <c r="J364" s="5">
        <f>F364/1000</f>
        <v>13.976000000000001</v>
      </c>
      <c r="K364" s="7">
        <v>14.49</v>
      </c>
      <c r="L364" s="5" t="s">
        <v>556</v>
      </c>
      <c r="M364" s="5"/>
      <c r="N364" s="4">
        <f t="shared" si="5"/>
        <v>0.51399999999999935</v>
      </c>
    </row>
    <row r="365" spans="1:14" x14ac:dyDescent="0.35">
      <c r="B365">
        <v>31000</v>
      </c>
      <c r="C365" t="s">
        <v>642</v>
      </c>
      <c r="D365" t="s">
        <v>1</v>
      </c>
      <c r="E365" t="s">
        <v>643</v>
      </c>
      <c r="F365" s="1">
        <v>13747</v>
      </c>
      <c r="G365" t="s">
        <v>174</v>
      </c>
      <c r="H365">
        <v>14</v>
      </c>
      <c r="I365" t="s">
        <v>4</v>
      </c>
      <c r="J365">
        <f>F365/1000</f>
        <v>13.747</v>
      </c>
      <c r="K365" s="3">
        <v>14.16</v>
      </c>
      <c r="L365" t="s">
        <v>556</v>
      </c>
      <c r="N365" s="4">
        <f t="shared" si="5"/>
        <v>0.41300000000000026</v>
      </c>
    </row>
    <row r="366" spans="1:14" x14ac:dyDescent="0.35">
      <c r="B366">
        <v>31001</v>
      </c>
      <c r="C366" t="s">
        <v>644</v>
      </c>
      <c r="D366" t="s">
        <v>1</v>
      </c>
      <c r="E366" t="s">
        <v>643</v>
      </c>
      <c r="F366" s="1">
        <v>13737</v>
      </c>
      <c r="G366" t="s">
        <v>545</v>
      </c>
      <c r="H366">
        <v>14</v>
      </c>
      <c r="I366" t="s">
        <v>4</v>
      </c>
      <c r="J366">
        <f>F366/1000</f>
        <v>13.737</v>
      </c>
      <c r="K366" s="3">
        <v>13.9</v>
      </c>
      <c r="L366" t="s">
        <v>563</v>
      </c>
      <c r="N366" s="4">
        <f t="shared" si="5"/>
        <v>0.16300000000000026</v>
      </c>
    </row>
    <row r="367" spans="1:14" x14ac:dyDescent="0.35">
      <c r="B367">
        <v>31002</v>
      </c>
      <c r="C367" t="s">
        <v>645</v>
      </c>
      <c r="D367" t="s">
        <v>1</v>
      </c>
      <c r="E367" t="s">
        <v>643</v>
      </c>
      <c r="F367" s="1">
        <v>13512</v>
      </c>
      <c r="G367" t="s">
        <v>174</v>
      </c>
      <c r="H367">
        <v>14</v>
      </c>
      <c r="I367" t="s">
        <v>4</v>
      </c>
      <c r="J367">
        <f>F367/1000</f>
        <v>13.512</v>
      </c>
      <c r="K367" s="3">
        <v>13.7</v>
      </c>
      <c r="L367" t="s">
        <v>563</v>
      </c>
      <c r="N367" s="4">
        <f t="shared" si="5"/>
        <v>0.18799999999999883</v>
      </c>
    </row>
    <row r="368" spans="1:14" x14ac:dyDescent="0.35">
      <c r="B368">
        <v>31003</v>
      </c>
      <c r="C368" t="s">
        <v>646</v>
      </c>
      <c r="D368" t="s">
        <v>1</v>
      </c>
      <c r="E368" t="s">
        <v>643</v>
      </c>
      <c r="F368" s="1">
        <v>13578</v>
      </c>
      <c r="G368" t="s">
        <v>129</v>
      </c>
      <c r="H368">
        <v>14</v>
      </c>
      <c r="I368" t="s">
        <v>4</v>
      </c>
      <c r="J368">
        <f>F368/1000</f>
        <v>13.577999999999999</v>
      </c>
      <c r="K368" s="3">
        <v>13.62</v>
      </c>
      <c r="L368" t="s">
        <v>556</v>
      </c>
      <c r="N368" s="4">
        <f t="shared" si="5"/>
        <v>4.1999999999999815E-2</v>
      </c>
    </row>
    <row r="369" spans="1:14" x14ac:dyDescent="0.35">
      <c r="B369">
        <v>31004</v>
      </c>
      <c r="C369" t="s">
        <v>647</v>
      </c>
      <c r="D369" t="s">
        <v>1</v>
      </c>
      <c r="E369" t="s">
        <v>2</v>
      </c>
      <c r="F369" s="1">
        <v>13021</v>
      </c>
      <c r="G369" t="s">
        <v>500</v>
      </c>
      <c r="H369">
        <v>14</v>
      </c>
      <c r="I369" t="s">
        <v>4</v>
      </c>
      <c r="J369">
        <f>F369/1000</f>
        <v>13.021000000000001</v>
      </c>
      <c r="K369" s="3">
        <v>13.2</v>
      </c>
      <c r="L369" t="s">
        <v>563</v>
      </c>
      <c r="N369" s="4">
        <f t="shared" si="5"/>
        <v>0.17899999999999849</v>
      </c>
    </row>
    <row r="370" spans="1:14" x14ac:dyDescent="0.35">
      <c r="B370">
        <v>31005</v>
      </c>
      <c r="C370" t="s">
        <v>648</v>
      </c>
      <c r="D370" t="s">
        <v>1</v>
      </c>
      <c r="E370" t="s">
        <v>649</v>
      </c>
      <c r="F370" s="1">
        <v>13356</v>
      </c>
      <c r="G370" t="s">
        <v>124</v>
      </c>
      <c r="H370">
        <v>14</v>
      </c>
      <c r="I370" t="s">
        <v>4</v>
      </c>
      <c r="J370">
        <f>F370/1000</f>
        <v>13.356</v>
      </c>
      <c r="K370" s="3">
        <v>13.23</v>
      </c>
      <c r="L370" t="s">
        <v>563</v>
      </c>
      <c r="N370" s="4">
        <f t="shared" si="5"/>
        <v>-0.12599999999999945</v>
      </c>
    </row>
    <row r="371" spans="1:14" x14ac:dyDescent="0.35">
      <c r="B371">
        <v>31006</v>
      </c>
      <c r="C371" t="s">
        <v>650</v>
      </c>
      <c r="D371" t="s">
        <v>1</v>
      </c>
      <c r="E371" t="s">
        <v>2</v>
      </c>
      <c r="F371" s="1">
        <v>12812</v>
      </c>
      <c r="G371" t="s">
        <v>500</v>
      </c>
      <c r="H371">
        <v>13</v>
      </c>
      <c r="I371" t="s">
        <v>4</v>
      </c>
      <c r="J371">
        <f>F371/1000</f>
        <v>12.811999999999999</v>
      </c>
      <c r="K371" s="3">
        <v>13</v>
      </c>
      <c r="L371" t="s">
        <v>563</v>
      </c>
      <c r="N371" s="4">
        <f t="shared" si="5"/>
        <v>0.18800000000000061</v>
      </c>
    </row>
    <row r="372" spans="1:14" x14ac:dyDescent="0.35">
      <c r="B372">
        <v>31007</v>
      </c>
      <c r="C372" t="s">
        <v>651</v>
      </c>
      <c r="D372" t="s">
        <v>1</v>
      </c>
      <c r="E372" t="s">
        <v>2</v>
      </c>
      <c r="F372" s="1">
        <v>13080</v>
      </c>
      <c r="G372" t="s">
        <v>136</v>
      </c>
      <c r="H372">
        <v>13</v>
      </c>
      <c r="I372" t="s">
        <v>4</v>
      </c>
      <c r="J372">
        <f>F372/1000</f>
        <v>13.08</v>
      </c>
      <c r="K372" s="3">
        <v>12.94</v>
      </c>
      <c r="L372" t="s">
        <v>566</v>
      </c>
      <c r="N372" s="4">
        <f t="shared" si="5"/>
        <v>-0.14000000000000057</v>
      </c>
    </row>
    <row r="373" spans="1:14" x14ac:dyDescent="0.35">
      <c r="B373">
        <v>31008</v>
      </c>
      <c r="C373" t="s">
        <v>652</v>
      </c>
      <c r="D373" t="s">
        <v>1</v>
      </c>
      <c r="E373" t="s">
        <v>649</v>
      </c>
      <c r="F373" s="1">
        <v>13231</v>
      </c>
      <c r="G373" t="s">
        <v>104</v>
      </c>
      <c r="H373">
        <v>14</v>
      </c>
      <c r="I373" t="s">
        <v>4</v>
      </c>
      <c r="J373">
        <f>F373/1000</f>
        <v>13.231</v>
      </c>
      <c r="K373" s="3">
        <v>12.88</v>
      </c>
      <c r="L373" t="s">
        <v>563</v>
      </c>
      <c r="N373" s="4">
        <f t="shared" si="5"/>
        <v>-0.35099999999999909</v>
      </c>
    </row>
    <row r="374" spans="1:14" x14ac:dyDescent="0.35">
      <c r="A374" s="8"/>
      <c r="B374" s="8">
        <v>31009</v>
      </c>
      <c r="C374" s="8" t="s">
        <v>653</v>
      </c>
      <c r="D374" s="8" t="s">
        <v>1</v>
      </c>
      <c r="E374" s="8" t="s">
        <v>649</v>
      </c>
      <c r="F374" s="9">
        <v>13255</v>
      </c>
      <c r="G374" s="8" t="s">
        <v>241</v>
      </c>
      <c r="H374" s="8">
        <v>14</v>
      </c>
      <c r="I374" s="8" t="s">
        <v>654</v>
      </c>
      <c r="J374" s="8">
        <f>F374/1000</f>
        <v>13.255000000000001</v>
      </c>
      <c r="K374" s="10">
        <v>12.7</v>
      </c>
      <c r="L374" s="8" t="s">
        <v>563</v>
      </c>
      <c r="M374" s="8"/>
      <c r="N374" s="4">
        <f t="shared" si="5"/>
        <v>-0.55500000000000149</v>
      </c>
    </row>
    <row r="375" spans="1:14" x14ac:dyDescent="0.35">
      <c r="B375">
        <v>31010</v>
      </c>
      <c r="C375" t="s">
        <v>655</v>
      </c>
      <c r="D375" t="s">
        <v>1</v>
      </c>
      <c r="E375" t="s">
        <v>649</v>
      </c>
      <c r="F375" s="1">
        <v>13167</v>
      </c>
      <c r="G375" t="s">
        <v>325</v>
      </c>
      <c r="H375">
        <v>14</v>
      </c>
      <c r="I375" t="s">
        <v>654</v>
      </c>
      <c r="J375">
        <f>F375/1000</f>
        <v>13.167</v>
      </c>
      <c r="K375" s="3">
        <v>12.73</v>
      </c>
      <c r="L375" t="s">
        <v>563</v>
      </c>
      <c r="N375" s="4">
        <f t="shared" si="5"/>
        <v>-0.43699999999999939</v>
      </c>
    </row>
    <row r="376" spans="1:14" x14ac:dyDescent="0.35">
      <c r="B376">
        <v>31011</v>
      </c>
      <c r="C376" t="s">
        <v>656</v>
      </c>
      <c r="D376" t="s">
        <v>1</v>
      </c>
      <c r="E376" t="s">
        <v>657</v>
      </c>
      <c r="F376" s="1">
        <v>12288</v>
      </c>
      <c r="G376" t="s">
        <v>570</v>
      </c>
      <c r="H376">
        <v>14</v>
      </c>
      <c r="I376" t="s">
        <v>654</v>
      </c>
      <c r="J376">
        <f>F376/1000</f>
        <v>12.288</v>
      </c>
      <c r="K376" s="3">
        <v>12.39</v>
      </c>
      <c r="L376" t="s">
        <v>563</v>
      </c>
      <c r="N376" s="4">
        <f t="shared" si="5"/>
        <v>0.10200000000000031</v>
      </c>
    </row>
    <row r="377" spans="1:14" x14ac:dyDescent="0.35">
      <c r="B377">
        <v>31012</v>
      </c>
      <c r="C377" t="s">
        <v>658</v>
      </c>
      <c r="D377" t="s">
        <v>1</v>
      </c>
      <c r="E377" t="s">
        <v>659</v>
      </c>
      <c r="F377" s="1">
        <v>11917</v>
      </c>
      <c r="G377" t="s">
        <v>340</v>
      </c>
      <c r="H377">
        <v>14</v>
      </c>
      <c r="I377" t="s">
        <v>654</v>
      </c>
      <c r="J377">
        <f>F377/1000</f>
        <v>11.917</v>
      </c>
      <c r="K377" s="3">
        <v>12.12</v>
      </c>
      <c r="L377" t="s">
        <v>563</v>
      </c>
      <c r="N377" s="4">
        <f t="shared" si="5"/>
        <v>0.2029999999999994</v>
      </c>
    </row>
    <row r="378" spans="1:14" x14ac:dyDescent="0.35">
      <c r="B378">
        <v>31013</v>
      </c>
      <c r="C378" t="s">
        <v>660</v>
      </c>
      <c r="D378" t="s">
        <v>1</v>
      </c>
      <c r="E378" t="s">
        <v>659</v>
      </c>
      <c r="F378" s="1">
        <v>11889</v>
      </c>
      <c r="G378" t="s">
        <v>150</v>
      </c>
      <c r="H378">
        <v>14</v>
      </c>
      <c r="I378" t="s">
        <v>654</v>
      </c>
      <c r="J378">
        <f>F378/1000</f>
        <v>11.888999999999999</v>
      </c>
      <c r="K378" s="3">
        <v>11.81</v>
      </c>
      <c r="L378" t="s">
        <v>563</v>
      </c>
      <c r="N378" s="4">
        <f t="shared" si="5"/>
        <v>-7.8999999999998849E-2</v>
      </c>
    </row>
    <row r="379" spans="1:14" x14ac:dyDescent="0.35">
      <c r="B379">
        <v>31014</v>
      </c>
      <c r="C379" t="s">
        <v>661</v>
      </c>
      <c r="D379" t="s">
        <v>1</v>
      </c>
      <c r="E379" t="s">
        <v>659</v>
      </c>
      <c r="F379" s="1">
        <v>11748</v>
      </c>
      <c r="G379" t="s">
        <v>194</v>
      </c>
      <c r="H379">
        <v>14</v>
      </c>
      <c r="I379" t="s">
        <v>654</v>
      </c>
      <c r="J379">
        <f>F379/1000</f>
        <v>11.747999999999999</v>
      </c>
      <c r="K379" s="3">
        <v>11.8</v>
      </c>
      <c r="L379" t="s">
        <v>563</v>
      </c>
      <c r="N379" s="4">
        <f t="shared" si="5"/>
        <v>5.2000000000001378E-2</v>
      </c>
    </row>
    <row r="380" spans="1:14" x14ac:dyDescent="0.35">
      <c r="B380">
        <v>31015</v>
      </c>
      <c r="C380" t="s">
        <v>662</v>
      </c>
      <c r="D380" t="s">
        <v>1</v>
      </c>
      <c r="E380" t="s">
        <v>657</v>
      </c>
      <c r="F380" s="1">
        <v>12216</v>
      </c>
      <c r="G380" t="s">
        <v>33</v>
      </c>
      <c r="H380">
        <v>14</v>
      </c>
      <c r="I380" t="s">
        <v>654</v>
      </c>
      <c r="J380">
        <f>F380/1000</f>
        <v>12.215999999999999</v>
      </c>
      <c r="K380" s="3">
        <v>11.83</v>
      </c>
      <c r="L380" t="s">
        <v>563</v>
      </c>
      <c r="N380" s="4">
        <f t="shared" si="5"/>
        <v>-0.38599999999999923</v>
      </c>
    </row>
    <row r="381" spans="1:14" x14ac:dyDescent="0.35">
      <c r="A381" s="5"/>
      <c r="B381" s="5">
        <v>31016</v>
      </c>
      <c r="C381" s="5" t="s">
        <v>663</v>
      </c>
      <c r="D381" s="5" t="s">
        <v>1</v>
      </c>
      <c r="E381" s="5" t="s">
        <v>664</v>
      </c>
      <c r="F381" s="6">
        <v>10940</v>
      </c>
      <c r="G381" s="5" t="s">
        <v>665</v>
      </c>
      <c r="H381" s="5">
        <v>14</v>
      </c>
      <c r="I381" s="5" t="s">
        <v>654</v>
      </c>
      <c r="J381" s="5">
        <f>F381/1000</f>
        <v>10.94</v>
      </c>
      <c r="K381" s="7">
        <v>11.47</v>
      </c>
      <c r="L381" s="5" t="s">
        <v>563</v>
      </c>
      <c r="M381" s="5"/>
      <c r="N381" s="4">
        <f t="shared" si="5"/>
        <v>0.53000000000000114</v>
      </c>
    </row>
    <row r="382" spans="1:14" x14ac:dyDescent="0.35">
      <c r="B382">
        <v>31017</v>
      </c>
      <c r="C382" t="s">
        <v>666</v>
      </c>
      <c r="D382" t="s">
        <v>1</v>
      </c>
      <c r="E382" t="s">
        <v>667</v>
      </c>
      <c r="F382" s="1">
        <v>10552</v>
      </c>
      <c r="G382" t="s">
        <v>551</v>
      </c>
      <c r="H382">
        <v>15</v>
      </c>
      <c r="I382" t="s">
        <v>654</v>
      </c>
      <c r="J382">
        <f>F382/1000</f>
        <v>10.552</v>
      </c>
      <c r="K382" s="3">
        <v>10.65</v>
      </c>
      <c r="L382" t="s">
        <v>566</v>
      </c>
      <c r="N382" s="4">
        <f t="shared" si="5"/>
        <v>9.8000000000000753E-2</v>
      </c>
    </row>
    <row r="383" spans="1:14" x14ac:dyDescent="0.35">
      <c r="B383">
        <v>31018</v>
      </c>
      <c r="C383" t="s">
        <v>668</v>
      </c>
      <c r="D383" t="s">
        <v>1</v>
      </c>
      <c r="E383" t="s">
        <v>669</v>
      </c>
      <c r="F383" s="1">
        <v>10113</v>
      </c>
      <c r="G383" t="s">
        <v>534</v>
      </c>
      <c r="H383">
        <v>14</v>
      </c>
      <c r="I383" t="s">
        <v>654</v>
      </c>
      <c r="J383">
        <f>F383/1000</f>
        <v>10.113</v>
      </c>
      <c r="K383" s="3">
        <v>10.35</v>
      </c>
      <c r="L383" t="s">
        <v>566</v>
      </c>
      <c r="N383" s="4">
        <f t="shared" si="5"/>
        <v>0.2370000000000001</v>
      </c>
    </row>
    <row r="384" spans="1:14" x14ac:dyDescent="0.35">
      <c r="A384" s="8"/>
      <c r="B384" s="8">
        <v>31019</v>
      </c>
      <c r="C384" s="8" t="s">
        <v>670</v>
      </c>
      <c r="D384" s="8" t="s">
        <v>1</v>
      </c>
      <c r="E384" s="8" t="s">
        <v>664</v>
      </c>
      <c r="F384" s="9">
        <v>10692</v>
      </c>
      <c r="G384" s="8" t="s">
        <v>47</v>
      </c>
      <c r="H384" s="8">
        <v>14</v>
      </c>
      <c r="I384" s="8" t="s">
        <v>654</v>
      </c>
      <c r="J384" s="8">
        <f>F384/1000</f>
        <v>10.692</v>
      </c>
      <c r="K384" s="10">
        <v>10.15</v>
      </c>
      <c r="L384" s="8" t="s">
        <v>566</v>
      </c>
      <c r="M384" s="8"/>
      <c r="N384" s="4">
        <f t="shared" si="5"/>
        <v>-0.54199999999999982</v>
      </c>
    </row>
    <row r="385" spans="1:14" x14ac:dyDescent="0.35">
      <c r="A385" s="8"/>
      <c r="B385" s="8">
        <v>31020</v>
      </c>
      <c r="C385" s="8" t="s">
        <v>671</v>
      </c>
      <c r="D385" s="8" t="s">
        <v>1</v>
      </c>
      <c r="E385" s="8" t="s">
        <v>664</v>
      </c>
      <c r="F385" s="9">
        <v>10950</v>
      </c>
      <c r="G385" s="8" t="s">
        <v>136</v>
      </c>
      <c r="H385" s="8">
        <v>14</v>
      </c>
      <c r="I385" s="8" t="s">
        <v>654</v>
      </c>
      <c r="J385" s="8">
        <f>F385/1000</f>
        <v>10.95</v>
      </c>
      <c r="K385" s="10">
        <v>10.29</v>
      </c>
      <c r="L385" s="8" t="s">
        <v>566</v>
      </c>
      <c r="M385" s="8"/>
      <c r="N385" s="4">
        <f t="shared" si="5"/>
        <v>-0.66000000000000014</v>
      </c>
    </row>
    <row r="386" spans="1:14" x14ac:dyDescent="0.35">
      <c r="B386">
        <v>31021</v>
      </c>
      <c r="C386" t="s">
        <v>672</v>
      </c>
      <c r="D386" t="s">
        <v>1</v>
      </c>
      <c r="E386" t="s">
        <v>664</v>
      </c>
      <c r="F386" s="1">
        <v>10749</v>
      </c>
      <c r="G386" t="s">
        <v>174</v>
      </c>
      <c r="H386">
        <v>14</v>
      </c>
      <c r="I386" t="s">
        <v>654</v>
      </c>
      <c r="J386">
        <f>F386/1000</f>
        <v>10.749000000000001</v>
      </c>
      <c r="K386" s="3">
        <v>10.31</v>
      </c>
      <c r="L386" t="s">
        <v>566</v>
      </c>
      <c r="N386" s="4">
        <f t="shared" si="5"/>
        <v>-0.43900000000000006</v>
      </c>
    </row>
    <row r="387" spans="1:14" x14ac:dyDescent="0.35">
      <c r="B387">
        <v>31022</v>
      </c>
      <c r="C387" t="s">
        <v>673</v>
      </c>
      <c r="D387" t="s">
        <v>1</v>
      </c>
      <c r="E387" t="s">
        <v>664</v>
      </c>
      <c r="F387" s="1">
        <v>10811</v>
      </c>
      <c r="G387" t="s">
        <v>129</v>
      </c>
      <c r="H387">
        <v>14</v>
      </c>
      <c r="I387" t="s">
        <v>654</v>
      </c>
      <c r="J387">
        <f>F387/1000</f>
        <v>10.811</v>
      </c>
      <c r="K387" s="3">
        <v>10.38</v>
      </c>
      <c r="L387" t="s">
        <v>566</v>
      </c>
      <c r="N387" s="4">
        <f t="shared" si="5"/>
        <v>-0.43099999999999916</v>
      </c>
    </row>
  </sheetData>
  <sortState xmlns:xlrd2="http://schemas.microsoft.com/office/spreadsheetml/2017/richdata2" ref="A4:N387">
    <sortCondition ref="B4:B387"/>
  </sortState>
  <conditionalFormatting sqref="N4:N38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{75F46F88-92B8-4465-9CA9-99691A9F175A}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F46F88-92B8-4465-9CA9-99691A9F1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N4:N387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67E5-F8A6-4DEE-9DCB-5E880B6992D1}">
  <dimension ref="B4:M85"/>
  <sheetViews>
    <sheetView workbookViewId="0">
      <selection activeCell="N18" sqref="N18"/>
    </sheetView>
  </sheetViews>
  <sheetFormatPr defaultRowHeight="14.5" x14ac:dyDescent="0.35"/>
  <sheetData>
    <row r="4" spans="2:13" x14ac:dyDescent="0.35">
      <c r="B4" t="s">
        <v>677</v>
      </c>
    </row>
    <row r="5" spans="2:13" x14ac:dyDescent="0.35">
      <c r="B5" t="s">
        <v>678</v>
      </c>
      <c r="M5" t="s">
        <v>677</v>
      </c>
    </row>
    <row r="6" spans="2:13" x14ac:dyDescent="0.35">
      <c r="B6" t="s">
        <v>679</v>
      </c>
      <c r="M6" t="s">
        <v>745</v>
      </c>
    </row>
    <row r="7" spans="2:13" x14ac:dyDescent="0.35">
      <c r="B7" t="s">
        <v>690</v>
      </c>
      <c r="M7" t="s">
        <v>679</v>
      </c>
    </row>
    <row r="8" spans="2:13" x14ac:dyDescent="0.35">
      <c r="B8" t="s">
        <v>680</v>
      </c>
      <c r="M8" t="s">
        <v>690</v>
      </c>
    </row>
    <row r="9" spans="2:13" x14ac:dyDescent="0.35">
      <c r="B9" t="s">
        <v>681</v>
      </c>
      <c r="M9" t="s">
        <v>680</v>
      </c>
    </row>
    <row r="10" spans="2:13" x14ac:dyDescent="0.35">
      <c r="B10" t="s">
        <v>691</v>
      </c>
      <c r="M10" t="s">
        <v>746</v>
      </c>
    </row>
    <row r="12" spans="2:13" x14ac:dyDescent="0.35">
      <c r="B12" t="s">
        <v>682</v>
      </c>
      <c r="M12" t="s">
        <v>682</v>
      </c>
    </row>
    <row r="13" spans="2:13" x14ac:dyDescent="0.35">
      <c r="B13" t="s">
        <v>683</v>
      </c>
      <c r="M13" t="s">
        <v>747</v>
      </c>
    </row>
    <row r="14" spans="2:13" x14ac:dyDescent="0.35">
      <c r="B14" t="s">
        <v>692</v>
      </c>
      <c r="M14" t="s">
        <v>748</v>
      </c>
    </row>
    <row r="15" spans="2:13" x14ac:dyDescent="0.35">
      <c r="B15" t="s">
        <v>693</v>
      </c>
      <c r="M15" t="s">
        <v>749</v>
      </c>
    </row>
    <row r="16" spans="2:13" x14ac:dyDescent="0.35">
      <c r="B16" t="s">
        <v>694</v>
      </c>
      <c r="M16" t="s">
        <v>750</v>
      </c>
    </row>
    <row r="17" spans="2:13" x14ac:dyDescent="0.35">
      <c r="B17" t="s">
        <v>695</v>
      </c>
      <c r="M17" t="s">
        <v>751</v>
      </c>
    </row>
    <row r="18" spans="2:13" x14ac:dyDescent="0.35">
      <c r="B18" t="s">
        <v>696</v>
      </c>
      <c r="M18" t="s">
        <v>752</v>
      </c>
    </row>
    <row r="19" spans="2:13" x14ac:dyDescent="0.35">
      <c r="B19" t="s">
        <v>697</v>
      </c>
      <c r="M19" t="s">
        <v>753</v>
      </c>
    </row>
    <row r="20" spans="2:13" x14ac:dyDescent="0.35">
      <c r="B20" t="s">
        <v>698</v>
      </c>
      <c r="M20" t="s">
        <v>754</v>
      </c>
    </row>
    <row r="21" spans="2:13" x14ac:dyDescent="0.35">
      <c r="B21" t="s">
        <v>699</v>
      </c>
      <c r="M21" t="s">
        <v>755</v>
      </c>
    </row>
    <row r="22" spans="2:13" x14ac:dyDescent="0.35">
      <c r="B22" t="s">
        <v>700</v>
      </c>
      <c r="M22" t="s">
        <v>756</v>
      </c>
    </row>
    <row r="23" spans="2:13" x14ac:dyDescent="0.35">
      <c r="B23" t="s">
        <v>701</v>
      </c>
      <c r="M23" t="s">
        <v>757</v>
      </c>
    </row>
    <row r="24" spans="2:13" x14ac:dyDescent="0.35">
      <c r="B24" t="s">
        <v>702</v>
      </c>
      <c r="M24" t="s">
        <v>758</v>
      </c>
    </row>
    <row r="25" spans="2:13" x14ac:dyDescent="0.35">
      <c r="M25" t="s">
        <v>759</v>
      </c>
    </row>
    <row r="26" spans="2:13" x14ac:dyDescent="0.35">
      <c r="B26" t="s">
        <v>684</v>
      </c>
      <c r="M26" t="s">
        <v>760</v>
      </c>
    </row>
    <row r="27" spans="2:13" x14ac:dyDescent="0.35">
      <c r="B27" t="s">
        <v>683</v>
      </c>
      <c r="M27" t="s">
        <v>761</v>
      </c>
    </row>
    <row r="28" spans="2:13" x14ac:dyDescent="0.35">
      <c r="B28" t="s">
        <v>703</v>
      </c>
      <c r="M28" t="s">
        <v>762</v>
      </c>
    </row>
    <row r="29" spans="2:13" x14ac:dyDescent="0.35">
      <c r="B29" t="s">
        <v>704</v>
      </c>
      <c r="M29" t="s">
        <v>763</v>
      </c>
    </row>
    <row r="30" spans="2:13" x14ac:dyDescent="0.35">
      <c r="B30" t="s">
        <v>705</v>
      </c>
      <c r="M30" t="s">
        <v>764</v>
      </c>
    </row>
    <row r="31" spans="2:13" x14ac:dyDescent="0.35">
      <c r="B31" t="s">
        <v>706</v>
      </c>
      <c r="M31" t="s">
        <v>765</v>
      </c>
    </row>
    <row r="32" spans="2:13" x14ac:dyDescent="0.35">
      <c r="B32" t="s">
        <v>707</v>
      </c>
      <c r="M32" t="s">
        <v>766</v>
      </c>
    </row>
    <row r="33" spans="2:13" x14ac:dyDescent="0.35">
      <c r="B33" t="s">
        <v>708</v>
      </c>
    </row>
    <row r="34" spans="2:13" x14ac:dyDescent="0.35">
      <c r="B34" t="s">
        <v>709</v>
      </c>
      <c r="M34" t="s">
        <v>684</v>
      </c>
    </row>
    <row r="35" spans="2:13" x14ac:dyDescent="0.35">
      <c r="B35" t="s">
        <v>710</v>
      </c>
      <c r="M35" t="s">
        <v>747</v>
      </c>
    </row>
    <row r="36" spans="2:13" x14ac:dyDescent="0.35">
      <c r="M36" t="s">
        <v>767</v>
      </c>
    </row>
    <row r="37" spans="2:13" x14ac:dyDescent="0.35">
      <c r="B37" t="s">
        <v>685</v>
      </c>
      <c r="M37" t="s">
        <v>768</v>
      </c>
    </row>
    <row r="38" spans="2:13" x14ac:dyDescent="0.35">
      <c r="B38" t="s">
        <v>683</v>
      </c>
      <c r="M38" t="s">
        <v>769</v>
      </c>
    </row>
    <row r="39" spans="2:13" x14ac:dyDescent="0.35">
      <c r="B39" t="s">
        <v>711</v>
      </c>
      <c r="M39" t="s">
        <v>770</v>
      </c>
    </row>
    <row r="40" spans="2:13" x14ac:dyDescent="0.35">
      <c r="B40" t="s">
        <v>712</v>
      </c>
      <c r="M40" t="s">
        <v>771</v>
      </c>
    </row>
    <row r="41" spans="2:13" x14ac:dyDescent="0.35">
      <c r="B41" t="s">
        <v>713</v>
      </c>
      <c r="M41" t="s">
        <v>772</v>
      </c>
    </row>
    <row r="42" spans="2:13" x14ac:dyDescent="0.35">
      <c r="B42" t="s">
        <v>714</v>
      </c>
      <c r="M42" t="s">
        <v>773</v>
      </c>
    </row>
    <row r="43" spans="2:13" x14ac:dyDescent="0.35">
      <c r="B43" t="s">
        <v>715</v>
      </c>
      <c r="M43" t="s">
        <v>774</v>
      </c>
    </row>
    <row r="44" spans="2:13" x14ac:dyDescent="0.35">
      <c r="B44" t="s">
        <v>716</v>
      </c>
      <c r="M44" t="s">
        <v>775</v>
      </c>
    </row>
    <row r="45" spans="2:13" x14ac:dyDescent="0.35">
      <c r="B45" t="s">
        <v>717</v>
      </c>
      <c r="M45" t="s">
        <v>776</v>
      </c>
    </row>
    <row r="46" spans="2:13" x14ac:dyDescent="0.35">
      <c r="M46" t="s">
        <v>777</v>
      </c>
    </row>
    <row r="47" spans="2:13" x14ac:dyDescent="0.35">
      <c r="B47" t="s">
        <v>686</v>
      </c>
      <c r="M47" t="s">
        <v>778</v>
      </c>
    </row>
    <row r="48" spans="2:13" x14ac:dyDescent="0.35">
      <c r="B48" t="s">
        <v>683</v>
      </c>
      <c r="M48" t="s">
        <v>779</v>
      </c>
    </row>
    <row r="49" spans="2:13" x14ac:dyDescent="0.35">
      <c r="B49" t="s">
        <v>718</v>
      </c>
      <c r="M49" t="s">
        <v>780</v>
      </c>
    </row>
    <row r="50" spans="2:13" x14ac:dyDescent="0.35">
      <c r="B50" t="s">
        <v>719</v>
      </c>
      <c r="M50" t="s">
        <v>781</v>
      </c>
    </row>
    <row r="51" spans="2:13" x14ac:dyDescent="0.35">
      <c r="B51" t="s">
        <v>720</v>
      </c>
      <c r="M51" t="s">
        <v>782</v>
      </c>
    </row>
    <row r="52" spans="2:13" x14ac:dyDescent="0.35">
      <c r="B52" t="s">
        <v>721</v>
      </c>
      <c r="M52" t="s">
        <v>783</v>
      </c>
    </row>
    <row r="53" spans="2:13" x14ac:dyDescent="0.35">
      <c r="B53" t="s">
        <v>722</v>
      </c>
    </row>
    <row r="54" spans="2:13" x14ac:dyDescent="0.35">
      <c r="B54" t="s">
        <v>723</v>
      </c>
      <c r="M54" t="s">
        <v>685</v>
      </c>
    </row>
    <row r="55" spans="2:13" x14ac:dyDescent="0.35">
      <c r="M55" t="s">
        <v>747</v>
      </c>
    </row>
    <row r="56" spans="2:13" x14ac:dyDescent="0.35">
      <c r="B56" t="s">
        <v>687</v>
      </c>
      <c r="M56" t="s">
        <v>784</v>
      </c>
    </row>
    <row r="57" spans="2:13" x14ac:dyDescent="0.35">
      <c r="B57" t="s">
        <v>683</v>
      </c>
      <c r="M57" t="s">
        <v>785</v>
      </c>
    </row>
    <row r="58" spans="2:13" x14ac:dyDescent="0.35">
      <c r="B58" t="s">
        <v>724</v>
      </c>
      <c r="M58" t="s">
        <v>786</v>
      </c>
    </row>
    <row r="59" spans="2:13" x14ac:dyDescent="0.35">
      <c r="B59" t="s">
        <v>725</v>
      </c>
      <c r="M59" t="s">
        <v>787</v>
      </c>
    </row>
    <row r="60" spans="2:13" x14ac:dyDescent="0.35">
      <c r="B60" t="s">
        <v>726</v>
      </c>
      <c r="M60" t="s">
        <v>788</v>
      </c>
    </row>
    <row r="61" spans="2:13" x14ac:dyDescent="0.35">
      <c r="B61" t="s">
        <v>727</v>
      </c>
      <c r="M61" t="s">
        <v>789</v>
      </c>
    </row>
    <row r="62" spans="2:13" x14ac:dyDescent="0.35">
      <c r="M62" t="s">
        <v>790</v>
      </c>
    </row>
    <row r="63" spans="2:13" x14ac:dyDescent="0.35">
      <c r="B63" t="s">
        <v>688</v>
      </c>
      <c r="M63" t="s">
        <v>791</v>
      </c>
    </row>
    <row r="64" spans="2:13" x14ac:dyDescent="0.35">
      <c r="B64" t="s">
        <v>683</v>
      </c>
      <c r="M64" t="s">
        <v>792</v>
      </c>
    </row>
    <row r="65" spans="2:13" x14ac:dyDescent="0.35">
      <c r="B65" t="s">
        <v>728</v>
      </c>
      <c r="M65" t="s">
        <v>793</v>
      </c>
    </row>
    <row r="66" spans="2:13" x14ac:dyDescent="0.35">
      <c r="B66" t="s">
        <v>729</v>
      </c>
      <c r="M66" t="s">
        <v>794</v>
      </c>
    </row>
    <row r="67" spans="2:13" x14ac:dyDescent="0.35">
      <c r="B67" t="s">
        <v>730</v>
      </c>
      <c r="M67" t="s">
        <v>795</v>
      </c>
    </row>
    <row r="68" spans="2:13" x14ac:dyDescent="0.35">
      <c r="B68" t="s">
        <v>731</v>
      </c>
      <c r="M68" t="s">
        <v>796</v>
      </c>
    </row>
    <row r="69" spans="2:13" x14ac:dyDescent="0.35">
      <c r="B69" t="s">
        <v>732</v>
      </c>
    </row>
    <row r="70" spans="2:13" x14ac:dyDescent="0.35">
      <c r="B70" t="s">
        <v>733</v>
      </c>
      <c r="M70" t="s">
        <v>686</v>
      </c>
    </row>
    <row r="71" spans="2:13" x14ac:dyDescent="0.35">
      <c r="B71" t="s">
        <v>734</v>
      </c>
      <c r="M71" t="s">
        <v>747</v>
      </c>
    </row>
    <row r="72" spans="2:13" x14ac:dyDescent="0.35">
      <c r="B72" t="s">
        <v>735</v>
      </c>
      <c r="M72" t="s">
        <v>797</v>
      </c>
    </row>
    <row r="73" spans="2:13" x14ac:dyDescent="0.35">
      <c r="B73" t="s">
        <v>736</v>
      </c>
      <c r="M73" t="s">
        <v>798</v>
      </c>
    </row>
    <row r="74" spans="2:13" x14ac:dyDescent="0.35">
      <c r="B74" t="s">
        <v>737</v>
      </c>
      <c r="M74" t="s">
        <v>799</v>
      </c>
    </row>
    <row r="75" spans="2:13" x14ac:dyDescent="0.35">
      <c r="B75" t="s">
        <v>738</v>
      </c>
      <c r="M75" t="s">
        <v>800</v>
      </c>
    </row>
    <row r="76" spans="2:13" x14ac:dyDescent="0.35">
      <c r="M76" t="s">
        <v>801</v>
      </c>
    </row>
    <row r="77" spans="2:13" x14ac:dyDescent="0.35">
      <c r="B77" t="s">
        <v>689</v>
      </c>
      <c r="M77" t="s">
        <v>802</v>
      </c>
    </row>
    <row r="78" spans="2:13" x14ac:dyDescent="0.35">
      <c r="B78" t="s">
        <v>683</v>
      </c>
      <c r="M78" t="s">
        <v>803</v>
      </c>
    </row>
    <row r="79" spans="2:13" x14ac:dyDescent="0.35">
      <c r="B79" t="s">
        <v>739</v>
      </c>
      <c r="M79" t="s">
        <v>804</v>
      </c>
    </row>
    <row r="80" spans="2:13" x14ac:dyDescent="0.35">
      <c r="B80" t="s">
        <v>740</v>
      </c>
      <c r="M80" t="s">
        <v>805</v>
      </c>
    </row>
    <row r="81" spans="2:13" x14ac:dyDescent="0.35">
      <c r="B81" t="s">
        <v>741</v>
      </c>
      <c r="M81" t="s">
        <v>806</v>
      </c>
    </row>
    <row r="82" spans="2:13" x14ac:dyDescent="0.35">
      <c r="B82" t="s">
        <v>742</v>
      </c>
      <c r="M82" t="s">
        <v>807</v>
      </c>
    </row>
    <row r="83" spans="2:13" x14ac:dyDescent="0.35">
      <c r="B83" t="s">
        <v>743</v>
      </c>
    </row>
    <row r="84" spans="2:13" x14ac:dyDescent="0.35">
      <c r="B84" t="s">
        <v>744</v>
      </c>
      <c r="M84" t="s">
        <v>687</v>
      </c>
    </row>
    <row r="85" spans="2:13" x14ac:dyDescent="0.35">
      <c r="M85" t="s">
        <v>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A076-02BB-42B2-970E-47E4D37D8C48}">
  <dimension ref="B4:Y11"/>
  <sheetViews>
    <sheetView workbookViewId="0">
      <selection activeCell="B8" sqref="B8:Y12"/>
    </sheetView>
  </sheetViews>
  <sheetFormatPr defaultRowHeight="14.5" x14ac:dyDescent="0.35"/>
  <cols>
    <col min="4" max="4" width="0" hidden="1" customWidth="1"/>
    <col min="6" max="12" width="0" hidden="1" customWidth="1"/>
  </cols>
  <sheetData>
    <row r="4" spans="2:25" x14ac:dyDescent="0.35">
      <c r="C4" t="s">
        <v>674</v>
      </c>
      <c r="O4" t="s">
        <v>816</v>
      </c>
    </row>
    <row r="6" spans="2:25" x14ac:dyDescent="0.35">
      <c r="B6">
        <v>1</v>
      </c>
      <c r="C6" s="11">
        <v>0.44659722222222226</v>
      </c>
      <c r="D6" t="s">
        <v>808</v>
      </c>
      <c r="E6" s="1">
        <v>82384</v>
      </c>
      <c r="F6" t="s">
        <v>809</v>
      </c>
      <c r="G6" t="s">
        <v>810</v>
      </c>
      <c r="H6" s="1">
        <v>72047</v>
      </c>
      <c r="I6" s="1">
        <v>88538</v>
      </c>
      <c r="J6">
        <v>15</v>
      </c>
      <c r="K6" t="s">
        <v>811</v>
      </c>
      <c r="O6">
        <v>1</v>
      </c>
      <c r="P6" s="11">
        <v>0.4466087962962963</v>
      </c>
      <c r="Q6" t="s">
        <v>808</v>
      </c>
      <c r="R6" s="1">
        <v>82381</v>
      </c>
      <c r="S6" t="s">
        <v>817</v>
      </c>
      <c r="T6" s="1">
        <v>1012</v>
      </c>
      <c r="U6" s="1">
        <v>71924</v>
      </c>
      <c r="V6" s="1">
        <v>88333</v>
      </c>
      <c r="W6">
        <v>17</v>
      </c>
      <c r="X6" t="s">
        <v>818</v>
      </c>
      <c r="Y6" t="s">
        <v>819</v>
      </c>
    </row>
    <row r="7" spans="2:25" x14ac:dyDescent="0.35">
      <c r="B7">
        <v>2</v>
      </c>
      <c r="C7" s="11">
        <v>0.44472222222222224</v>
      </c>
      <c r="D7" t="s">
        <v>812</v>
      </c>
      <c r="E7" s="1">
        <v>74841</v>
      </c>
      <c r="F7" t="s">
        <v>813</v>
      </c>
      <c r="G7" t="s">
        <v>814</v>
      </c>
      <c r="H7" s="1">
        <v>69959</v>
      </c>
      <c r="I7" s="1">
        <v>78574</v>
      </c>
      <c r="J7">
        <v>15</v>
      </c>
      <c r="K7" t="s">
        <v>811</v>
      </c>
      <c r="L7" t="s">
        <v>815</v>
      </c>
      <c r="O7">
        <v>2</v>
      </c>
      <c r="P7" s="11">
        <v>0.44473379629629628</v>
      </c>
      <c r="Q7" t="s">
        <v>812</v>
      </c>
      <c r="R7" s="1">
        <v>74859</v>
      </c>
      <c r="S7" t="s">
        <v>820</v>
      </c>
      <c r="T7" t="s">
        <v>821</v>
      </c>
      <c r="U7" s="1">
        <v>70013</v>
      </c>
      <c r="V7" s="1">
        <v>78246</v>
      </c>
      <c r="W7">
        <v>16</v>
      </c>
      <c r="X7" t="s">
        <v>818</v>
      </c>
      <c r="Y7" t="s">
        <v>818</v>
      </c>
    </row>
    <row r="8" spans="2:25" x14ac:dyDescent="0.35">
      <c r="C8" s="11"/>
      <c r="E8" s="1"/>
      <c r="H8" s="1"/>
      <c r="I8" s="1"/>
      <c r="P8" s="11"/>
      <c r="R8" s="1"/>
      <c r="T8" s="1"/>
      <c r="U8" s="1"/>
      <c r="V8" s="1"/>
    </row>
    <row r="9" spans="2:25" x14ac:dyDescent="0.35">
      <c r="C9" s="11"/>
      <c r="E9" s="1"/>
      <c r="H9" s="1"/>
      <c r="I9" s="1"/>
      <c r="P9" s="11"/>
      <c r="R9" s="1"/>
      <c r="T9" s="1"/>
      <c r="U9" s="1"/>
      <c r="V9" s="1"/>
    </row>
    <row r="10" spans="2:25" x14ac:dyDescent="0.35">
      <c r="C10" s="11"/>
      <c r="E10" s="1"/>
      <c r="H10" s="1"/>
      <c r="I10" s="1"/>
      <c r="P10" s="11"/>
      <c r="R10" s="1"/>
      <c r="S10" s="1"/>
      <c r="T10" s="1"/>
      <c r="U10" s="1"/>
      <c r="V10" s="1"/>
    </row>
    <row r="11" spans="2:25" x14ac:dyDescent="0.35">
      <c r="C11" s="11"/>
      <c r="E11" s="1"/>
      <c r="I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2022-02-13T09:41:26Z</dcterms:created>
  <dcterms:modified xsi:type="dcterms:W3CDTF">2022-02-13T10:04:57Z</dcterms:modified>
</cp:coreProperties>
</file>