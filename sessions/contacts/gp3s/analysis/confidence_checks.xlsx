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gp3s\analysis\"/>
    </mc:Choice>
  </mc:AlternateContent>
  <xr:revisionPtr revIDLastSave="0" documentId="13_ncr:1_{892207C7-2A03-4FD8-A20B-5FB5CF96CE82}" xr6:coauthVersionLast="47" xr6:coauthVersionMax="47" xr10:uidLastSave="{00000000-0000-0000-0000-000000000000}"/>
  <bookViews>
    <workbookView xWindow="-120" yWindow="-120" windowWidth="29040" windowHeight="16440" activeTab="1" xr2:uid="{5B9EFF24-8D4C-4508-A46F-E67D200AA505}"/>
  </bookViews>
  <sheets>
    <sheet name="20211205" sheetId="1" r:id="rId1"/>
    <sheet name="20211126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2" i="1" l="1"/>
  <c r="O11" i="1"/>
  <c r="O10" i="1"/>
  <c r="O9" i="1"/>
  <c r="O8" i="1"/>
  <c r="O7" i="1"/>
  <c r="O6" i="1"/>
  <c r="O5" i="1"/>
  <c r="O4" i="1"/>
  <c r="O3" i="1"/>
  <c r="O29" i="3"/>
  <c r="O28" i="3"/>
  <c r="O27" i="3"/>
  <c r="O25" i="3"/>
  <c r="O23" i="3"/>
  <c r="O19" i="3"/>
  <c r="O18" i="3"/>
  <c r="O17" i="3"/>
  <c r="O15" i="3"/>
  <c r="O14" i="3"/>
  <c r="O13" i="3"/>
  <c r="O9" i="3"/>
  <c r="O8" i="3"/>
  <c r="O7" i="3"/>
  <c r="O6" i="3"/>
  <c r="O5" i="3"/>
  <c r="O3" i="3"/>
  <c r="P28" i="3"/>
  <c r="M29" i="3"/>
  <c r="P29" i="3" s="1"/>
  <c r="L29" i="3"/>
  <c r="M28" i="3"/>
  <c r="L28" i="3"/>
  <c r="M27" i="3"/>
  <c r="P27" i="3" s="1"/>
  <c r="L27" i="3"/>
  <c r="M25" i="3"/>
  <c r="P25" i="3" s="1"/>
  <c r="L25" i="3"/>
  <c r="M24" i="3"/>
  <c r="L24" i="3"/>
  <c r="M23" i="3"/>
  <c r="L23" i="3"/>
  <c r="F29" i="3"/>
  <c r="E29" i="3"/>
  <c r="F28" i="3"/>
  <c r="E28" i="3"/>
  <c r="F27" i="3"/>
  <c r="E27" i="3"/>
  <c r="F26" i="3"/>
  <c r="E26" i="3"/>
  <c r="F25" i="3"/>
  <c r="E25" i="3"/>
  <c r="F23" i="3"/>
  <c r="E23" i="3"/>
  <c r="P23" i="3" s="1"/>
  <c r="M14" i="3"/>
  <c r="L14" i="3"/>
  <c r="L17" i="3"/>
  <c r="M17" i="3"/>
  <c r="P17" i="3" s="1"/>
  <c r="L18" i="3"/>
  <c r="M18" i="3"/>
  <c r="L19" i="3"/>
  <c r="M19" i="3"/>
  <c r="P19" i="3" s="1"/>
  <c r="F19" i="3"/>
  <c r="E19" i="3"/>
  <c r="F18" i="3"/>
  <c r="E18" i="3"/>
  <c r="P18" i="3" s="1"/>
  <c r="F17" i="3"/>
  <c r="E17" i="3"/>
  <c r="F16" i="3"/>
  <c r="E16" i="3"/>
  <c r="M15" i="3"/>
  <c r="L15" i="3"/>
  <c r="F15" i="3"/>
  <c r="E15" i="3"/>
  <c r="P15" i="3" s="1"/>
  <c r="F14" i="3"/>
  <c r="E14" i="3"/>
  <c r="P14" i="3" s="1"/>
  <c r="M13" i="3"/>
  <c r="L13" i="3"/>
  <c r="F13" i="3"/>
  <c r="E13" i="3"/>
  <c r="M9" i="3"/>
  <c r="L9" i="3"/>
  <c r="F9" i="3"/>
  <c r="E9" i="3"/>
  <c r="M8" i="3"/>
  <c r="L8" i="3"/>
  <c r="F8" i="3"/>
  <c r="E8" i="3"/>
  <c r="M7" i="3"/>
  <c r="L7" i="3"/>
  <c r="F7" i="3"/>
  <c r="E7" i="3"/>
  <c r="M6" i="3"/>
  <c r="L6" i="3"/>
  <c r="F6" i="3"/>
  <c r="E6" i="3"/>
  <c r="M5" i="3"/>
  <c r="L5" i="3"/>
  <c r="F5" i="3"/>
  <c r="E5" i="3"/>
  <c r="F4" i="3"/>
  <c r="E4" i="3"/>
  <c r="M3" i="3"/>
  <c r="L3" i="3"/>
  <c r="F3" i="3"/>
  <c r="E3" i="3"/>
  <c r="M12" i="1"/>
  <c r="L12" i="1"/>
  <c r="M11" i="1"/>
  <c r="L11" i="1"/>
  <c r="M10" i="1"/>
  <c r="P10" i="1" s="1"/>
  <c r="L10" i="1"/>
  <c r="M9" i="1"/>
  <c r="P9" i="1" s="1"/>
  <c r="L9" i="1"/>
  <c r="M8" i="1"/>
  <c r="L8" i="1"/>
  <c r="M7" i="1"/>
  <c r="L7" i="1"/>
  <c r="M6" i="1"/>
  <c r="P6" i="1" s="1"/>
  <c r="L6" i="1"/>
  <c r="M5" i="1"/>
  <c r="P5" i="1" s="1"/>
  <c r="L5" i="1"/>
  <c r="M4" i="1"/>
  <c r="L4" i="1"/>
  <c r="M3" i="1"/>
  <c r="L3" i="1"/>
  <c r="F12" i="1"/>
  <c r="F11" i="1"/>
  <c r="F10" i="1"/>
  <c r="F9" i="1"/>
  <c r="F8" i="1"/>
  <c r="F7" i="1"/>
  <c r="F6" i="1"/>
  <c r="F5" i="1"/>
  <c r="F4" i="1"/>
  <c r="F3" i="1"/>
  <c r="E12" i="1"/>
  <c r="P12" i="1" s="1"/>
  <c r="E11" i="1"/>
  <c r="P11" i="1" s="1"/>
  <c r="E10" i="1"/>
  <c r="E9" i="1"/>
  <c r="E8" i="1"/>
  <c r="P8" i="1" s="1"/>
  <c r="E7" i="1"/>
  <c r="P7" i="1" s="1"/>
  <c r="E6" i="1"/>
  <c r="E5" i="1"/>
  <c r="E4" i="1"/>
  <c r="P4" i="1" s="1"/>
  <c r="E3" i="1"/>
  <c r="P3" i="1" s="1"/>
  <c r="P5" i="3" l="1"/>
  <c r="P9" i="3"/>
  <c r="P13" i="3"/>
  <c r="P3" i="3"/>
  <c r="P6" i="3"/>
  <c r="P7" i="3"/>
  <c r="P8" i="3"/>
</calcChain>
</file>

<file path=xl/sharedStrings.xml><?xml version="1.0" encoding="utf-8"?>
<sst xmlns="http://schemas.openxmlformats.org/spreadsheetml/2006/main" count="64" uniqueCount="14">
  <si>
    <t>Time</t>
  </si>
  <si>
    <t>distance</t>
  </si>
  <si>
    <t>speed</t>
  </si>
  <si>
    <t>uncertainty</t>
  </si>
  <si>
    <t>lower</t>
  </si>
  <si>
    <t>upper</t>
  </si>
  <si>
    <t>Check</t>
  </si>
  <si>
    <t>GW60</t>
  </si>
  <si>
    <t>Diff</t>
  </si>
  <si>
    <t>Status</t>
  </si>
  <si>
    <t>LCD @ 1 Hz</t>
  </si>
  <si>
    <t>LCD @ 1Hz</t>
  </si>
  <si>
    <t>Mini @ 5 Hz</t>
  </si>
  <si>
    <t>Mini @ 10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</si>
</sst>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9540-B584-4ACB-B348-01F58498D0C4}">
  <dimension ref="A1:P12"/>
  <sheetViews>
    <sheetView workbookViewId="0">
      <selection activeCell="A14" sqref="A14"/>
    </sheetView>
  </sheetViews>
  <sheetFormatPr defaultRowHeight="15" x14ac:dyDescent="0.25"/>
  <cols>
    <col min="1" max="6" width="12.7109375" customWidth="1"/>
    <col min="7" max="7" width="12" customWidth="1"/>
    <col min="8" max="13" width="12.7109375" customWidth="1"/>
    <col min="16" max="16" width="12.7109375" style="5" customWidth="1"/>
  </cols>
  <sheetData>
    <row r="1" spans="1:16" s="2" customFormat="1" x14ac:dyDescent="0.25">
      <c r="A1" s="2" t="s">
        <v>10</v>
      </c>
      <c r="H1" s="2" t="s">
        <v>13</v>
      </c>
      <c r="P1" s="4"/>
    </row>
    <row r="2" spans="1:16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2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O2" s="2" t="s">
        <v>8</v>
      </c>
      <c r="P2" s="4" t="s">
        <v>6</v>
      </c>
    </row>
    <row r="3" spans="1:16" x14ac:dyDescent="0.25">
      <c r="A3" s="1">
        <v>0.51336805555555554</v>
      </c>
      <c r="B3">
        <v>512.1</v>
      </c>
      <c r="C3" s="3">
        <v>39.82</v>
      </c>
      <c r="D3" s="6">
        <v>0.41699999999999998</v>
      </c>
      <c r="E3" s="3">
        <f>C3-D3</f>
        <v>39.402999999999999</v>
      </c>
      <c r="F3" s="3">
        <f>C3+D3</f>
        <v>40.237000000000002</v>
      </c>
      <c r="H3" s="1">
        <v>0.51336805555555554</v>
      </c>
      <c r="I3">
        <v>501.2</v>
      </c>
      <c r="J3" s="3">
        <v>40.094000000000001</v>
      </c>
      <c r="K3" s="3">
        <v>3.9E-2</v>
      </c>
      <c r="L3" s="3">
        <f>J3-K3</f>
        <v>40.055</v>
      </c>
      <c r="M3" s="3">
        <f>J3+K3</f>
        <v>40.133000000000003</v>
      </c>
      <c r="O3" s="3">
        <f>ABS(J3-C3)</f>
        <v>0.27400000000000091</v>
      </c>
      <c r="P3" s="5" t="str">
        <f>IF(OR(M3&lt;E3,F3&lt;L3),":o",":)")</f>
        <v>:)</v>
      </c>
    </row>
    <row r="4" spans="1:16" x14ac:dyDescent="0.25">
      <c r="A4" s="1">
        <v>0.50390046296296298</v>
      </c>
      <c r="B4">
        <v>504.1</v>
      </c>
      <c r="C4" s="3">
        <v>37.686</v>
      </c>
      <c r="D4" s="6">
        <v>0.5</v>
      </c>
      <c r="E4" s="3">
        <f t="shared" ref="E4:E12" si="0">C4-D4</f>
        <v>37.186</v>
      </c>
      <c r="F4" s="3">
        <f t="shared" ref="F4:F12" si="1">C4+D4</f>
        <v>38.186</v>
      </c>
      <c r="H4" s="1">
        <v>0.50388888888888894</v>
      </c>
      <c r="I4">
        <v>501.1</v>
      </c>
      <c r="J4" s="3">
        <v>37.755000000000003</v>
      </c>
      <c r="K4" s="3">
        <v>4.2000000000000003E-2</v>
      </c>
      <c r="L4" s="3">
        <f t="shared" ref="L4:L12" si="2">J4-K4</f>
        <v>37.713000000000001</v>
      </c>
      <c r="M4" s="3">
        <f t="shared" ref="M4:M12" si="3">J4+K4</f>
        <v>37.797000000000004</v>
      </c>
      <c r="O4" s="3">
        <f>ABS(J4-C4)</f>
        <v>6.9000000000002615E-2</v>
      </c>
      <c r="P4" s="5" t="str">
        <f t="shared" ref="P4:P12" si="4">IF(OR(M4&lt;E4,F4&lt;L4),":o",":)")</f>
        <v>:)</v>
      </c>
    </row>
    <row r="5" spans="1:16" x14ac:dyDescent="0.25">
      <c r="A5" s="1">
        <v>0.49456018518518513</v>
      </c>
      <c r="B5">
        <v>511.4</v>
      </c>
      <c r="C5" s="3">
        <v>36.814999999999998</v>
      </c>
      <c r="D5" s="6">
        <v>0.49199999999999999</v>
      </c>
      <c r="E5" s="3">
        <f t="shared" si="0"/>
        <v>36.323</v>
      </c>
      <c r="F5" s="3">
        <f t="shared" si="1"/>
        <v>37.306999999999995</v>
      </c>
      <c r="H5" s="1">
        <v>0.49456018518518513</v>
      </c>
      <c r="I5">
        <v>500.2</v>
      </c>
      <c r="J5" s="3">
        <v>37.255000000000003</v>
      </c>
      <c r="K5" s="3">
        <v>4.3999999999999997E-2</v>
      </c>
      <c r="L5" s="3">
        <f t="shared" si="2"/>
        <v>37.211000000000006</v>
      </c>
      <c r="M5" s="3">
        <f t="shared" si="3"/>
        <v>37.298999999999999</v>
      </c>
      <c r="O5" s="3">
        <f>ABS(J5-C5)</f>
        <v>0.44000000000000483</v>
      </c>
      <c r="P5" s="5" t="str">
        <f t="shared" si="4"/>
        <v>:)</v>
      </c>
    </row>
    <row r="6" spans="1:16" x14ac:dyDescent="0.25">
      <c r="A6" s="1">
        <v>0.50476851851851856</v>
      </c>
      <c r="B6">
        <v>500.2</v>
      </c>
      <c r="C6" s="3">
        <v>33.530999999999999</v>
      </c>
      <c r="D6" s="6">
        <v>0.49199999999999999</v>
      </c>
      <c r="E6" s="3">
        <f t="shared" si="0"/>
        <v>33.039000000000001</v>
      </c>
      <c r="F6" s="3">
        <f t="shared" si="1"/>
        <v>34.022999999999996</v>
      </c>
      <c r="H6" s="1">
        <v>0.50476851851851856</v>
      </c>
      <c r="I6">
        <v>500.3</v>
      </c>
      <c r="J6" s="3">
        <v>33.531999999999996</v>
      </c>
      <c r="K6" s="3">
        <v>3.9E-2</v>
      </c>
      <c r="L6" s="3">
        <f t="shared" si="2"/>
        <v>33.492999999999995</v>
      </c>
      <c r="M6" s="3">
        <f t="shared" si="3"/>
        <v>33.570999999999998</v>
      </c>
      <c r="O6" s="3">
        <f>ABS(J6-C6)</f>
        <v>9.9999999999766942E-4</v>
      </c>
      <c r="P6" s="5" t="str">
        <f t="shared" si="4"/>
        <v>:)</v>
      </c>
    </row>
    <row r="7" spans="1:16" x14ac:dyDescent="0.25">
      <c r="A7" s="1">
        <v>0.50201388888888887</v>
      </c>
      <c r="B7">
        <v>504.3</v>
      </c>
      <c r="C7" s="3">
        <v>31.622</v>
      </c>
      <c r="D7" s="6">
        <v>0.55500000000000005</v>
      </c>
      <c r="E7" s="3">
        <f t="shared" si="0"/>
        <v>31.067</v>
      </c>
      <c r="F7" s="3">
        <f t="shared" si="1"/>
        <v>32.177</v>
      </c>
      <c r="H7" s="1">
        <v>0.50200231481481483</v>
      </c>
      <c r="I7">
        <v>501.2</v>
      </c>
      <c r="J7" s="3">
        <v>31.632999999999999</v>
      </c>
      <c r="K7" s="3">
        <v>4.2999999999999997E-2</v>
      </c>
      <c r="L7" s="3">
        <f t="shared" si="2"/>
        <v>31.59</v>
      </c>
      <c r="M7" s="3">
        <f t="shared" si="3"/>
        <v>31.675999999999998</v>
      </c>
      <c r="O7" s="3">
        <f>ABS(J7-C7)</f>
        <v>1.0999999999999233E-2</v>
      </c>
      <c r="P7" s="5" t="str">
        <f t="shared" si="4"/>
        <v>:)</v>
      </c>
    </row>
    <row r="8" spans="1:16" x14ac:dyDescent="0.25">
      <c r="A8" s="1">
        <v>0.50103009259259257</v>
      </c>
      <c r="B8">
        <v>507.1</v>
      </c>
      <c r="C8" s="3">
        <v>28.994</v>
      </c>
      <c r="D8" s="6">
        <v>0.439</v>
      </c>
      <c r="E8" s="3">
        <f t="shared" si="0"/>
        <v>28.555</v>
      </c>
      <c r="F8" s="3">
        <f t="shared" si="1"/>
        <v>29.433</v>
      </c>
      <c r="H8" s="1">
        <v>0.50103009259259257</v>
      </c>
      <c r="I8">
        <v>500.2</v>
      </c>
      <c r="J8" s="3">
        <v>29.021999999999998</v>
      </c>
      <c r="K8" s="3">
        <v>4.2999999999999997E-2</v>
      </c>
      <c r="L8" s="3">
        <f t="shared" si="2"/>
        <v>28.978999999999999</v>
      </c>
      <c r="M8" s="3">
        <f t="shared" si="3"/>
        <v>29.064999999999998</v>
      </c>
      <c r="O8" s="3">
        <f>ABS(J8-C8)</f>
        <v>2.7999999999998693E-2</v>
      </c>
      <c r="P8" s="5" t="str">
        <f t="shared" si="4"/>
        <v>:)</v>
      </c>
    </row>
    <row r="9" spans="1:16" x14ac:dyDescent="0.25">
      <c r="A9" s="1">
        <v>0.49532407407407408</v>
      </c>
      <c r="B9">
        <v>501.7</v>
      </c>
      <c r="C9" s="3">
        <v>28.681000000000001</v>
      </c>
      <c r="D9" s="6">
        <v>0.48599999999999999</v>
      </c>
      <c r="E9" s="3">
        <f t="shared" si="0"/>
        <v>28.195</v>
      </c>
      <c r="F9" s="3">
        <f t="shared" si="1"/>
        <v>29.167000000000002</v>
      </c>
      <c r="H9" s="1">
        <v>0.49532407407407408</v>
      </c>
      <c r="I9">
        <v>500.4</v>
      </c>
      <c r="J9" s="3">
        <v>28.695</v>
      </c>
      <c r="K9" s="3">
        <v>3.9E-2</v>
      </c>
      <c r="L9" s="3">
        <f t="shared" si="2"/>
        <v>28.655999999999999</v>
      </c>
      <c r="M9" s="3">
        <f t="shared" si="3"/>
        <v>28.734000000000002</v>
      </c>
      <c r="O9" s="3">
        <f>ABS(J9-C9)</f>
        <v>1.3999999999999346E-2</v>
      </c>
      <c r="P9" s="5" t="str">
        <f t="shared" si="4"/>
        <v>:)</v>
      </c>
    </row>
    <row r="10" spans="1:16" x14ac:dyDescent="0.25">
      <c r="A10" s="1">
        <v>0.49844907407407407</v>
      </c>
      <c r="B10">
        <v>501.1</v>
      </c>
      <c r="C10" s="3">
        <v>27.831</v>
      </c>
      <c r="D10" s="6">
        <v>0.499</v>
      </c>
      <c r="E10" s="3">
        <f t="shared" si="0"/>
        <v>27.332000000000001</v>
      </c>
      <c r="F10" s="3">
        <f t="shared" si="1"/>
        <v>28.33</v>
      </c>
      <c r="H10" s="1">
        <v>0.49844907407407407</v>
      </c>
      <c r="I10">
        <v>500.3</v>
      </c>
      <c r="J10" s="3">
        <v>27.867999999999999</v>
      </c>
      <c r="K10" s="3">
        <v>3.6999999999999998E-2</v>
      </c>
      <c r="L10" s="3">
        <f t="shared" si="2"/>
        <v>27.831</v>
      </c>
      <c r="M10" s="3">
        <f t="shared" si="3"/>
        <v>27.904999999999998</v>
      </c>
      <c r="O10" s="3">
        <f>ABS(J10-C10)</f>
        <v>3.6999999999999034E-2</v>
      </c>
      <c r="P10" s="5" t="str">
        <f t="shared" si="4"/>
        <v>:)</v>
      </c>
    </row>
    <row r="11" spans="1:16" x14ac:dyDescent="0.25">
      <c r="A11" s="1">
        <v>0.50037037037037035</v>
      </c>
      <c r="B11">
        <v>513.6</v>
      </c>
      <c r="C11" s="3">
        <v>24.349</v>
      </c>
      <c r="D11" s="6">
        <v>0.53400000000000003</v>
      </c>
      <c r="E11" s="3">
        <f t="shared" si="0"/>
        <v>23.815000000000001</v>
      </c>
      <c r="F11" s="3">
        <f t="shared" si="1"/>
        <v>24.882999999999999</v>
      </c>
      <c r="H11" s="1">
        <v>0.50024305555555559</v>
      </c>
      <c r="I11">
        <v>500.8</v>
      </c>
      <c r="J11" s="3">
        <v>24.335000000000001</v>
      </c>
      <c r="K11" s="3">
        <v>4.1000000000000002E-2</v>
      </c>
      <c r="L11" s="3">
        <f t="shared" si="2"/>
        <v>24.294</v>
      </c>
      <c r="M11" s="3">
        <f t="shared" si="3"/>
        <v>24.376000000000001</v>
      </c>
      <c r="O11" s="3">
        <f>ABS(J11-C11)</f>
        <v>1.3999999999999346E-2</v>
      </c>
      <c r="P11" s="5" t="str">
        <f t="shared" si="4"/>
        <v>:)</v>
      </c>
    </row>
    <row r="12" spans="1:16" x14ac:dyDescent="0.25">
      <c r="A12" s="1">
        <v>0.4937037037037037</v>
      </c>
      <c r="B12">
        <v>512.29999999999995</v>
      </c>
      <c r="C12" s="3">
        <v>23.712</v>
      </c>
      <c r="D12" s="6">
        <v>0.46800000000000003</v>
      </c>
      <c r="E12" s="3">
        <f t="shared" si="0"/>
        <v>23.244</v>
      </c>
      <c r="F12" s="3">
        <f t="shared" si="1"/>
        <v>24.18</v>
      </c>
      <c r="H12" s="1">
        <v>0.49368055555555551</v>
      </c>
      <c r="I12">
        <v>502.1</v>
      </c>
      <c r="J12" s="3">
        <v>23.516999999999999</v>
      </c>
      <c r="K12" s="3">
        <v>3.5999999999999997E-2</v>
      </c>
      <c r="L12" s="3">
        <f t="shared" si="2"/>
        <v>23.480999999999998</v>
      </c>
      <c r="M12" s="3">
        <f t="shared" si="3"/>
        <v>23.553000000000001</v>
      </c>
      <c r="O12" s="3">
        <f>ABS(J12-C12)</f>
        <v>0.19500000000000028</v>
      </c>
      <c r="P12" s="5" t="str">
        <f t="shared" si="4"/>
        <v>:)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A926-4955-4251-97BF-445084C57599}">
  <dimension ref="A1:P29"/>
  <sheetViews>
    <sheetView tabSelected="1" workbookViewId="0">
      <selection activeCell="A31" sqref="A31"/>
    </sheetView>
  </sheetViews>
  <sheetFormatPr defaultRowHeight="15" x14ac:dyDescent="0.25"/>
  <cols>
    <col min="1" max="6" width="12.7109375" customWidth="1"/>
    <col min="7" max="7" width="12" customWidth="1"/>
    <col min="8" max="13" width="12.7109375" customWidth="1"/>
    <col min="16" max="16" width="12.7109375" style="5" customWidth="1"/>
  </cols>
  <sheetData>
    <row r="1" spans="1:16" s="2" customFormat="1" x14ac:dyDescent="0.25">
      <c r="A1" s="2" t="s">
        <v>7</v>
      </c>
      <c r="H1" s="2" t="s">
        <v>11</v>
      </c>
      <c r="P1" s="4"/>
    </row>
    <row r="2" spans="1:16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2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O2" s="2" t="s">
        <v>8</v>
      </c>
      <c r="P2" s="4" t="s">
        <v>9</v>
      </c>
    </row>
    <row r="3" spans="1:16" x14ac:dyDescent="0.25">
      <c r="A3" s="1">
        <v>0.47995370370370366</v>
      </c>
      <c r="B3">
        <v>512.5</v>
      </c>
      <c r="C3" s="3">
        <v>35.576000000000001</v>
      </c>
      <c r="D3" s="3">
        <v>0.13700000000000001</v>
      </c>
      <c r="E3" s="3">
        <f>C3-D3</f>
        <v>35.439</v>
      </c>
      <c r="F3" s="3">
        <f>C3+D3</f>
        <v>35.713000000000001</v>
      </c>
      <c r="H3" s="1">
        <v>0.39662037037037035</v>
      </c>
      <c r="I3">
        <v>512.9</v>
      </c>
      <c r="J3" s="3">
        <v>35.606000000000002</v>
      </c>
      <c r="K3" s="6">
        <v>0.33100000000000002</v>
      </c>
      <c r="L3" s="3">
        <f>J3-K3</f>
        <v>35.274999999999999</v>
      </c>
      <c r="M3" s="3">
        <f>J3+K3</f>
        <v>35.937000000000005</v>
      </c>
      <c r="O3" s="3">
        <f>ABS(J3-C3)</f>
        <v>3.0000000000001137E-2</v>
      </c>
      <c r="P3" s="5" t="str">
        <f>IF(OR(M3&lt;E3,F3&lt;L3),":o",":)")</f>
        <v>:)</v>
      </c>
    </row>
    <row r="4" spans="1:16" x14ac:dyDescent="0.25">
      <c r="A4" s="1">
        <v>0.47813657407407412</v>
      </c>
      <c r="B4">
        <v>502.3</v>
      </c>
      <c r="C4" s="3">
        <v>34.868000000000002</v>
      </c>
      <c r="D4" s="3">
        <v>0.16300000000000001</v>
      </c>
      <c r="E4" s="3">
        <f t="shared" ref="E4:E9" si="0">C4-D4</f>
        <v>34.705000000000005</v>
      </c>
      <c r="F4" s="3">
        <f t="shared" ref="F4:F9" si="1">C4+D4</f>
        <v>35.030999999999999</v>
      </c>
      <c r="H4" s="1"/>
      <c r="J4" s="3"/>
      <c r="K4" s="6"/>
      <c r="L4" s="3"/>
      <c r="M4" s="3"/>
    </row>
    <row r="5" spans="1:16" x14ac:dyDescent="0.25">
      <c r="A5" s="1">
        <v>0.49025462962962968</v>
      </c>
      <c r="B5">
        <v>508.6</v>
      </c>
      <c r="C5" s="3">
        <v>34.090000000000003</v>
      </c>
      <c r="D5" s="3">
        <v>7.0999999999999994E-2</v>
      </c>
      <c r="E5" s="3">
        <f t="shared" si="0"/>
        <v>34.019000000000005</v>
      </c>
      <c r="F5" s="3">
        <f t="shared" si="1"/>
        <v>34.161000000000001</v>
      </c>
      <c r="H5" s="1">
        <v>0.40692129629629631</v>
      </c>
      <c r="I5">
        <v>508.7</v>
      </c>
      <c r="J5" s="3">
        <v>34.097000000000001</v>
      </c>
      <c r="K5" s="6">
        <v>0.376</v>
      </c>
      <c r="L5" s="3">
        <f t="shared" ref="L5:L9" si="2">J5-K5</f>
        <v>33.721000000000004</v>
      </c>
      <c r="M5" s="3">
        <f t="shared" ref="M5:M9" si="3">J5+K5</f>
        <v>34.472999999999999</v>
      </c>
      <c r="O5" s="3">
        <f>ABS(J5-C5)</f>
        <v>6.9999999999978968E-3</v>
      </c>
      <c r="P5" s="5" t="str">
        <f>IF(OR(M5&lt;E5,F5&lt;L5),":o",":)")</f>
        <v>:)</v>
      </c>
    </row>
    <row r="6" spans="1:16" x14ac:dyDescent="0.25">
      <c r="A6" s="1">
        <v>0.48451388888888891</v>
      </c>
      <c r="B6">
        <v>507.7</v>
      </c>
      <c r="C6" s="3">
        <v>30.84</v>
      </c>
      <c r="D6" s="3">
        <v>0.14000000000000001</v>
      </c>
      <c r="E6" s="3">
        <f t="shared" si="0"/>
        <v>30.7</v>
      </c>
      <c r="F6" s="3">
        <f t="shared" si="1"/>
        <v>30.98</v>
      </c>
      <c r="H6" s="1">
        <v>0.40116898148148145</v>
      </c>
      <c r="I6">
        <v>507.9</v>
      </c>
      <c r="J6" s="3">
        <v>30.852</v>
      </c>
      <c r="K6" s="6">
        <v>0.39400000000000002</v>
      </c>
      <c r="L6" s="3">
        <f t="shared" si="2"/>
        <v>30.458000000000002</v>
      </c>
      <c r="M6" s="3">
        <f t="shared" si="3"/>
        <v>31.245999999999999</v>
      </c>
      <c r="O6" s="3">
        <f>ABS(J6-C6)</f>
        <v>1.2000000000000455E-2</v>
      </c>
      <c r="P6" s="5" t="str">
        <f>IF(OR(M6&lt;E6,F6&lt;L6),":o",":)")</f>
        <v>:)</v>
      </c>
    </row>
    <row r="7" spans="1:16" x14ac:dyDescent="0.25">
      <c r="A7" s="1">
        <v>0.48583333333333334</v>
      </c>
      <c r="B7">
        <v>506.5</v>
      </c>
      <c r="C7" s="3">
        <v>30.77</v>
      </c>
      <c r="D7" s="3">
        <v>0.10299999999999999</v>
      </c>
      <c r="E7" s="3">
        <f t="shared" si="0"/>
        <v>30.666999999999998</v>
      </c>
      <c r="F7" s="3">
        <f t="shared" si="1"/>
        <v>30.873000000000001</v>
      </c>
      <c r="H7" s="1">
        <v>0.40250000000000002</v>
      </c>
      <c r="I7">
        <v>507.4</v>
      </c>
      <c r="J7" s="3">
        <v>30.821000000000002</v>
      </c>
      <c r="K7" s="6">
        <v>0.441</v>
      </c>
      <c r="L7" s="3">
        <f t="shared" si="2"/>
        <v>30.380000000000003</v>
      </c>
      <c r="M7" s="3">
        <f t="shared" si="3"/>
        <v>31.262</v>
      </c>
      <c r="O7" s="3">
        <f>ABS(J7-C7)</f>
        <v>5.1000000000001933E-2</v>
      </c>
      <c r="P7" s="5" t="str">
        <f>IF(OR(M7&lt;E7,F7&lt;L7),":o",":)")</f>
        <v>:)</v>
      </c>
    </row>
    <row r="8" spans="1:16" x14ac:dyDescent="0.25">
      <c r="A8" s="1">
        <v>0.47641203703703705</v>
      </c>
      <c r="B8">
        <v>504.1</v>
      </c>
      <c r="C8" s="3">
        <v>30.622</v>
      </c>
      <c r="D8" s="3">
        <v>8.8999999999999996E-2</v>
      </c>
      <c r="E8" s="3">
        <f t="shared" si="0"/>
        <v>30.533000000000001</v>
      </c>
      <c r="F8" s="3">
        <f t="shared" si="1"/>
        <v>30.710999999999999</v>
      </c>
      <c r="H8" s="1">
        <v>0.39307870370370374</v>
      </c>
      <c r="I8">
        <v>504.6</v>
      </c>
      <c r="J8" s="3">
        <v>30.651</v>
      </c>
      <c r="K8" s="6">
        <v>0.56499999999999995</v>
      </c>
      <c r="L8" s="3">
        <f t="shared" si="2"/>
        <v>30.085999999999999</v>
      </c>
      <c r="M8" s="3">
        <f t="shared" si="3"/>
        <v>31.216000000000001</v>
      </c>
      <c r="O8" s="3">
        <f>ABS(J8-C8)</f>
        <v>2.8999999999999915E-2</v>
      </c>
      <c r="P8" s="5" t="str">
        <f>IF(OR(M8&lt;E8,F8&lt;L8),":o",":)")</f>
        <v>:)</v>
      </c>
    </row>
    <row r="9" spans="1:16" x14ac:dyDescent="0.25">
      <c r="A9" s="1">
        <v>0.48755787037037041</v>
      </c>
      <c r="B9">
        <v>503.4</v>
      </c>
      <c r="C9" s="3">
        <v>28.780999999999999</v>
      </c>
      <c r="D9" s="3">
        <v>0.26800000000000002</v>
      </c>
      <c r="E9" s="3">
        <f t="shared" si="0"/>
        <v>28.512999999999998</v>
      </c>
      <c r="F9" s="3">
        <f t="shared" si="1"/>
        <v>29.048999999999999</v>
      </c>
      <c r="H9" s="1">
        <v>0.40422453703703703</v>
      </c>
      <c r="I9">
        <v>502.8</v>
      </c>
      <c r="J9" s="3">
        <v>28.742999999999999</v>
      </c>
      <c r="K9" s="6">
        <v>0.44900000000000001</v>
      </c>
      <c r="L9" s="3">
        <f t="shared" si="2"/>
        <v>28.293999999999997</v>
      </c>
      <c r="M9" s="3">
        <f t="shared" si="3"/>
        <v>29.192</v>
      </c>
      <c r="O9" s="3">
        <f>ABS(J9-C9)</f>
        <v>3.8000000000000256E-2</v>
      </c>
      <c r="P9" s="5" t="str">
        <f>IF(OR(M9&lt;E9,F9&lt;L9),":o",":)")</f>
        <v>:)</v>
      </c>
    </row>
    <row r="10" spans="1:16" x14ac:dyDescent="0.25">
      <c r="H10" s="1"/>
      <c r="J10" s="3"/>
      <c r="K10" s="3"/>
    </row>
    <row r="11" spans="1:16" x14ac:dyDescent="0.25">
      <c r="A11" s="2" t="s">
        <v>7</v>
      </c>
      <c r="B11" s="2"/>
      <c r="C11" s="2"/>
      <c r="D11" s="2"/>
      <c r="E11" s="2"/>
      <c r="F11" s="2"/>
      <c r="G11" s="2"/>
      <c r="H11" s="2" t="s">
        <v>12</v>
      </c>
      <c r="I11" s="2"/>
      <c r="J11" s="2"/>
      <c r="K11" s="2"/>
      <c r="L11" s="2"/>
      <c r="M11" s="2"/>
      <c r="N11" s="2"/>
      <c r="O11" s="2"/>
      <c r="P11" s="4"/>
    </row>
    <row r="12" spans="1:16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/>
      <c r="H12" s="2" t="s">
        <v>0</v>
      </c>
      <c r="I12" s="2" t="s">
        <v>1</v>
      </c>
      <c r="J12" s="2" t="s">
        <v>2</v>
      </c>
      <c r="K12" s="2" t="s">
        <v>3</v>
      </c>
      <c r="L12" s="2" t="s">
        <v>4</v>
      </c>
      <c r="M12" s="2" t="s">
        <v>5</v>
      </c>
      <c r="N12" s="2"/>
      <c r="O12" s="2" t="s">
        <v>8</v>
      </c>
      <c r="P12" s="4" t="s">
        <v>9</v>
      </c>
    </row>
    <row r="13" spans="1:16" x14ac:dyDescent="0.25">
      <c r="A13" s="1">
        <v>0.47995370370370366</v>
      </c>
      <c r="B13">
        <v>512.5</v>
      </c>
      <c r="C13" s="3">
        <v>35.576000000000001</v>
      </c>
      <c r="D13" s="3">
        <v>0.13700000000000001</v>
      </c>
      <c r="E13" s="3">
        <f>C13-D13</f>
        <v>35.439</v>
      </c>
      <c r="F13" s="3">
        <f>C13+D13</f>
        <v>35.713000000000001</v>
      </c>
      <c r="H13" s="1">
        <v>0.39660879629629631</v>
      </c>
      <c r="I13">
        <v>500.4</v>
      </c>
      <c r="J13" s="3">
        <v>35.76</v>
      </c>
      <c r="K13" s="3">
        <v>0.05</v>
      </c>
      <c r="L13" s="3">
        <f>J13-K13</f>
        <v>35.71</v>
      </c>
      <c r="M13" s="3">
        <f>J13+K13</f>
        <v>35.809999999999995</v>
      </c>
      <c r="O13" s="3">
        <f>ABS(J13-C13)</f>
        <v>0.1839999999999975</v>
      </c>
      <c r="P13" s="5" t="str">
        <f>IF(OR(M13&lt;E13,F13&lt;L13),":o",":)")</f>
        <v>:)</v>
      </c>
    </row>
    <row r="14" spans="1:16" x14ac:dyDescent="0.25">
      <c r="A14" s="1">
        <v>0.47813657407407412</v>
      </c>
      <c r="B14">
        <v>502.3</v>
      </c>
      <c r="C14" s="3">
        <v>34.868000000000002</v>
      </c>
      <c r="D14" s="3">
        <v>0.16300000000000001</v>
      </c>
      <c r="E14" s="3">
        <f t="shared" ref="E14:E19" si="4">C14-D14</f>
        <v>34.705000000000005</v>
      </c>
      <c r="F14" s="3">
        <f t="shared" ref="F14:F19" si="5">C14+D14</f>
        <v>35.030999999999999</v>
      </c>
      <c r="H14" s="1">
        <v>0.39480324074074075</v>
      </c>
      <c r="I14">
        <v>502.5</v>
      </c>
      <c r="J14" s="3">
        <v>34.887</v>
      </c>
      <c r="K14" s="3">
        <v>4.9000000000000002E-2</v>
      </c>
      <c r="L14" s="3">
        <f>J14-K14</f>
        <v>34.838000000000001</v>
      </c>
      <c r="M14" s="3">
        <f>J14+K14</f>
        <v>34.936</v>
      </c>
      <c r="O14" s="3">
        <f>ABS(J14-C14)</f>
        <v>1.8999999999998352E-2</v>
      </c>
      <c r="P14" s="5" t="str">
        <f>IF(OR(M14&lt;E14,F14&lt;L14),":o",":)")</f>
        <v>:)</v>
      </c>
    </row>
    <row r="15" spans="1:16" x14ac:dyDescent="0.25">
      <c r="A15" s="1">
        <v>0.49025462962962968</v>
      </c>
      <c r="B15">
        <v>508.6</v>
      </c>
      <c r="C15" s="3">
        <v>34.090000000000003</v>
      </c>
      <c r="D15" s="3">
        <v>7.0999999999999994E-2</v>
      </c>
      <c r="E15" s="3">
        <f t="shared" si="4"/>
        <v>34.019000000000005</v>
      </c>
      <c r="F15" s="3">
        <f t="shared" si="5"/>
        <v>34.161000000000001</v>
      </c>
      <c r="H15" s="1">
        <v>0.40690972222222221</v>
      </c>
      <c r="I15">
        <v>501.8</v>
      </c>
      <c r="J15" s="3">
        <v>34.103999999999999</v>
      </c>
      <c r="K15" s="3">
        <v>5.2999999999999999E-2</v>
      </c>
      <c r="L15" s="3">
        <f t="shared" ref="L15" si="6">J15-K15</f>
        <v>34.051000000000002</v>
      </c>
      <c r="M15" s="3">
        <f t="shared" ref="M15" si="7">J15+K15</f>
        <v>34.156999999999996</v>
      </c>
      <c r="O15" s="3">
        <f>ABS(J15-C15)</f>
        <v>1.3999999999995794E-2</v>
      </c>
      <c r="P15" s="5" t="str">
        <f>IF(OR(M15&lt;E15,F15&lt;L15),":o",":)")</f>
        <v>:)</v>
      </c>
    </row>
    <row r="16" spans="1:16" x14ac:dyDescent="0.25">
      <c r="A16" s="1">
        <v>0.48451388888888891</v>
      </c>
      <c r="B16">
        <v>507.7</v>
      </c>
      <c r="C16" s="3">
        <v>30.84</v>
      </c>
      <c r="D16" s="3">
        <v>0.14000000000000001</v>
      </c>
      <c r="E16" s="3">
        <f t="shared" si="4"/>
        <v>30.7</v>
      </c>
      <c r="F16" s="3">
        <f t="shared" si="5"/>
        <v>30.98</v>
      </c>
      <c r="H16" s="1"/>
      <c r="J16" s="3"/>
      <c r="K16" s="3"/>
      <c r="L16" s="3"/>
      <c r="M16" s="3"/>
    </row>
    <row r="17" spans="1:16" x14ac:dyDescent="0.25">
      <c r="A17" s="1">
        <v>0.48583333333333334</v>
      </c>
      <c r="B17">
        <v>506.5</v>
      </c>
      <c r="C17" s="3">
        <v>30.77</v>
      </c>
      <c r="D17" s="3">
        <v>0.10299999999999999</v>
      </c>
      <c r="E17" s="3">
        <f t="shared" si="4"/>
        <v>30.666999999999998</v>
      </c>
      <c r="F17" s="3">
        <f t="shared" si="5"/>
        <v>30.873000000000001</v>
      </c>
      <c r="H17" s="1">
        <v>0.40250000000000002</v>
      </c>
      <c r="I17">
        <v>500.2</v>
      </c>
      <c r="J17" s="3">
        <v>30.966000000000001</v>
      </c>
      <c r="K17" s="3">
        <v>5.0999999999999997E-2</v>
      </c>
      <c r="L17" s="3">
        <f t="shared" ref="L17:L19" si="8">J17-K17</f>
        <v>30.915000000000003</v>
      </c>
      <c r="M17" s="3">
        <f t="shared" ref="M17:M19" si="9">J17+K17</f>
        <v>31.016999999999999</v>
      </c>
      <c r="O17" s="3">
        <f>ABS(J17-C17)</f>
        <v>0.19600000000000151</v>
      </c>
      <c r="P17" s="5" t="str">
        <f>IF(OR(M17&lt;E17,F17&lt;L17),":o",":)")</f>
        <v>:o</v>
      </c>
    </row>
    <row r="18" spans="1:16" x14ac:dyDescent="0.25">
      <c r="A18" s="1">
        <v>0.47641203703703705</v>
      </c>
      <c r="B18">
        <v>504.1</v>
      </c>
      <c r="C18" s="3">
        <v>30.622</v>
      </c>
      <c r="D18" s="3">
        <v>8.8999999999999996E-2</v>
      </c>
      <c r="E18" s="3">
        <f t="shared" si="4"/>
        <v>30.533000000000001</v>
      </c>
      <c r="F18" s="3">
        <f t="shared" si="5"/>
        <v>30.710999999999999</v>
      </c>
      <c r="H18" s="1">
        <v>0.39306712962962959</v>
      </c>
      <c r="I18">
        <v>500.3</v>
      </c>
      <c r="J18" s="3">
        <v>30.777999999999999</v>
      </c>
      <c r="K18" s="3">
        <v>5.0999999999999997E-2</v>
      </c>
      <c r="L18" s="3">
        <f t="shared" si="8"/>
        <v>30.727</v>
      </c>
      <c r="M18" s="3">
        <f t="shared" si="9"/>
        <v>30.828999999999997</v>
      </c>
      <c r="O18" s="3">
        <f>ABS(J18-C18)</f>
        <v>0.15599999999999881</v>
      </c>
      <c r="P18" s="5" t="str">
        <f>IF(OR(M18&lt;E18,F18&lt;L18),":o",":)")</f>
        <v>:o</v>
      </c>
    </row>
    <row r="19" spans="1:16" x14ac:dyDescent="0.25">
      <c r="A19" s="1">
        <v>0.48755787037037041</v>
      </c>
      <c r="B19">
        <v>503.4</v>
      </c>
      <c r="C19" s="3">
        <v>28.780999999999999</v>
      </c>
      <c r="D19" s="3">
        <v>0.26800000000000002</v>
      </c>
      <c r="E19" s="3">
        <f t="shared" si="4"/>
        <v>28.512999999999998</v>
      </c>
      <c r="F19" s="3">
        <f t="shared" si="5"/>
        <v>29.048999999999999</v>
      </c>
      <c r="H19" s="1">
        <v>0.40422453703703703</v>
      </c>
      <c r="I19">
        <v>500.5</v>
      </c>
      <c r="J19" s="3">
        <v>28.783000000000001</v>
      </c>
      <c r="K19" s="3">
        <v>5.1999999999999998E-2</v>
      </c>
      <c r="L19" s="3">
        <f t="shared" si="8"/>
        <v>28.731000000000002</v>
      </c>
      <c r="M19" s="3">
        <f t="shared" si="9"/>
        <v>28.835000000000001</v>
      </c>
      <c r="O19" s="3">
        <f>ABS(J19-C19)</f>
        <v>2.0000000000024443E-3</v>
      </c>
      <c r="P19" s="5" t="str">
        <f>IF(OR(M19&lt;E19,F19&lt;L19),":o",":)")</f>
        <v>:)</v>
      </c>
    </row>
    <row r="21" spans="1:16" x14ac:dyDescent="0.25">
      <c r="A21" s="2" t="s">
        <v>11</v>
      </c>
      <c r="B21" s="2"/>
      <c r="C21" s="2"/>
      <c r="D21" s="2"/>
      <c r="E21" s="2"/>
      <c r="F21" s="2"/>
      <c r="H21" s="2" t="s">
        <v>12</v>
      </c>
      <c r="I21" s="2"/>
      <c r="J21" s="2"/>
      <c r="K21" s="2"/>
      <c r="L21" s="2"/>
      <c r="M21" s="2"/>
    </row>
    <row r="22" spans="1:16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H22" s="2" t="s">
        <v>0</v>
      </c>
      <c r="I22" s="2" t="s">
        <v>1</v>
      </c>
      <c r="J22" s="2" t="s">
        <v>2</v>
      </c>
      <c r="K22" s="2" t="s">
        <v>3</v>
      </c>
      <c r="L22" s="2" t="s">
        <v>4</v>
      </c>
      <c r="M22" s="2" t="s">
        <v>5</v>
      </c>
      <c r="O22" s="2" t="s">
        <v>8</v>
      </c>
      <c r="P22" s="4" t="s">
        <v>9</v>
      </c>
    </row>
    <row r="23" spans="1:16" x14ac:dyDescent="0.25">
      <c r="A23" s="1">
        <v>0.39662037037037035</v>
      </c>
      <c r="B23">
        <v>512.9</v>
      </c>
      <c r="C23" s="3">
        <v>35.606000000000002</v>
      </c>
      <c r="D23" s="6">
        <v>0.33100000000000002</v>
      </c>
      <c r="E23" s="3">
        <f>C23-D23</f>
        <v>35.274999999999999</v>
      </c>
      <c r="F23" s="3">
        <f>C23+D23</f>
        <v>35.937000000000005</v>
      </c>
      <c r="H23" s="1">
        <v>0.39660879629629631</v>
      </c>
      <c r="I23">
        <v>500.4</v>
      </c>
      <c r="J23" s="3">
        <v>35.76</v>
      </c>
      <c r="K23" s="3">
        <v>0.05</v>
      </c>
      <c r="L23" s="3">
        <f>J23-K23</f>
        <v>35.71</v>
      </c>
      <c r="M23" s="3">
        <f>J23+K23</f>
        <v>35.809999999999995</v>
      </c>
      <c r="O23" s="3">
        <f>ABS(J23-C23)</f>
        <v>0.15399999999999636</v>
      </c>
      <c r="P23" s="5" t="str">
        <f>IF(OR(M23&lt;E23,F23&lt;L23),":o",":)")</f>
        <v>:)</v>
      </c>
    </row>
    <row r="24" spans="1:16" x14ac:dyDescent="0.25">
      <c r="A24" s="1"/>
      <c r="C24" s="3"/>
      <c r="D24" s="6"/>
      <c r="E24" s="3"/>
      <c r="F24" s="3"/>
      <c r="H24" s="1">
        <v>0.39480324074074075</v>
      </c>
      <c r="I24">
        <v>502.5</v>
      </c>
      <c r="J24" s="3">
        <v>34.887</v>
      </c>
      <c r="K24" s="3">
        <v>4.9000000000000002E-2</v>
      </c>
      <c r="L24" s="3">
        <f>J24-K24</f>
        <v>34.838000000000001</v>
      </c>
      <c r="M24" s="3">
        <f>J24+K24</f>
        <v>34.936</v>
      </c>
      <c r="O24" s="3"/>
    </row>
    <row r="25" spans="1:16" x14ac:dyDescent="0.25">
      <c r="A25" s="1">
        <v>0.40692129629629631</v>
      </c>
      <c r="B25">
        <v>508.7</v>
      </c>
      <c r="C25" s="3">
        <v>34.097000000000001</v>
      </c>
      <c r="D25" s="6">
        <v>0.376</v>
      </c>
      <c r="E25" s="3">
        <f t="shared" ref="E25:E29" si="10">C25-D25</f>
        <v>33.721000000000004</v>
      </c>
      <c r="F25" s="3">
        <f t="shared" ref="F25:F29" si="11">C25+D25</f>
        <v>34.472999999999999</v>
      </c>
      <c r="H25" s="1">
        <v>0.40690972222222221</v>
      </c>
      <c r="I25">
        <v>501.8</v>
      </c>
      <c r="J25" s="3">
        <v>34.103999999999999</v>
      </c>
      <c r="K25" s="3">
        <v>5.2999999999999999E-2</v>
      </c>
      <c r="L25" s="3">
        <f t="shared" ref="L25" si="12">J25-K25</f>
        <v>34.051000000000002</v>
      </c>
      <c r="M25" s="3">
        <f t="shared" ref="M25:M29" si="13">J25+K25</f>
        <v>34.156999999999996</v>
      </c>
      <c r="O25" s="3">
        <f>ABS(J25-C25)</f>
        <v>6.9999999999978968E-3</v>
      </c>
      <c r="P25" s="5" t="str">
        <f>IF(OR(M25&lt;E25,F25&lt;L25),":o",":)")</f>
        <v>:)</v>
      </c>
    </row>
    <row r="26" spans="1:16" x14ac:dyDescent="0.25">
      <c r="A26" s="1">
        <v>0.40116898148148145</v>
      </c>
      <c r="B26">
        <v>507.9</v>
      </c>
      <c r="C26" s="3">
        <v>30.852</v>
      </c>
      <c r="D26" s="6">
        <v>0.39400000000000002</v>
      </c>
      <c r="E26" s="3">
        <f t="shared" si="10"/>
        <v>30.458000000000002</v>
      </c>
      <c r="F26" s="3">
        <f t="shared" si="11"/>
        <v>31.245999999999999</v>
      </c>
      <c r="H26" s="1"/>
      <c r="J26" s="3"/>
      <c r="K26" s="3"/>
      <c r="L26" s="3"/>
      <c r="M26" s="3"/>
    </row>
    <row r="27" spans="1:16" x14ac:dyDescent="0.25">
      <c r="A27" s="1">
        <v>0.40250000000000002</v>
      </c>
      <c r="B27">
        <v>507.4</v>
      </c>
      <c r="C27" s="3">
        <v>30.821000000000002</v>
      </c>
      <c r="D27" s="6">
        <v>0.441</v>
      </c>
      <c r="E27" s="3">
        <f t="shared" si="10"/>
        <v>30.380000000000003</v>
      </c>
      <c r="F27" s="3">
        <f t="shared" si="11"/>
        <v>31.262</v>
      </c>
      <c r="H27" s="1">
        <v>0.40250000000000002</v>
      </c>
      <c r="I27">
        <v>500.2</v>
      </c>
      <c r="J27" s="3">
        <v>30.966000000000001</v>
      </c>
      <c r="K27" s="3">
        <v>5.0999999999999997E-2</v>
      </c>
      <c r="L27" s="3">
        <f t="shared" ref="L27:L29" si="14">J27-K27</f>
        <v>30.915000000000003</v>
      </c>
      <c r="M27" s="3">
        <f t="shared" ref="M27:M29" si="15">J27+K27</f>
        <v>31.016999999999999</v>
      </c>
      <c r="O27" s="3">
        <f>ABS(J27-C27)</f>
        <v>0.14499999999999957</v>
      </c>
      <c r="P27" s="5" t="str">
        <f>IF(OR(M27&lt;E27,F27&lt;L27),":o",":)")</f>
        <v>:)</v>
      </c>
    </row>
    <row r="28" spans="1:16" x14ac:dyDescent="0.25">
      <c r="A28" s="1">
        <v>0.39307870370370374</v>
      </c>
      <c r="B28">
        <v>504.6</v>
      </c>
      <c r="C28" s="3">
        <v>30.651</v>
      </c>
      <c r="D28" s="6">
        <v>0.56499999999999995</v>
      </c>
      <c r="E28" s="3">
        <f t="shared" si="10"/>
        <v>30.085999999999999</v>
      </c>
      <c r="F28" s="3">
        <f t="shared" si="11"/>
        <v>31.216000000000001</v>
      </c>
      <c r="H28" s="1">
        <v>0.39306712962962959</v>
      </c>
      <c r="I28">
        <v>500.3</v>
      </c>
      <c r="J28" s="3">
        <v>30.777999999999999</v>
      </c>
      <c r="K28" s="3">
        <v>5.0999999999999997E-2</v>
      </c>
      <c r="L28" s="3">
        <f t="shared" si="14"/>
        <v>30.727</v>
      </c>
      <c r="M28" s="3">
        <f t="shared" si="15"/>
        <v>30.828999999999997</v>
      </c>
      <c r="O28" s="3">
        <f>ABS(J28-C28)</f>
        <v>0.12699999999999889</v>
      </c>
      <c r="P28" s="5" t="str">
        <f>IF(OR(M28&lt;E28,F28&lt;L28),":o",":)")</f>
        <v>:)</v>
      </c>
    </row>
    <row r="29" spans="1:16" x14ac:dyDescent="0.25">
      <c r="A29" s="1">
        <v>0.40422453703703703</v>
      </c>
      <c r="B29">
        <v>502.8</v>
      </c>
      <c r="C29" s="3">
        <v>28.742999999999999</v>
      </c>
      <c r="D29" s="6">
        <v>0.44900000000000001</v>
      </c>
      <c r="E29" s="3">
        <f t="shared" si="10"/>
        <v>28.293999999999997</v>
      </c>
      <c r="F29" s="3">
        <f t="shared" si="11"/>
        <v>29.192</v>
      </c>
      <c r="H29" s="1">
        <v>0.40422453703703703</v>
      </c>
      <c r="I29">
        <v>500.5</v>
      </c>
      <c r="J29" s="3">
        <v>28.783000000000001</v>
      </c>
      <c r="K29" s="3">
        <v>5.1999999999999998E-2</v>
      </c>
      <c r="L29" s="3">
        <f t="shared" si="14"/>
        <v>28.731000000000002</v>
      </c>
      <c r="M29" s="3">
        <f t="shared" si="15"/>
        <v>28.835000000000001</v>
      </c>
      <c r="O29" s="3">
        <f>ABS(J29-C29)</f>
        <v>4.00000000000027E-2</v>
      </c>
      <c r="P29" s="5" t="str">
        <f>IF(OR(M29&lt;E29,F29&lt;L29),":o",":)")</f>
        <v>:)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20211205</vt:lpstr>
      <vt:lpstr>20211126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2022-04-08T18:29:32Z</dcterms:created>
  <dcterms:modified xsi:type="dcterms:W3CDTF">2022-04-08T19:27:51Z</dcterms:modified>
</cp:coreProperties>
</file>