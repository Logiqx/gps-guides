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contacts\gp3s\analysis\"/>
    </mc:Choice>
  </mc:AlternateContent>
  <xr:revisionPtr revIDLastSave="0" documentId="13_ncr:1_{F2F35492-2032-47EB-A5A7-E59B798B9EB4}" xr6:coauthVersionLast="47" xr6:coauthVersionMax="47" xr10:uidLastSave="{00000000-0000-0000-0000-000000000000}"/>
  <bookViews>
    <workbookView xWindow="-120" yWindow="-120" windowWidth="29040" windowHeight="16440" xr2:uid="{1A0D1499-61F0-4420-A350-725B2B0FF3B8}"/>
  </bookViews>
  <sheets>
    <sheet name="apex-pro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1" i="2" l="1"/>
  <c r="J20" i="2"/>
  <c r="J19" i="2"/>
  <c r="J18" i="2"/>
  <c r="I21" i="2"/>
  <c r="I20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4" i="2"/>
  <c r="I3" i="2"/>
  <c r="I2" i="2"/>
  <c r="I5" i="2"/>
  <c r="J17" i="2"/>
  <c r="J16" i="2"/>
  <c r="J15" i="2"/>
  <c r="J14" i="2"/>
  <c r="J13" i="2"/>
  <c r="J12" i="2"/>
  <c r="J11" i="2"/>
  <c r="J10" i="2"/>
  <c r="J9" i="2"/>
  <c r="J8" i="2"/>
  <c r="J7" i="2"/>
  <c r="J4" i="2"/>
  <c r="J3" i="2"/>
  <c r="J2" i="2"/>
  <c r="J25" i="2" l="1"/>
  <c r="J23" i="2"/>
  <c r="J24" i="2"/>
</calcChain>
</file>

<file path=xl/sharedStrings.xml><?xml version="1.0" encoding="utf-8"?>
<sst xmlns="http://schemas.openxmlformats.org/spreadsheetml/2006/main" count="12" uniqueCount="10">
  <si>
    <t>doppler</t>
  </si>
  <si>
    <t>non-doppler</t>
  </si>
  <si>
    <t>time</t>
  </si>
  <si>
    <t>m</t>
  </si>
  <si>
    <t>min</t>
  </si>
  <si>
    <t>avg</t>
  </si>
  <si>
    <t>max</t>
  </si>
  <si>
    <t>check</t>
  </si>
  <si>
    <t>diff</t>
  </si>
  <si>
    <t xml:space="preserve">Note time differences of 1 or 2 seconds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</si>
</sst>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COROS APEX Pro</a:t>
            </a:r>
          </a:p>
          <a:p>
            <a:pPr>
              <a:defRPr/>
            </a:pPr>
            <a:r>
              <a:rPr lang="en-GB" sz="1200"/>
              <a:t>Twenty 250m runs - Doppler</a:t>
            </a:r>
            <a:r>
              <a:rPr lang="en-GB" sz="1200" baseline="0"/>
              <a:t> vs Non-Doppler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'apex-pro'!$C$1</c:f>
              <c:strCache>
                <c:ptCount val="1"/>
                <c:pt idx="0">
                  <c:v>doppler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'apex-pro'!$C$2:$C$21</c:f>
              <c:numCache>
                <c:formatCode>General</c:formatCode>
                <c:ptCount val="20"/>
                <c:pt idx="0">
                  <c:v>32.052999999999997</c:v>
                </c:pt>
                <c:pt idx="1">
                  <c:v>28.108000000000001</c:v>
                </c:pt>
                <c:pt idx="2">
                  <c:v>32.712000000000003</c:v>
                </c:pt>
                <c:pt idx="3">
                  <c:v>28.609000000000002</c:v>
                </c:pt>
                <c:pt idx="4">
                  <c:v>31.152000000000001</c:v>
                </c:pt>
                <c:pt idx="5">
                  <c:v>28.231999999999999</c:v>
                </c:pt>
                <c:pt idx="6">
                  <c:v>30.940999999999999</c:v>
                </c:pt>
                <c:pt idx="7">
                  <c:v>31.872</c:v>
                </c:pt>
                <c:pt idx="8">
                  <c:v>29.15</c:v>
                </c:pt>
                <c:pt idx="9">
                  <c:v>30.132000000000001</c:v>
                </c:pt>
                <c:pt idx="10">
                  <c:v>28.597999999999999</c:v>
                </c:pt>
                <c:pt idx="11">
                  <c:v>31.59</c:v>
                </c:pt>
                <c:pt idx="12">
                  <c:v>29.661999999999999</c:v>
                </c:pt>
                <c:pt idx="13">
                  <c:v>31.396000000000001</c:v>
                </c:pt>
                <c:pt idx="14">
                  <c:v>28.873999999999999</c:v>
                </c:pt>
                <c:pt idx="15">
                  <c:v>31.928999999999998</c:v>
                </c:pt>
                <c:pt idx="16">
                  <c:v>29.062999999999999</c:v>
                </c:pt>
                <c:pt idx="17">
                  <c:v>30.652000000000001</c:v>
                </c:pt>
                <c:pt idx="18">
                  <c:v>29.721</c:v>
                </c:pt>
                <c:pt idx="19">
                  <c:v>31.472000000000001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B-4726-9DB5-7DC59D1D7E3D}"/>
            </c:ext>
          </c:extLst>
        </c:ser>
        <c:ser>
          <c:idx val="1"/>
          <c:order val="1"/>
          <c:tx>
            <c:strRef>
              <c:f>'apex-pro'!$G$1</c:f>
              <c:strCache>
                <c:ptCount val="1"/>
                <c:pt idx="0">
                  <c:v>non-doppler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'apex-pro'!$G$2:$G$21</c:f>
              <c:numCache>
                <c:formatCode>General</c:formatCode>
                <c:ptCount val="20"/>
                <c:pt idx="0">
                  <c:v>32.122</c:v>
                </c:pt>
                <c:pt idx="1">
                  <c:v>28.295999999999999</c:v>
                </c:pt>
                <c:pt idx="2">
                  <c:v>32.603999999999999</c:v>
                </c:pt>
                <c:pt idx="3">
                  <c:v>28.863</c:v>
                </c:pt>
                <c:pt idx="4">
                  <c:v>31.26</c:v>
                </c:pt>
                <c:pt idx="5">
                  <c:v>28.431000000000001</c:v>
                </c:pt>
                <c:pt idx="6">
                  <c:v>30.798999999999999</c:v>
                </c:pt>
                <c:pt idx="7">
                  <c:v>32.133000000000003</c:v>
                </c:pt>
                <c:pt idx="8">
                  <c:v>29.489000000000001</c:v>
                </c:pt>
                <c:pt idx="9">
                  <c:v>30.21</c:v>
                </c:pt>
                <c:pt idx="10">
                  <c:v>28.783000000000001</c:v>
                </c:pt>
                <c:pt idx="11">
                  <c:v>31.707999999999998</c:v>
                </c:pt>
                <c:pt idx="12">
                  <c:v>29.934999999999999</c:v>
                </c:pt>
                <c:pt idx="13">
                  <c:v>31.617999999999999</c:v>
                </c:pt>
                <c:pt idx="14">
                  <c:v>29.271999999999998</c:v>
                </c:pt>
                <c:pt idx="15">
                  <c:v>32.204999999999998</c:v>
                </c:pt>
                <c:pt idx="16">
                  <c:v>29.24</c:v>
                </c:pt>
                <c:pt idx="17">
                  <c:v>30.997</c:v>
                </c:pt>
                <c:pt idx="18">
                  <c:v>30.094999999999999</c:v>
                </c:pt>
                <c:pt idx="19">
                  <c:v>31.593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B-4726-9DB5-7DC59D1D7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313464"/>
        <c:axId val="567318712"/>
      </c:barChart>
      <c:catAx>
        <c:axId val="567313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18712"/>
        <c:crosses val="autoZero"/>
        <c:auto val="1"/>
        <c:lblAlgn val="ctr"/>
        <c:lblOffset val="100"/>
        <c:noMultiLvlLbl val="0"/>
      </c:catAx>
      <c:valAx>
        <c:axId val="567318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13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542924</xdr:colOff>
      <xdr:row>0</xdr:row>
      <xdr:rowOff>180975</xdr:rowOff>
    </xdr:from>
    <xdr:to>
      <xdr:col>22</xdr:col>
      <xdr:colOff>266699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4F5F7-9181-4080-BF0C-43CF3E499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2155-2610-4DAA-9890-EC6CFFBE1A57}">
  <dimension ref="A1:J47"/>
  <sheetViews>
    <sheetView tabSelected="1" workbookViewId="0">
      <selection activeCell="L26" sqref="L26"/>
    </sheetView>
  </sheetViews>
  <sheetFormatPr defaultRowHeight="15" x14ac:dyDescent="0.25"/>
  <sheetData>
    <row r="1" spans="1:10" s="3" customFormat="1" x14ac:dyDescent="0.25">
      <c r="A1" s="3" t="s">
        <v>2</v>
      </c>
      <c r="B1" s="3" t="s">
        <v>3</v>
      </c>
      <c r="C1" s="3" t="s">
        <v>0</v>
      </c>
      <c r="E1" s="3" t="s">
        <v>2</v>
      </c>
      <c r="F1" s="3" t="s">
        <v>3</v>
      </c>
      <c r="G1" s="3" t="s">
        <v>1</v>
      </c>
      <c r="I1" s="3" t="s">
        <v>7</v>
      </c>
      <c r="J1" s="3" t="s">
        <v>8</v>
      </c>
    </row>
    <row r="2" spans="1:10" x14ac:dyDescent="0.25">
      <c r="A2" s="1">
        <v>0.44767361111111109</v>
      </c>
      <c r="B2">
        <v>263.8</v>
      </c>
      <c r="C2">
        <v>32.052999999999997</v>
      </c>
      <c r="E2" s="1">
        <v>0.44768518518518513</v>
      </c>
      <c r="F2">
        <v>264.39999999999998</v>
      </c>
      <c r="G2">
        <v>32.122</v>
      </c>
      <c r="I2" t="str">
        <f>IF(TEXT(A2,"HH:MM")&lt;&gt;TEXT(E2,"HH:MM"),"err","")</f>
        <v/>
      </c>
      <c r="J2" s="2">
        <f>G2-C2</f>
        <v>6.9000000000002615E-2</v>
      </c>
    </row>
    <row r="3" spans="1:10" x14ac:dyDescent="0.25">
      <c r="A3" s="1">
        <v>0.45297453703703705</v>
      </c>
      <c r="B3">
        <v>260.3</v>
      </c>
      <c r="C3">
        <v>28.108000000000001</v>
      </c>
      <c r="E3" s="1">
        <v>0.45295138888888892</v>
      </c>
      <c r="F3">
        <v>262</v>
      </c>
      <c r="G3">
        <v>28.295999999999999</v>
      </c>
      <c r="I3" t="str">
        <f>IF(TEXT(A3,"HH:MM")&lt;&gt;TEXT(E3,"HH:MM"),"err","")</f>
        <v/>
      </c>
      <c r="J3" s="2">
        <f>G3-C3</f>
        <v>0.18799999999999883</v>
      </c>
    </row>
    <row r="4" spans="1:10" x14ac:dyDescent="0.25">
      <c r="A4" s="1">
        <v>0.45553240740740741</v>
      </c>
      <c r="B4">
        <v>252.4</v>
      </c>
      <c r="C4">
        <v>32.712000000000003</v>
      </c>
      <c r="E4" s="1">
        <v>0.45555555555555555</v>
      </c>
      <c r="F4">
        <v>251.6</v>
      </c>
      <c r="G4">
        <v>32.603999999999999</v>
      </c>
      <c r="I4" t="str">
        <f>IF(TEXT(A4,"HH:MM")&lt;&gt;TEXT(E4,"HH:MM"),"err","")</f>
        <v>err</v>
      </c>
      <c r="J4" s="2">
        <f>G4-C4</f>
        <v>-0.10800000000000409</v>
      </c>
    </row>
    <row r="5" spans="1:10" x14ac:dyDescent="0.25">
      <c r="A5" s="1">
        <v>0.45940972222222221</v>
      </c>
      <c r="B5">
        <v>250.2</v>
      </c>
      <c r="C5">
        <v>28.609000000000002</v>
      </c>
      <c r="E5" s="1">
        <v>0.4594212962962963</v>
      </c>
      <c r="F5">
        <v>252.4</v>
      </c>
      <c r="G5">
        <v>28.863</v>
      </c>
      <c r="I5" t="str">
        <f>IF(TEXT(A5,"HH:MM")&lt;&gt;TEXT(E5,"HH:MM"),"err","")</f>
        <v/>
      </c>
      <c r="J5" s="2"/>
    </row>
    <row r="6" spans="1:10" x14ac:dyDescent="0.25">
      <c r="A6" s="1">
        <v>0.46628472222222223</v>
      </c>
      <c r="B6">
        <v>256.39999999999998</v>
      </c>
      <c r="C6">
        <v>31.152000000000001</v>
      </c>
      <c r="E6" s="1">
        <v>0.46626157407407409</v>
      </c>
      <c r="F6">
        <v>257.3</v>
      </c>
      <c r="G6">
        <v>31.26</v>
      </c>
      <c r="I6" t="str">
        <f>IF(TEXT(A6,"HH:MM")&lt;&gt;TEXT(E6,"HH:MM"),"err","")</f>
        <v/>
      </c>
      <c r="J6" s="2"/>
    </row>
    <row r="7" spans="1:10" x14ac:dyDescent="0.25">
      <c r="A7" s="1">
        <v>0.47082175925925923</v>
      </c>
      <c r="B7">
        <v>261.39999999999998</v>
      </c>
      <c r="C7">
        <v>28.231999999999999</v>
      </c>
      <c r="E7" s="1">
        <v>0.47084490740740742</v>
      </c>
      <c r="F7">
        <v>263.3</v>
      </c>
      <c r="G7">
        <v>28.431000000000001</v>
      </c>
      <c r="I7" t="str">
        <f>IF(TEXT(A7,"HH:MM")&lt;&gt;TEXT(E7,"HH:MM"),"err","")</f>
        <v>err</v>
      </c>
      <c r="J7" s="2">
        <f>G7-C7</f>
        <v>0.19900000000000162</v>
      </c>
    </row>
    <row r="8" spans="1:10" x14ac:dyDescent="0.25">
      <c r="A8" s="1">
        <v>0.48420138888888892</v>
      </c>
      <c r="B8">
        <v>254.7</v>
      </c>
      <c r="C8">
        <v>30.940999999999999</v>
      </c>
      <c r="E8" s="1">
        <v>0.48421296296296296</v>
      </c>
      <c r="F8">
        <v>253.5</v>
      </c>
      <c r="G8">
        <v>30.798999999999999</v>
      </c>
      <c r="I8" t="str">
        <f>IF(TEXT(A8,"HH:MM")&lt;&gt;TEXT(E8,"HH:MM"),"err","")</f>
        <v/>
      </c>
      <c r="J8" s="2">
        <f>G8-C8</f>
        <v>-0.14199999999999946</v>
      </c>
    </row>
    <row r="9" spans="1:10" x14ac:dyDescent="0.25">
      <c r="A9" s="1">
        <v>0.48883101851851851</v>
      </c>
      <c r="B9">
        <v>262.3</v>
      </c>
      <c r="C9">
        <v>31.872</v>
      </c>
      <c r="E9" s="1">
        <v>0.48884259259259261</v>
      </c>
      <c r="F9">
        <v>264.5</v>
      </c>
      <c r="G9">
        <v>32.133000000000003</v>
      </c>
      <c r="I9" t="str">
        <f>IF(TEXT(A9,"HH:MM")&lt;&gt;TEXT(E9,"HH:MM"),"err","")</f>
        <v/>
      </c>
      <c r="J9" s="2">
        <f>G9-C9</f>
        <v>0.26100000000000279</v>
      </c>
    </row>
    <row r="10" spans="1:10" x14ac:dyDescent="0.25">
      <c r="A10" s="1">
        <v>0.49910879629629629</v>
      </c>
      <c r="B10">
        <v>254.9</v>
      </c>
      <c r="C10">
        <v>29.15</v>
      </c>
      <c r="E10" s="1">
        <v>0.49912037037037038</v>
      </c>
      <c r="F10">
        <v>257.89999999999998</v>
      </c>
      <c r="G10">
        <v>29.489000000000001</v>
      </c>
      <c r="I10" t="str">
        <f>IF(TEXT(A10,"HH:MM")&lt;&gt;TEXT(E10,"HH:MM"),"err","")</f>
        <v/>
      </c>
      <c r="J10" s="2">
        <f>G10-C10</f>
        <v>0.33900000000000219</v>
      </c>
    </row>
    <row r="11" spans="1:10" x14ac:dyDescent="0.25">
      <c r="A11" s="1">
        <v>0.50321759259259258</v>
      </c>
      <c r="B11">
        <v>263.5</v>
      </c>
      <c r="C11">
        <v>30.132000000000001</v>
      </c>
      <c r="E11" s="1">
        <v>0.50322916666666673</v>
      </c>
      <c r="F11">
        <v>264.2</v>
      </c>
      <c r="G11">
        <v>30.21</v>
      </c>
      <c r="I11" t="str">
        <f>IF(TEXT(A11,"HH:MM")&lt;&gt;TEXT(E11,"HH:MM"),"err","")</f>
        <v/>
      </c>
      <c r="J11" s="2">
        <f>G11-C11</f>
        <v>7.7999999999999403E-2</v>
      </c>
    </row>
    <row r="12" spans="1:10" x14ac:dyDescent="0.25">
      <c r="A12" s="1">
        <v>0.53892361111111109</v>
      </c>
      <c r="B12">
        <v>250.1</v>
      </c>
      <c r="C12">
        <v>28.597999999999999</v>
      </c>
      <c r="E12" s="1">
        <v>0.53893518518518524</v>
      </c>
      <c r="F12">
        <v>251.7</v>
      </c>
      <c r="G12">
        <v>28.783000000000001</v>
      </c>
      <c r="I12" t="str">
        <f>IF(TEXT(A12,"HH:MM")&lt;&gt;TEXT(E12,"HH:MM"),"err","")</f>
        <v/>
      </c>
      <c r="J12" s="2">
        <f>G12-C12</f>
        <v>0.18500000000000227</v>
      </c>
    </row>
    <row r="13" spans="1:10" x14ac:dyDescent="0.25">
      <c r="A13" s="1">
        <v>0.54237268518518522</v>
      </c>
      <c r="B13">
        <v>260</v>
      </c>
      <c r="C13">
        <v>31.59</v>
      </c>
      <c r="E13" s="1">
        <v>0.54238425925925926</v>
      </c>
      <c r="F13">
        <v>261</v>
      </c>
      <c r="G13">
        <v>31.707999999999998</v>
      </c>
      <c r="I13" t="str">
        <f>IF(TEXT(A13,"HH:MM")&lt;&gt;TEXT(E13,"HH:MM"),"err","")</f>
        <v/>
      </c>
      <c r="J13" s="2">
        <f>G13-C13</f>
        <v>0.11799999999999855</v>
      </c>
    </row>
    <row r="14" spans="1:10" x14ac:dyDescent="0.25">
      <c r="A14" s="1">
        <v>0.54591435185185189</v>
      </c>
      <c r="B14">
        <v>259.39999999999998</v>
      </c>
      <c r="C14">
        <v>29.661999999999999</v>
      </c>
      <c r="E14" s="1">
        <v>0.54593749999999996</v>
      </c>
      <c r="F14">
        <v>261.8</v>
      </c>
      <c r="G14">
        <v>29.934999999999999</v>
      </c>
      <c r="I14" t="str">
        <f>IF(TEXT(A14,"HH:MM")&lt;&gt;TEXT(E14,"HH:MM"),"err","")</f>
        <v/>
      </c>
      <c r="J14" s="2">
        <f>G14-C14</f>
        <v>0.27299999999999969</v>
      </c>
    </row>
    <row r="15" spans="1:10" x14ac:dyDescent="0.25">
      <c r="A15" s="1">
        <v>0.55296296296296299</v>
      </c>
      <c r="B15">
        <v>258.39999999999998</v>
      </c>
      <c r="C15">
        <v>31.396000000000001</v>
      </c>
      <c r="E15" s="1">
        <v>0.55298611111111107</v>
      </c>
      <c r="F15">
        <v>260.3</v>
      </c>
      <c r="G15">
        <v>31.617999999999999</v>
      </c>
      <c r="I15" t="str">
        <f>IF(TEXT(A15,"HH:MM")&lt;&gt;TEXT(E15,"HH:MM"),"err","")</f>
        <v/>
      </c>
      <c r="J15" s="2">
        <f>G15-C15</f>
        <v>0.22199999999999775</v>
      </c>
    </row>
    <row r="16" spans="1:10" x14ac:dyDescent="0.25">
      <c r="A16" s="1">
        <v>0.56212962962962965</v>
      </c>
      <c r="B16">
        <v>252.5</v>
      </c>
      <c r="C16">
        <v>28.873999999999999</v>
      </c>
      <c r="E16" s="1">
        <v>0.56214120370370368</v>
      </c>
      <c r="F16">
        <v>256</v>
      </c>
      <c r="G16">
        <v>29.271999999999998</v>
      </c>
      <c r="I16" t="str">
        <f>IF(TEXT(A16,"HH:MM")&lt;&gt;TEXT(E16,"HH:MM"),"err","")</f>
        <v/>
      </c>
      <c r="J16" s="2">
        <f>G16-C16</f>
        <v>0.39799999999999969</v>
      </c>
    </row>
    <row r="17" spans="1:10" x14ac:dyDescent="0.25">
      <c r="A17" s="1">
        <v>0.56739583333333332</v>
      </c>
      <c r="B17">
        <v>262.8</v>
      </c>
      <c r="C17">
        <v>31.928999999999998</v>
      </c>
      <c r="E17" s="1">
        <v>0.56740740740740747</v>
      </c>
      <c r="F17">
        <v>265.10000000000002</v>
      </c>
      <c r="G17">
        <v>32.204999999999998</v>
      </c>
      <c r="I17" t="str">
        <f>IF(TEXT(A17,"HH:MM")&lt;&gt;TEXT(E17,"HH:MM"),"err","")</f>
        <v/>
      </c>
      <c r="J17" s="2">
        <f>G17-C17</f>
        <v>0.2759999999999998</v>
      </c>
    </row>
    <row r="18" spans="1:10" x14ac:dyDescent="0.25">
      <c r="A18" s="1">
        <v>0.57070601851851854</v>
      </c>
      <c r="B18">
        <v>254.2</v>
      </c>
      <c r="C18">
        <v>29.062999999999999</v>
      </c>
      <c r="E18" s="1">
        <v>0.57072916666666662</v>
      </c>
      <c r="F18">
        <v>255.7</v>
      </c>
      <c r="G18">
        <v>29.24</v>
      </c>
      <c r="I18" t="str">
        <f>IF(TEXT(A18,"HH:MM")&lt;&gt;TEXT(E18,"HH:MM"),"err","")</f>
        <v/>
      </c>
      <c r="J18" s="2">
        <f t="shared" ref="J18:J21" si="0">G18-C18</f>
        <v>0.1769999999999996</v>
      </c>
    </row>
    <row r="19" spans="1:10" x14ac:dyDescent="0.25">
      <c r="A19" s="1">
        <v>0.57540509259259254</v>
      </c>
      <c r="B19">
        <v>252.3</v>
      </c>
      <c r="C19">
        <v>30.652000000000001</v>
      </c>
      <c r="E19" s="1">
        <v>0.57542824074074073</v>
      </c>
      <c r="F19">
        <v>255.1</v>
      </c>
      <c r="G19">
        <v>30.997</v>
      </c>
      <c r="J19" s="2">
        <f t="shared" si="0"/>
        <v>0.34499999999999886</v>
      </c>
    </row>
    <row r="20" spans="1:10" x14ac:dyDescent="0.25">
      <c r="A20" s="1">
        <v>0.5783449074074074</v>
      </c>
      <c r="B20">
        <v>259.89999999999998</v>
      </c>
      <c r="C20">
        <v>29.721</v>
      </c>
      <c r="E20" s="1">
        <v>0.57836805555555559</v>
      </c>
      <c r="F20">
        <v>263.2</v>
      </c>
      <c r="G20">
        <v>30.094999999999999</v>
      </c>
      <c r="I20" t="str">
        <f>IF(TEXT(A20,"HH:MM")&lt;&gt;TEXT(E20,"HH:MM"),"err","")</f>
        <v/>
      </c>
      <c r="J20" s="2">
        <f t="shared" si="0"/>
        <v>0.37399999999999878</v>
      </c>
    </row>
    <row r="21" spans="1:10" x14ac:dyDescent="0.25">
      <c r="A21" s="1">
        <v>0.5901157407407408</v>
      </c>
      <c r="B21">
        <v>259</v>
      </c>
      <c r="C21">
        <v>31.472000000000001</v>
      </c>
      <c r="E21" s="1">
        <v>0.59012731481481484</v>
      </c>
      <c r="F21">
        <v>260</v>
      </c>
      <c r="G21">
        <v>31.593</v>
      </c>
      <c r="I21" t="str">
        <f>IF(TEXT(A21,"HH:MM")&lt;&gt;TEXT(E21,"HH:MM"),"err","")</f>
        <v/>
      </c>
      <c r="J21" s="2">
        <f t="shared" si="0"/>
        <v>0.12099999999999866</v>
      </c>
    </row>
    <row r="22" spans="1:10" x14ac:dyDescent="0.25">
      <c r="J22" s="2"/>
    </row>
    <row r="23" spans="1:10" x14ac:dyDescent="0.25">
      <c r="A23" s="3" t="s">
        <v>9</v>
      </c>
      <c r="H23" t="s">
        <v>4</v>
      </c>
      <c r="J23" s="2">
        <f>MIN($J$2:$J$21)</f>
        <v>-0.14199999999999946</v>
      </c>
    </row>
    <row r="24" spans="1:10" x14ac:dyDescent="0.25">
      <c r="H24" t="s">
        <v>5</v>
      </c>
      <c r="J24" s="2">
        <f>AVERAGE($J$2:$J$21)</f>
        <v>0.18738888888888874</v>
      </c>
    </row>
    <row r="25" spans="1:10" x14ac:dyDescent="0.25">
      <c r="H25" t="s">
        <v>6</v>
      </c>
      <c r="J25" s="2">
        <f>MAX($J$2:$J$21)</f>
        <v>0.39799999999999969</v>
      </c>
    </row>
    <row r="26" spans="1:10" x14ac:dyDescent="0.25">
      <c r="J26" s="2"/>
    </row>
    <row r="27" spans="1:10" x14ac:dyDescent="0.25">
      <c r="E27" s="1"/>
    </row>
    <row r="28" spans="1:10" x14ac:dyDescent="0.25">
      <c r="A28" s="1"/>
      <c r="E28" s="1"/>
    </row>
    <row r="29" spans="1:10" x14ac:dyDescent="0.25">
      <c r="A29" s="1"/>
      <c r="E29" s="1"/>
    </row>
    <row r="30" spans="1:10" x14ac:dyDescent="0.25">
      <c r="A30" s="1"/>
      <c r="E30" s="1"/>
    </row>
    <row r="31" spans="1:10" x14ac:dyDescent="0.25">
      <c r="A31" s="1"/>
      <c r="E31" s="1"/>
    </row>
    <row r="32" spans="1:10" x14ac:dyDescent="0.25">
      <c r="A32" s="1"/>
      <c r="E32" s="1"/>
    </row>
    <row r="33" spans="1:5" x14ac:dyDescent="0.25">
      <c r="A33" s="1"/>
      <c r="E33" s="1"/>
    </row>
    <row r="34" spans="1:5" x14ac:dyDescent="0.25">
      <c r="A34" s="1"/>
      <c r="E34" s="1"/>
    </row>
    <row r="35" spans="1:5" x14ac:dyDescent="0.25">
      <c r="A35" s="1"/>
      <c r="E35" s="1"/>
    </row>
    <row r="36" spans="1:5" x14ac:dyDescent="0.25">
      <c r="A36" s="1"/>
      <c r="E36" s="1"/>
    </row>
    <row r="37" spans="1:5" x14ac:dyDescent="0.25">
      <c r="A37" s="1"/>
      <c r="E37" s="1"/>
    </row>
    <row r="38" spans="1:5" x14ac:dyDescent="0.25">
      <c r="A38" s="1"/>
      <c r="E38" s="1"/>
    </row>
    <row r="39" spans="1:5" x14ac:dyDescent="0.25">
      <c r="A39" s="1"/>
      <c r="E39" s="1"/>
    </row>
    <row r="40" spans="1:5" x14ac:dyDescent="0.25">
      <c r="A40" s="1"/>
      <c r="E40" s="1"/>
    </row>
    <row r="41" spans="1:5" x14ac:dyDescent="0.25">
      <c r="A41" s="1"/>
      <c r="E41" s="1"/>
    </row>
    <row r="42" spans="1:5" x14ac:dyDescent="0.25">
      <c r="A42" s="1"/>
      <c r="E42" s="1"/>
    </row>
    <row r="43" spans="1:5" x14ac:dyDescent="0.25">
      <c r="A43" s="1"/>
      <c r="E43" s="1"/>
    </row>
    <row r="44" spans="1:5" x14ac:dyDescent="0.25">
      <c r="A44" s="1"/>
      <c r="E44" s="1"/>
    </row>
    <row r="45" spans="1:5" x14ac:dyDescent="0.25">
      <c r="A45" s="1"/>
      <c r="E45" s="1"/>
    </row>
    <row r="46" spans="1:5" x14ac:dyDescent="0.25">
      <c r="A46" s="1"/>
      <c r="E46" s="1"/>
    </row>
    <row r="47" spans="1:5" x14ac:dyDescent="0.25">
      <c r="A47" s="1"/>
      <c r="E47" s="1"/>
    </row>
  </sheetData>
  <sortState xmlns:xlrd2="http://schemas.microsoft.com/office/spreadsheetml/2017/richdata2" ref="E28:G47">
    <sortCondition ref="E28:E47"/>
  </sortState>
  <conditionalFormatting sqref="J2:J21">
    <cfRule type="colorScale" priority="1">
      <colorScale>
        <cfvo type="min"/>
        <cfvo type="max"/>
        <color theme="7" tint="0.79998168889431442"/>
        <color rgb="FFFF0000"/>
      </colorScale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apex-pro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2022-04-05T21:22:20Z</dcterms:created>
  <dcterms:modified xsi:type="dcterms:W3CDTF">2022-04-07T11:54:32Z</dcterms:modified>
</cp:coreProperties>
</file>