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contacts\will\analysis\"/>
    </mc:Choice>
  </mc:AlternateContent>
  <xr:revisionPtr revIDLastSave="0" documentId="13_ncr:1_{EDD024ED-BA6B-4A90-AC23-726DD8FD26F1}" xr6:coauthVersionLast="47" xr6:coauthVersionMax="47" xr10:uidLastSave="{00000000-0000-0000-0000-000000000000}"/>
  <bookViews>
    <workbookView xWindow="-120" yWindow="-120" windowWidth="29040" windowHeight="16440" xr2:uid="{1A0D1499-61F0-4420-A350-725B2B0FF3B8}"/>
  </bookViews>
  <sheets>
    <sheet name="vertix-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4" i="1"/>
  <c r="J3" i="1"/>
  <c r="J2" i="1"/>
  <c r="J25" i="1" l="1"/>
  <c r="J23" i="1"/>
  <c r="J24" i="1"/>
</calcChain>
</file>

<file path=xl/sharedStrings.xml><?xml version="1.0" encoding="utf-8"?>
<sst xmlns="http://schemas.openxmlformats.org/spreadsheetml/2006/main" count="11" uniqueCount="9">
  <si>
    <t>doppler</t>
  </si>
  <si>
    <t>non-doppler</t>
  </si>
  <si>
    <t>time</t>
  </si>
  <si>
    <t>m</t>
  </si>
  <si>
    <t>min</t>
  </si>
  <si>
    <t>avg</t>
  </si>
  <si>
    <t>max</t>
  </si>
  <si>
    <t>check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</si>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</sst>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VERTIX</a:t>
            </a:r>
            <a:r>
              <a:rPr lang="en-GB" baseline="0"/>
              <a:t> </a:t>
            </a:r>
            <a:r>
              <a:rPr lang="en-GB"/>
              <a:t>2</a:t>
            </a:r>
          </a:p>
          <a:p>
            <a:pPr>
              <a:defRPr/>
            </a:pPr>
            <a:r>
              <a:rPr lang="en-GB" sz="1200"/>
              <a:t>Twenty 250m runs - Doppler</a:t>
            </a:r>
            <a:r>
              <a:rPr lang="en-GB" sz="1200" baseline="0"/>
              <a:t> vs Non-Doppler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'vertix-2'!$C$1</c:f>
              <c:strCache>
                <c:ptCount val="1"/>
                <c:pt idx="0">
                  <c:v>doppler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'vertix-2'!$C$2:$C$21</c:f>
              <c:numCache>
                <c:formatCode>General</c:formatCode>
                <c:ptCount val="20"/>
                <c:pt idx="0">
                  <c:v>29.695</c:v>
                </c:pt>
                <c:pt idx="1">
                  <c:v>25.343</c:v>
                </c:pt>
                <c:pt idx="2">
                  <c:v>32.636000000000003</c:v>
                </c:pt>
                <c:pt idx="3">
                  <c:v>25.167000000000002</c:v>
                </c:pt>
                <c:pt idx="4">
                  <c:v>30.038</c:v>
                </c:pt>
                <c:pt idx="5">
                  <c:v>29.786999999999999</c:v>
                </c:pt>
                <c:pt idx="6">
                  <c:v>29.277000000000001</c:v>
                </c:pt>
                <c:pt idx="7">
                  <c:v>25.466000000000001</c:v>
                </c:pt>
                <c:pt idx="8">
                  <c:v>29.773</c:v>
                </c:pt>
                <c:pt idx="9">
                  <c:v>29.794</c:v>
                </c:pt>
                <c:pt idx="10">
                  <c:v>29.49</c:v>
                </c:pt>
                <c:pt idx="11">
                  <c:v>26.359000000000002</c:v>
                </c:pt>
                <c:pt idx="12">
                  <c:v>29.454999999999998</c:v>
                </c:pt>
                <c:pt idx="13">
                  <c:v>31.809000000000001</c:v>
                </c:pt>
                <c:pt idx="14">
                  <c:v>25.96</c:v>
                </c:pt>
                <c:pt idx="15">
                  <c:v>26.352</c:v>
                </c:pt>
                <c:pt idx="16">
                  <c:v>31.597999999999999</c:v>
                </c:pt>
                <c:pt idx="17">
                  <c:v>32.491</c:v>
                </c:pt>
                <c:pt idx="18">
                  <c:v>29.436</c:v>
                </c:pt>
                <c:pt idx="19">
                  <c:v>32.649000000000001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7-4052-B24A-4D93046CB5B9}"/>
            </c:ext>
          </c:extLst>
        </c:ser>
        <c:ser>
          <c:idx val="1"/>
          <c:order val="1"/>
          <c:tx>
            <c:strRef>
              <c:f>'vertix-2'!$G$1</c:f>
              <c:strCache>
                <c:ptCount val="1"/>
                <c:pt idx="0">
                  <c:v>non-doppler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'vertix-2'!$G$2:$G$21</c:f>
              <c:numCache>
                <c:formatCode>General</c:formatCode>
                <c:ptCount val="20"/>
                <c:pt idx="0">
                  <c:v>29.558</c:v>
                </c:pt>
                <c:pt idx="1">
                  <c:v>25.477</c:v>
                </c:pt>
                <c:pt idx="2">
                  <c:v>32.825000000000003</c:v>
                </c:pt>
                <c:pt idx="3">
                  <c:v>25.071999999999999</c:v>
                </c:pt>
                <c:pt idx="4">
                  <c:v>30.282</c:v>
                </c:pt>
                <c:pt idx="5">
                  <c:v>29.731999999999999</c:v>
                </c:pt>
                <c:pt idx="6">
                  <c:v>29.225999999999999</c:v>
                </c:pt>
                <c:pt idx="7">
                  <c:v>25.433</c:v>
                </c:pt>
                <c:pt idx="8">
                  <c:v>29.837</c:v>
                </c:pt>
                <c:pt idx="9">
                  <c:v>29.798999999999999</c:v>
                </c:pt>
                <c:pt idx="10">
                  <c:v>29.553000000000001</c:v>
                </c:pt>
                <c:pt idx="11">
                  <c:v>26.164999999999999</c:v>
                </c:pt>
                <c:pt idx="12">
                  <c:v>29.536999999999999</c:v>
                </c:pt>
                <c:pt idx="13">
                  <c:v>31.84</c:v>
                </c:pt>
                <c:pt idx="14">
                  <c:v>25.893999999999998</c:v>
                </c:pt>
                <c:pt idx="15">
                  <c:v>26.265000000000001</c:v>
                </c:pt>
                <c:pt idx="16">
                  <c:v>31.576000000000001</c:v>
                </c:pt>
                <c:pt idx="17">
                  <c:v>32.43</c:v>
                </c:pt>
                <c:pt idx="18">
                  <c:v>29.552</c:v>
                </c:pt>
                <c:pt idx="19">
                  <c:v>32.613999999999997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7-4052-B24A-4D93046CB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313464"/>
        <c:axId val="567318712"/>
      </c:barChart>
      <c:catAx>
        <c:axId val="567313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18712"/>
        <c:crosses val="autoZero"/>
        <c:auto val="1"/>
        <c:lblAlgn val="ctr"/>
        <c:lblOffset val="100"/>
        <c:noMultiLvlLbl val="0"/>
      </c:catAx>
      <c:valAx>
        <c:axId val="567318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13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19049</xdr:colOff>
      <xdr:row>1</xdr:row>
      <xdr:rowOff>0</xdr:rowOff>
    </xdr:from>
    <xdr:to>
      <xdr:col>21</xdr:col>
      <xdr:colOff>352424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6E4C4A-CB23-47DD-AE58-5C401561E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B82B-501B-496C-BA82-2B77B32B0676}">
  <dimension ref="A1:J47"/>
  <sheetViews>
    <sheetView tabSelected="1" workbookViewId="0">
      <selection activeCell="M27" sqref="M27"/>
    </sheetView>
  </sheetViews>
  <sheetFormatPr defaultRowHeight="15" x14ac:dyDescent="0.25"/>
  <sheetData>
    <row r="1" spans="1:10" s="3" customFormat="1" x14ac:dyDescent="0.25">
      <c r="A1" s="3" t="s">
        <v>2</v>
      </c>
      <c r="B1" s="3" t="s">
        <v>3</v>
      </c>
      <c r="C1" s="3" t="s">
        <v>0</v>
      </c>
      <c r="E1" s="3" t="s">
        <v>2</v>
      </c>
      <c r="F1" s="3" t="s">
        <v>3</v>
      </c>
      <c r="G1" s="3" t="s">
        <v>1</v>
      </c>
      <c r="I1" s="3" t="s">
        <v>7</v>
      </c>
      <c r="J1" s="3" t="s">
        <v>8</v>
      </c>
    </row>
    <row r="2" spans="1:10" x14ac:dyDescent="0.25">
      <c r="A2" s="1">
        <v>0.48645833333333338</v>
      </c>
      <c r="B2">
        <v>259.7</v>
      </c>
      <c r="C2">
        <v>29.695</v>
      </c>
      <c r="E2" s="1">
        <v>0.48645833333333338</v>
      </c>
      <c r="F2">
        <v>258.5</v>
      </c>
      <c r="G2">
        <v>29.558</v>
      </c>
      <c r="I2" t="str">
        <f t="shared" ref="I2:I21" si="0">IF(LEFT(A2,5)&lt;&gt;LEFT(E2,5),"err","")</f>
        <v/>
      </c>
      <c r="J2" s="2">
        <f>G2-C2</f>
        <v>-0.13700000000000045</v>
      </c>
    </row>
    <row r="3" spans="1:10" x14ac:dyDescent="0.25">
      <c r="A3" s="1">
        <v>0.4878703703703704</v>
      </c>
      <c r="B3">
        <v>260.8</v>
      </c>
      <c r="C3">
        <v>25.343</v>
      </c>
      <c r="E3" s="1">
        <v>0.4878703703703704</v>
      </c>
      <c r="F3">
        <v>262.10000000000002</v>
      </c>
      <c r="G3">
        <v>25.477</v>
      </c>
      <c r="I3" t="str">
        <f t="shared" si="0"/>
        <v/>
      </c>
      <c r="J3" s="2">
        <f>G3-C3</f>
        <v>0.13400000000000034</v>
      </c>
    </row>
    <row r="4" spans="1:10" x14ac:dyDescent="0.25">
      <c r="A4" s="1">
        <v>0.49009259259259258</v>
      </c>
      <c r="B4">
        <v>251.8</v>
      </c>
      <c r="C4">
        <v>32.636000000000003</v>
      </c>
      <c r="E4" s="1">
        <v>0.49008101851851849</v>
      </c>
      <c r="F4">
        <v>253.3</v>
      </c>
      <c r="G4">
        <v>32.825000000000003</v>
      </c>
      <c r="I4" t="str">
        <f t="shared" si="0"/>
        <v/>
      </c>
      <c r="J4" s="2">
        <f>G4-C4</f>
        <v>0.18900000000000006</v>
      </c>
    </row>
    <row r="5" spans="1:10" x14ac:dyDescent="0.25">
      <c r="A5" s="1">
        <v>0.49144675925925929</v>
      </c>
      <c r="B5">
        <v>258.89999999999998</v>
      </c>
      <c r="C5">
        <v>25.167000000000002</v>
      </c>
      <c r="E5" s="1">
        <v>0.49144675925925929</v>
      </c>
      <c r="F5">
        <v>258</v>
      </c>
      <c r="G5">
        <v>25.071999999999999</v>
      </c>
      <c r="I5" t="str">
        <f t="shared" si="0"/>
        <v/>
      </c>
      <c r="J5" s="2"/>
    </row>
    <row r="6" spans="1:10" x14ac:dyDescent="0.25">
      <c r="A6" s="1">
        <v>0.49373842592592593</v>
      </c>
      <c r="B6">
        <v>262.7</v>
      </c>
      <c r="C6">
        <v>30.038</v>
      </c>
      <c r="E6" s="1">
        <v>0.49373842592592593</v>
      </c>
      <c r="F6">
        <v>264.8</v>
      </c>
      <c r="G6">
        <v>30.282</v>
      </c>
      <c r="I6" t="str">
        <f t="shared" si="0"/>
        <v/>
      </c>
      <c r="J6" s="2"/>
    </row>
    <row r="7" spans="1:10" x14ac:dyDescent="0.25">
      <c r="A7" s="1">
        <v>0.49849537037037034</v>
      </c>
      <c r="B7">
        <v>260.5</v>
      </c>
      <c r="C7">
        <v>29.786999999999999</v>
      </c>
      <c r="E7" s="1">
        <v>0.49849537037037034</v>
      </c>
      <c r="F7">
        <v>260</v>
      </c>
      <c r="G7">
        <v>29.731999999999999</v>
      </c>
      <c r="I7" t="str">
        <f t="shared" si="0"/>
        <v/>
      </c>
      <c r="J7" s="2">
        <f t="shared" ref="J7:J21" si="1">G7-C7</f>
        <v>-5.4999999999999716E-2</v>
      </c>
    </row>
    <row r="8" spans="1:10" x14ac:dyDescent="0.25">
      <c r="A8" s="1">
        <v>0.50439814814814821</v>
      </c>
      <c r="B8">
        <v>256</v>
      </c>
      <c r="C8">
        <v>29.277000000000001</v>
      </c>
      <c r="E8" s="1">
        <v>0.50439814814814821</v>
      </c>
      <c r="F8">
        <v>255.6</v>
      </c>
      <c r="G8">
        <v>29.225999999999999</v>
      </c>
      <c r="I8" t="str">
        <f t="shared" si="0"/>
        <v/>
      </c>
      <c r="J8" s="2">
        <f t="shared" si="1"/>
        <v>-5.1000000000001933E-2</v>
      </c>
    </row>
    <row r="9" spans="1:10" x14ac:dyDescent="0.25">
      <c r="A9" s="1">
        <v>0.50596064814814812</v>
      </c>
      <c r="B9">
        <v>262</v>
      </c>
      <c r="C9">
        <v>25.466000000000001</v>
      </c>
      <c r="E9" s="1">
        <v>0.50596064814814812</v>
      </c>
      <c r="F9">
        <v>261.7</v>
      </c>
      <c r="G9">
        <v>25.433</v>
      </c>
      <c r="I9" t="str">
        <f t="shared" si="0"/>
        <v/>
      </c>
      <c r="J9" s="2">
        <f t="shared" si="1"/>
        <v>-3.3000000000001251E-2</v>
      </c>
    </row>
    <row r="10" spans="1:10" x14ac:dyDescent="0.25">
      <c r="A10" s="1">
        <v>0.50880787037037034</v>
      </c>
      <c r="B10">
        <v>260.39999999999998</v>
      </c>
      <c r="C10">
        <v>29.773</v>
      </c>
      <c r="E10" s="1">
        <v>0.508275462962963</v>
      </c>
      <c r="F10">
        <v>260.89999999999998</v>
      </c>
      <c r="G10">
        <v>29.837</v>
      </c>
      <c r="I10" t="str">
        <f t="shared" si="0"/>
        <v/>
      </c>
      <c r="J10" s="2">
        <f t="shared" si="1"/>
        <v>6.4000000000000057E-2</v>
      </c>
    </row>
    <row r="11" spans="1:10" x14ac:dyDescent="0.25">
      <c r="A11" s="1">
        <v>0.51107638888888884</v>
      </c>
      <c r="B11">
        <v>260.60000000000002</v>
      </c>
      <c r="C11">
        <v>29.794</v>
      </c>
      <c r="E11" s="1">
        <v>0.51107638888888884</v>
      </c>
      <c r="F11">
        <v>260.60000000000002</v>
      </c>
      <c r="G11">
        <v>29.798999999999999</v>
      </c>
      <c r="I11" t="str">
        <f t="shared" si="0"/>
        <v/>
      </c>
      <c r="J11" s="2">
        <f t="shared" si="1"/>
        <v>4.9999999999990052E-3</v>
      </c>
    </row>
    <row r="12" spans="1:10" x14ac:dyDescent="0.25">
      <c r="A12" s="1">
        <v>0.52049768518518513</v>
      </c>
      <c r="B12">
        <v>257.89999999999998</v>
      </c>
      <c r="C12">
        <v>29.49</v>
      </c>
      <c r="E12" s="1">
        <v>0.52049768518518513</v>
      </c>
      <c r="F12">
        <v>258.5</v>
      </c>
      <c r="G12">
        <v>29.553000000000001</v>
      </c>
      <c r="I12" t="str">
        <f t="shared" si="0"/>
        <v/>
      </c>
      <c r="J12" s="2">
        <f t="shared" si="1"/>
        <v>6.3000000000002387E-2</v>
      </c>
    </row>
    <row r="13" spans="1:10" x14ac:dyDescent="0.25">
      <c r="A13" s="1">
        <v>0.52671296296296299</v>
      </c>
      <c r="B13">
        <v>257.60000000000002</v>
      </c>
      <c r="C13">
        <v>26.359000000000002</v>
      </c>
      <c r="E13" s="1">
        <v>0.52670138888888884</v>
      </c>
      <c r="F13">
        <v>255.8</v>
      </c>
      <c r="G13">
        <v>26.164999999999999</v>
      </c>
      <c r="I13" t="str">
        <f t="shared" si="0"/>
        <v/>
      </c>
      <c r="J13" s="2">
        <f t="shared" si="1"/>
        <v>-0.19400000000000261</v>
      </c>
    </row>
    <row r="14" spans="1:10" x14ac:dyDescent="0.25">
      <c r="A14" s="1">
        <v>0.52900462962962969</v>
      </c>
      <c r="B14">
        <v>257.60000000000002</v>
      </c>
      <c r="C14">
        <v>29.454999999999998</v>
      </c>
      <c r="E14" s="1">
        <v>0.52900462962962969</v>
      </c>
      <c r="F14">
        <v>258.3</v>
      </c>
      <c r="G14">
        <v>29.536999999999999</v>
      </c>
      <c r="I14" t="str">
        <f t="shared" si="0"/>
        <v/>
      </c>
      <c r="J14" s="2">
        <f t="shared" si="1"/>
        <v>8.2000000000000739E-2</v>
      </c>
    </row>
    <row r="15" spans="1:10" x14ac:dyDescent="0.25">
      <c r="A15" s="1">
        <v>0.56452546296296291</v>
      </c>
      <c r="B15">
        <v>261.8</v>
      </c>
      <c r="C15">
        <v>31.809000000000001</v>
      </c>
      <c r="E15" s="1">
        <v>0.56452546296296291</v>
      </c>
      <c r="F15">
        <v>262.10000000000002</v>
      </c>
      <c r="G15">
        <v>31.84</v>
      </c>
      <c r="I15" t="str">
        <f t="shared" si="0"/>
        <v/>
      </c>
      <c r="J15" s="2">
        <f t="shared" si="1"/>
        <v>3.0999999999998806E-2</v>
      </c>
    </row>
    <row r="16" spans="1:10" x14ac:dyDescent="0.25">
      <c r="A16" s="1">
        <v>0.57251157407407405</v>
      </c>
      <c r="B16">
        <v>253.7</v>
      </c>
      <c r="C16">
        <v>25.96</v>
      </c>
      <c r="E16" s="1">
        <v>0.57251157407407405</v>
      </c>
      <c r="F16">
        <v>253.1</v>
      </c>
      <c r="G16">
        <v>25.893999999999998</v>
      </c>
      <c r="I16" t="str">
        <f t="shared" si="0"/>
        <v/>
      </c>
      <c r="J16" s="2">
        <f t="shared" si="1"/>
        <v>-6.6000000000002501E-2</v>
      </c>
    </row>
    <row r="17" spans="1:10" x14ac:dyDescent="0.25">
      <c r="A17" s="1">
        <v>0.57921296296296299</v>
      </c>
      <c r="B17">
        <v>257.60000000000002</v>
      </c>
      <c r="C17">
        <v>26.352</v>
      </c>
      <c r="E17" s="1">
        <v>0.57921296296296299</v>
      </c>
      <c r="F17">
        <v>256.7</v>
      </c>
      <c r="G17">
        <v>26.265000000000001</v>
      </c>
      <c r="I17" t="str">
        <f t="shared" si="0"/>
        <v/>
      </c>
      <c r="J17" s="2">
        <f t="shared" si="1"/>
        <v>-8.6999999999999744E-2</v>
      </c>
    </row>
    <row r="18" spans="1:10" x14ac:dyDescent="0.25">
      <c r="A18" s="1">
        <v>0.58068287037037036</v>
      </c>
      <c r="B18">
        <v>260.10000000000002</v>
      </c>
      <c r="C18">
        <v>31.597999999999999</v>
      </c>
      <c r="E18" s="1">
        <v>0.58068287037037036</v>
      </c>
      <c r="F18">
        <v>259.89999999999998</v>
      </c>
      <c r="G18">
        <v>31.576000000000001</v>
      </c>
      <c r="I18" t="str">
        <f t="shared" si="0"/>
        <v/>
      </c>
      <c r="J18" s="2">
        <f t="shared" si="1"/>
        <v>-2.1999999999998465E-2</v>
      </c>
    </row>
    <row r="19" spans="1:10" x14ac:dyDescent="0.25">
      <c r="A19" s="1">
        <v>0.58280092592592592</v>
      </c>
      <c r="B19">
        <v>250.7</v>
      </c>
      <c r="C19">
        <v>32.491</v>
      </c>
      <c r="E19" s="1">
        <v>0.58280092592592592</v>
      </c>
      <c r="F19">
        <v>250.3</v>
      </c>
      <c r="G19">
        <v>32.43</v>
      </c>
      <c r="I19" t="str">
        <f t="shared" si="0"/>
        <v/>
      </c>
      <c r="J19" s="2">
        <f t="shared" si="1"/>
        <v>-6.0999999999999943E-2</v>
      </c>
    </row>
    <row r="20" spans="1:10" x14ac:dyDescent="0.25">
      <c r="A20" s="1">
        <v>0.58520833333333333</v>
      </c>
      <c r="B20">
        <v>257.39999999999998</v>
      </c>
      <c r="C20">
        <v>29.436</v>
      </c>
      <c r="E20" s="1">
        <v>0.58521990740740748</v>
      </c>
      <c r="F20">
        <v>258.5</v>
      </c>
      <c r="G20">
        <v>29.552</v>
      </c>
      <c r="I20" t="str">
        <f t="shared" si="0"/>
        <v/>
      </c>
      <c r="J20" s="2">
        <f t="shared" si="1"/>
        <v>0.11599999999999966</v>
      </c>
    </row>
    <row r="21" spans="1:10" x14ac:dyDescent="0.25">
      <c r="A21" s="1">
        <v>0.59005787037037039</v>
      </c>
      <c r="B21">
        <v>251.9</v>
      </c>
      <c r="C21">
        <v>32.649000000000001</v>
      </c>
      <c r="E21" s="1">
        <v>0.59006944444444442</v>
      </c>
      <c r="F21">
        <v>251.7</v>
      </c>
      <c r="G21">
        <v>32.613999999999997</v>
      </c>
      <c r="I21" t="str">
        <f t="shared" si="0"/>
        <v/>
      </c>
      <c r="J21" s="2">
        <f t="shared" si="1"/>
        <v>-3.5000000000003695E-2</v>
      </c>
    </row>
    <row r="22" spans="1:10" x14ac:dyDescent="0.25">
      <c r="J22" s="2"/>
    </row>
    <row r="23" spans="1:10" x14ac:dyDescent="0.25">
      <c r="H23" t="s">
        <v>4</v>
      </c>
      <c r="J23" s="2">
        <f>MIN($J$2:$J$21)</f>
        <v>-0.19400000000000261</v>
      </c>
    </row>
    <row r="24" spans="1:10" x14ac:dyDescent="0.25">
      <c r="H24" t="s">
        <v>5</v>
      </c>
      <c r="J24" s="2">
        <f>AVERAGE($J$2:$J$21)</f>
        <v>-3.1666666666671814E-3</v>
      </c>
    </row>
    <row r="25" spans="1:10" x14ac:dyDescent="0.25">
      <c r="H25" t="s">
        <v>6</v>
      </c>
      <c r="J25" s="2">
        <f>MAX($J$2:$J$21)</f>
        <v>0.18900000000000006</v>
      </c>
    </row>
    <row r="26" spans="1:10" x14ac:dyDescent="0.25">
      <c r="J26" s="2"/>
    </row>
    <row r="28" spans="1:10" x14ac:dyDescent="0.25">
      <c r="A28" s="1"/>
      <c r="E28" s="1"/>
    </row>
    <row r="29" spans="1:10" x14ac:dyDescent="0.25">
      <c r="A29" s="1"/>
      <c r="E29" s="1"/>
    </row>
    <row r="30" spans="1:10" x14ac:dyDescent="0.25">
      <c r="A30" s="1"/>
      <c r="E30" s="1"/>
    </row>
    <row r="31" spans="1:10" x14ac:dyDescent="0.25">
      <c r="A31" s="1"/>
      <c r="E31" s="1"/>
    </row>
    <row r="32" spans="1:10" x14ac:dyDescent="0.25">
      <c r="A32" s="1"/>
      <c r="E32" s="1"/>
    </row>
    <row r="33" spans="1:5" x14ac:dyDescent="0.25">
      <c r="A33" s="1"/>
      <c r="E33" s="1"/>
    </row>
    <row r="34" spans="1:5" x14ac:dyDescent="0.25">
      <c r="A34" s="1"/>
      <c r="E34" s="1"/>
    </row>
    <row r="35" spans="1:5" x14ac:dyDescent="0.25">
      <c r="A35" s="1"/>
      <c r="E35" s="1"/>
    </row>
    <row r="36" spans="1:5" x14ac:dyDescent="0.25">
      <c r="A36" s="1"/>
      <c r="E36" s="1"/>
    </row>
    <row r="37" spans="1:5" x14ac:dyDescent="0.25">
      <c r="A37" s="1"/>
      <c r="E37" s="1"/>
    </row>
    <row r="38" spans="1:5" x14ac:dyDescent="0.25">
      <c r="A38" s="1"/>
      <c r="E38" s="1"/>
    </row>
    <row r="39" spans="1:5" x14ac:dyDescent="0.25">
      <c r="A39" s="1"/>
      <c r="E39" s="1"/>
    </row>
    <row r="40" spans="1:5" x14ac:dyDescent="0.25">
      <c r="A40" s="1"/>
      <c r="E40" s="1"/>
    </row>
    <row r="41" spans="1:5" x14ac:dyDescent="0.25">
      <c r="A41" s="1"/>
      <c r="E41" s="1"/>
    </row>
    <row r="42" spans="1:5" x14ac:dyDescent="0.25">
      <c r="A42" s="1"/>
      <c r="E42" s="1"/>
    </row>
    <row r="43" spans="1:5" x14ac:dyDescent="0.25">
      <c r="A43" s="1"/>
      <c r="E43" s="1"/>
    </row>
    <row r="44" spans="1:5" x14ac:dyDescent="0.25">
      <c r="A44" s="1"/>
      <c r="E44" s="1"/>
    </row>
    <row r="45" spans="1:5" x14ac:dyDescent="0.25">
      <c r="A45" s="1"/>
      <c r="E45" s="1"/>
    </row>
    <row r="46" spans="1:5" x14ac:dyDescent="0.25">
      <c r="A46" s="1"/>
      <c r="E46" s="1"/>
    </row>
    <row r="47" spans="1:5" x14ac:dyDescent="0.25">
      <c r="A47" s="1"/>
      <c r="E47" s="1"/>
    </row>
  </sheetData>
  <sortState xmlns:xlrd2="http://schemas.microsoft.com/office/spreadsheetml/2017/richdata2" ref="A28:C47">
    <sortCondition ref="A28:A47"/>
  </sortState>
  <conditionalFormatting sqref="J2:J21">
    <cfRule type="colorScale" priority="1">
      <colorScale>
        <cfvo type="min"/>
        <cfvo type="max"/>
        <color theme="7" tint="0.79998168889431442"/>
        <color rgb="FFFF0000"/>
      </colorScale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vertix-2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2022-04-05T21:22:20Z</dcterms:created>
  <dcterms:modified xsi:type="dcterms:W3CDTF">2022-04-07T10:08:28Z</dcterms:modified>
</cp:coreProperties>
</file>