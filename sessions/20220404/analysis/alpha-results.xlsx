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geo\Downloads\"/>
    </mc:Choice>
  </mc:AlternateContent>
  <xr:revisionPtr revIDLastSave="0" documentId="13_ncr:1_{D52EF61E-9336-4B78-8342-B562D42D0B52}" xr6:coauthVersionLast="47" xr6:coauthVersionMax="47" xr10:uidLastSave="{00000000-0000-0000-0000-000000000000}"/>
  <bookViews>
    <workbookView xWindow="-120" yWindow="-120" windowWidth="29040" windowHeight="15720" xr2:uid="{21B484B7-0551-472A-814F-1DB48A0A7E69}"/>
  </bookViews>
  <sheets>
    <sheet name="2022-04-04 GT-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8" i="1" l="1"/>
  <c r="H8" i="1"/>
  <c r="B8" i="1"/>
</calcChain>
</file>

<file path=xl/sharedStrings.xml><?xml version="1.0" encoding="utf-8"?>
<sst xmlns="http://schemas.openxmlformats.org/spreadsheetml/2006/main" count="23" uniqueCount="14">
  <si>
    <t>GPS Speedreader</t>
  </si>
  <si>
    <t>GPS Results</t>
  </si>
  <si>
    <t>GpsarPro</t>
  </si>
  <si>
    <t>+/-</t>
  </si>
  <si>
    <t>Distance</t>
  </si>
  <si>
    <t>Start</t>
  </si>
  <si>
    <t>End</t>
  </si>
  <si>
    <t>Avg</t>
  </si>
  <si>
    <t>Run 4 from GPS Speedreader is missing</t>
  </si>
  <si>
    <t>Run 2 from GPSResults + GPS Speedreader missing</t>
  </si>
  <si>
    <t>n.b. tiny gap between #4 end and #2 start</t>
  </si>
  <si>
    <t>0.37 knot difference in GpsarPro #3 and Speedreader #4</t>
  </si>
  <si>
    <t>General 0.03-0.08 difference between GpsarPro and the other two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</si>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</sst>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quotePrefix="1" applyFont="1"/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21" fontId="0" fillId="2" borderId="0" xfId="0" applyNumberFormat="1" applyFill="1" applyAlignment="1">
      <alignment vertical="center" wrapText="1"/>
    </xf>
    <xf numFmtId="0" fontId="0" fillId="2" borderId="0" xfId="0" applyFill="1"/>
    <xf numFmtId="21" fontId="0" fillId="2" borderId="0" xfId="0" applyNumberFormat="1" applyFill="1"/>
    <xf numFmtId="165" fontId="0" fillId="2" borderId="0" xfId="0" applyNumberFormat="1" applyFill="1"/>
    <xf numFmtId="0" fontId="0" fillId="3" borderId="0" xfId="0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21" fontId="0" fillId="3" borderId="0" xfId="0" applyNumberFormat="1" applyFill="1" applyAlignment="1">
      <alignment vertical="center" wrapText="1"/>
    </xf>
    <xf numFmtId="0" fontId="0" fillId="3" borderId="0" xfId="0" applyFill="1"/>
    <xf numFmtId="21" fontId="0" fillId="3" borderId="0" xfId="0" applyNumberFormat="1" applyFill="1"/>
    <xf numFmtId="0" fontId="0" fillId="4" borderId="0" xfId="0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21" fontId="0" fillId="4" borderId="0" xfId="0" applyNumberFormat="1" applyFill="1" applyAlignment="1">
      <alignment vertical="center" wrapText="1"/>
    </xf>
    <xf numFmtId="0" fontId="0" fillId="4" borderId="0" xfId="0" applyFill="1"/>
    <xf numFmtId="21" fontId="0" fillId="4" borderId="0" xfId="0" applyNumberFormat="1" applyFill="1"/>
    <xf numFmtId="165" fontId="0" fillId="4" borderId="0" xfId="0" applyNumberFormat="1" applyFill="1"/>
    <xf numFmtId="0" fontId="0" fillId="5" borderId="0" xfId="0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21" fontId="0" fillId="5" borderId="0" xfId="0" applyNumberFormat="1" applyFill="1" applyAlignment="1">
      <alignment vertical="center" wrapText="1"/>
    </xf>
    <xf numFmtId="0" fontId="0" fillId="5" borderId="0" xfId="0" applyFill="1"/>
    <xf numFmtId="21" fontId="0" fillId="5" borderId="0" xfId="0" applyNumberFormat="1" applyFill="1"/>
    <xf numFmtId="165" fontId="0" fillId="5" borderId="0" xfId="0" applyNumberFormat="1" applyFill="1"/>
    <xf numFmtId="0" fontId="0" fillId="6" borderId="0" xfId="0" applyFill="1"/>
    <xf numFmtId="165" fontId="0" fillId="6" borderId="0" xfId="0" applyNumberFormat="1" applyFill="1"/>
    <xf numFmtId="21" fontId="0" fillId="6" borderId="0" xfId="0" applyNumberFormat="1" applyFill="1"/>
    <xf numFmtId="0" fontId="0" fillId="7" borderId="0" xfId="0" applyFill="1"/>
    <xf numFmtId="165" fontId="0" fillId="7" borderId="0" xfId="0" applyNumberFormat="1" applyFill="1"/>
    <xf numFmtId="21" fontId="0" fillId="7" borderId="0" xfId="0" applyNumberFormat="1" applyFill="1"/>
    <xf numFmtId="0" fontId="0" fillId="7" borderId="0" xfId="0" applyFill="1" applyAlignment="1">
      <alignment vertical="center" wrapText="1"/>
    </xf>
    <xf numFmtId="164" fontId="0" fillId="7" borderId="0" xfId="0" applyNumberFormat="1" applyFill="1" applyAlignment="1">
      <alignment vertical="center" wrapText="1"/>
    </xf>
    <xf numFmtId="21" fontId="0" fillId="7" borderId="0" xfId="0" applyNumberFormat="1" applyFill="1" applyAlignment="1">
      <alignment vertical="center" wrapText="1"/>
    </xf>
    <xf numFmtId="165" fontId="0" fillId="3" borderId="0" xfId="0" applyNumberFormat="1" applyFill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9EB4-0A64-40C4-8BCF-68ECC5E91253}">
  <dimension ref="A1:Q13"/>
  <sheetViews>
    <sheetView tabSelected="1" workbookViewId="0">
      <selection activeCell="A14" sqref="A14"/>
    </sheetView>
  </sheetViews>
  <sheetFormatPr defaultRowHeight="15" x14ac:dyDescent="0.25"/>
  <cols>
    <col min="6" max="6" width="2.140625" customWidth="1"/>
    <col min="8" max="8" width="10" customWidth="1"/>
    <col min="9" max="9" width="13.85546875" bestFit="1" customWidth="1"/>
    <col min="13" max="13" width="2.140625" customWidth="1"/>
  </cols>
  <sheetData>
    <row r="1" spans="1:17" s="1" customFormat="1" x14ac:dyDescent="0.25">
      <c r="A1" s="1" t="s">
        <v>0</v>
      </c>
      <c r="C1" s="3" t="s">
        <v>3</v>
      </c>
      <c r="D1" s="1" t="s">
        <v>5</v>
      </c>
      <c r="E1" s="1" t="s">
        <v>6</v>
      </c>
      <c r="G1" s="1" t="s">
        <v>1</v>
      </c>
      <c r="I1" s="3" t="s">
        <v>3</v>
      </c>
      <c r="J1" s="1" t="s">
        <v>4</v>
      </c>
      <c r="K1" s="1" t="s">
        <v>5</v>
      </c>
      <c r="L1" s="1" t="s">
        <v>6</v>
      </c>
      <c r="N1" s="1" t="s">
        <v>2</v>
      </c>
      <c r="P1" s="1" t="s">
        <v>4</v>
      </c>
      <c r="Q1" s="1" t="s">
        <v>5</v>
      </c>
    </row>
    <row r="2" spans="1:17" x14ac:dyDescent="0.25">
      <c r="A2" s="4">
        <v>1</v>
      </c>
      <c r="B2" s="5">
        <v>22.026</v>
      </c>
      <c r="C2" s="5">
        <v>0.126</v>
      </c>
      <c r="D2" s="6">
        <v>0.53843750000000001</v>
      </c>
      <c r="E2" s="6">
        <v>0.53893518518518524</v>
      </c>
      <c r="G2" s="7">
        <v>1</v>
      </c>
      <c r="H2" s="38">
        <v>22.026</v>
      </c>
      <c r="I2" s="38">
        <v>0.34899999999999998</v>
      </c>
      <c r="J2" s="9">
        <v>498.6</v>
      </c>
      <c r="K2" s="8">
        <v>0.53843750000000001</v>
      </c>
      <c r="L2" s="8">
        <v>0.53893518518518524</v>
      </c>
      <c r="N2" s="7">
        <v>1</v>
      </c>
      <c r="O2" s="7">
        <v>22.07</v>
      </c>
      <c r="P2" s="9">
        <v>499.5</v>
      </c>
      <c r="Q2" s="8">
        <v>0.53842592592592597</v>
      </c>
    </row>
    <row r="3" spans="1:17" x14ac:dyDescent="0.25">
      <c r="A3" s="10">
        <v>2</v>
      </c>
      <c r="B3" s="11">
        <v>20.440000000000001</v>
      </c>
      <c r="C3" s="11">
        <v>0.14699999999999999</v>
      </c>
      <c r="D3" s="12">
        <v>0.5420949074074074</v>
      </c>
      <c r="E3" s="12">
        <v>0.54262731481481474</v>
      </c>
      <c r="G3" s="13">
        <v>2</v>
      </c>
      <c r="H3" s="39">
        <v>20.440000000000001</v>
      </c>
      <c r="I3" s="39">
        <v>0.46800000000000003</v>
      </c>
      <c r="J3" s="36">
        <v>494.2</v>
      </c>
      <c r="K3" s="14">
        <v>0.5420949074074074</v>
      </c>
      <c r="L3" s="14">
        <v>0.54262731481481474</v>
      </c>
      <c r="N3" s="18">
        <v>2</v>
      </c>
      <c r="O3" s="18">
        <v>20.47</v>
      </c>
      <c r="P3" s="20">
        <v>494.9</v>
      </c>
      <c r="Q3" s="19">
        <v>0.58156249999999998</v>
      </c>
    </row>
    <row r="4" spans="1:17" x14ac:dyDescent="0.25">
      <c r="A4" s="15">
        <v>3</v>
      </c>
      <c r="B4" s="16">
        <v>20.423999999999999</v>
      </c>
      <c r="C4" s="16">
        <v>0.08</v>
      </c>
      <c r="D4" s="17">
        <v>0.58157407407407413</v>
      </c>
      <c r="E4" s="17">
        <v>0.58210648148148147</v>
      </c>
      <c r="G4" s="18">
        <v>3</v>
      </c>
      <c r="H4" s="40">
        <v>20.423999999999999</v>
      </c>
      <c r="I4" s="40">
        <v>0.27300000000000002</v>
      </c>
      <c r="J4" s="20">
        <v>493.8</v>
      </c>
      <c r="K4" s="19">
        <v>0.58157407407407413</v>
      </c>
      <c r="L4" s="19">
        <v>0.58210648148148147</v>
      </c>
      <c r="N4" s="30">
        <v>3</v>
      </c>
      <c r="O4" s="30">
        <v>20.37</v>
      </c>
      <c r="P4" s="31">
        <v>482</v>
      </c>
      <c r="Q4" s="32">
        <v>0.54168981481481482</v>
      </c>
    </row>
    <row r="5" spans="1:17" x14ac:dyDescent="0.25">
      <c r="A5" s="33">
        <v>4</v>
      </c>
      <c r="B5" s="34">
        <v>20.004000000000001</v>
      </c>
      <c r="C5" s="34">
        <v>0.17</v>
      </c>
      <c r="D5" s="35">
        <v>0.54178240740740746</v>
      </c>
      <c r="E5" s="35">
        <v>0.54207175925925932</v>
      </c>
      <c r="G5" s="24">
        <v>4</v>
      </c>
      <c r="H5" s="41">
        <v>19.623000000000001</v>
      </c>
      <c r="I5" s="41">
        <v>0.37</v>
      </c>
      <c r="J5" s="26">
        <v>494.6</v>
      </c>
      <c r="K5" s="25">
        <v>0.54033564814814816</v>
      </c>
      <c r="L5" s="25">
        <v>0.54089120370370369</v>
      </c>
      <c r="N5" s="24">
        <v>4</v>
      </c>
      <c r="O5" s="24">
        <v>19.68</v>
      </c>
      <c r="P5" s="26">
        <v>496</v>
      </c>
      <c r="Q5" s="25">
        <v>0.54032407407407412</v>
      </c>
    </row>
    <row r="6" spans="1:17" x14ac:dyDescent="0.25">
      <c r="A6" s="21">
        <v>5</v>
      </c>
      <c r="B6" s="22">
        <v>19.623000000000001</v>
      </c>
      <c r="C6" s="22">
        <v>0.111</v>
      </c>
      <c r="D6" s="23">
        <v>0.54033564814814816</v>
      </c>
      <c r="E6" s="23">
        <v>0.54089120370370369</v>
      </c>
      <c r="G6" s="27">
        <v>5</v>
      </c>
      <c r="H6" s="42">
        <v>19.516999999999999</v>
      </c>
      <c r="I6" s="42">
        <v>0.26300000000000001</v>
      </c>
      <c r="J6" s="28">
        <v>492</v>
      </c>
      <c r="K6" s="29">
        <v>0.6029282407407407</v>
      </c>
      <c r="L6" s="29">
        <v>0.60348379629629634</v>
      </c>
      <c r="N6" s="27">
        <v>5</v>
      </c>
      <c r="O6" s="27">
        <v>19.43</v>
      </c>
      <c r="P6" s="28">
        <v>489.8</v>
      </c>
      <c r="Q6" s="29">
        <v>0.60291666666666666</v>
      </c>
    </row>
    <row r="8" spans="1:17" x14ac:dyDescent="0.25">
      <c r="A8" t="s">
        <v>7</v>
      </c>
      <c r="B8" s="37">
        <f>AVERAGE(B2:B6)</f>
        <v>20.503400000000003</v>
      </c>
      <c r="G8" t="s">
        <v>7</v>
      </c>
      <c r="H8" s="37">
        <f>AVERAGE(H2:H6)</f>
        <v>20.405999999999999</v>
      </c>
      <c r="I8" s="37"/>
      <c r="N8" t="s">
        <v>7</v>
      </c>
      <c r="O8" s="43">
        <f>AVERAGE(O2:O6)</f>
        <v>20.404000000000003</v>
      </c>
    </row>
    <row r="10" spans="1:17" x14ac:dyDescent="0.25">
      <c r="A10" s="1" t="s">
        <v>13</v>
      </c>
      <c r="G10" s="1" t="s">
        <v>13</v>
      </c>
      <c r="N10" s="1" t="s">
        <v>13</v>
      </c>
    </row>
    <row r="11" spans="1:17" x14ac:dyDescent="0.25">
      <c r="A11" s="2" t="s">
        <v>10</v>
      </c>
      <c r="B11" s="2"/>
      <c r="C11" s="2"/>
      <c r="D11" s="2"/>
      <c r="E11" s="2"/>
      <c r="F11" s="2"/>
      <c r="G11" s="2" t="s">
        <v>8</v>
      </c>
      <c r="H11" s="2"/>
      <c r="I11" s="2"/>
      <c r="J11" s="2"/>
      <c r="K11" s="2"/>
      <c r="L11" s="2"/>
      <c r="M11" s="2"/>
      <c r="N11" s="2" t="s">
        <v>9</v>
      </c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 t="s">
        <v>11</v>
      </c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2022-04-04 GT-31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2022-04-21T07:56:14Z</dcterms:created>
  <dcterms:modified xsi:type="dcterms:W3CDTF">2022-04-21T08:27:56Z</dcterms:modified>
</cp:coreProperties>
</file>