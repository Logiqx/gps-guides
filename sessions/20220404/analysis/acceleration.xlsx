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20220404\analysis\"/>
    </mc:Choice>
  </mc:AlternateContent>
  <xr:revisionPtr revIDLastSave="0" documentId="13_ncr:1_{8B0134D7-271E-49C8-93CA-BBE2638C1C3B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gt-31" sheetId="2" r:id="rId1"/>
    <sheet name="gw-60" sheetId="3" r:id="rId2"/>
    <sheet name="motion" sheetId="1" r:id="rId3"/>
    <sheet name="comparison" sheetId="4" r:id="rId4"/>
  </sheets>
  <calcPr calcId="18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W239" i="3" l="1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V9" i="3"/>
  <c r="V10" i="3"/>
  <c r="U245" i="3"/>
  <c r="U244" i="3"/>
  <c r="U243" i="3"/>
  <c r="U242" i="3"/>
  <c r="V239" i="3" s="1"/>
  <c r="U241" i="3"/>
  <c r="U240" i="3"/>
  <c r="U239" i="3"/>
  <c r="U238" i="3"/>
  <c r="V235" i="3" s="1"/>
  <c r="U237" i="3"/>
  <c r="U236" i="3"/>
  <c r="U235" i="3"/>
  <c r="U234" i="3"/>
  <c r="V231" i="3" s="1"/>
  <c r="U233" i="3"/>
  <c r="U232" i="3"/>
  <c r="U231" i="3"/>
  <c r="U230" i="3"/>
  <c r="V227" i="3" s="1"/>
  <c r="U229" i="3"/>
  <c r="U228" i="3"/>
  <c r="U227" i="3"/>
  <c r="U226" i="3"/>
  <c r="V223" i="3" s="1"/>
  <c r="U225" i="3"/>
  <c r="U224" i="3"/>
  <c r="U223" i="3"/>
  <c r="U222" i="3"/>
  <c r="V219" i="3" s="1"/>
  <c r="U221" i="3"/>
  <c r="U220" i="3"/>
  <c r="U219" i="3"/>
  <c r="U218" i="3"/>
  <c r="V215" i="3" s="1"/>
  <c r="U217" i="3"/>
  <c r="U216" i="3"/>
  <c r="U215" i="3"/>
  <c r="U214" i="3"/>
  <c r="V211" i="3" s="1"/>
  <c r="U213" i="3"/>
  <c r="U212" i="3"/>
  <c r="U211" i="3"/>
  <c r="U210" i="3"/>
  <c r="V207" i="3" s="1"/>
  <c r="U209" i="3"/>
  <c r="U208" i="3"/>
  <c r="U207" i="3"/>
  <c r="U206" i="3"/>
  <c r="V203" i="3" s="1"/>
  <c r="U205" i="3"/>
  <c r="U204" i="3"/>
  <c r="U203" i="3"/>
  <c r="U202" i="3"/>
  <c r="V199" i="3" s="1"/>
  <c r="U201" i="3"/>
  <c r="U200" i="3"/>
  <c r="U199" i="3"/>
  <c r="U198" i="3"/>
  <c r="V195" i="3" s="1"/>
  <c r="U197" i="3"/>
  <c r="U196" i="3"/>
  <c r="U195" i="3"/>
  <c r="U194" i="3"/>
  <c r="V191" i="3" s="1"/>
  <c r="U193" i="3"/>
  <c r="U192" i="3"/>
  <c r="U191" i="3"/>
  <c r="U190" i="3"/>
  <c r="V187" i="3" s="1"/>
  <c r="U189" i="3"/>
  <c r="U188" i="3"/>
  <c r="U187" i="3"/>
  <c r="U186" i="3"/>
  <c r="V183" i="3" s="1"/>
  <c r="U185" i="3"/>
  <c r="U184" i="3"/>
  <c r="U183" i="3"/>
  <c r="U182" i="3"/>
  <c r="V179" i="3" s="1"/>
  <c r="U181" i="3"/>
  <c r="U180" i="3"/>
  <c r="U179" i="3"/>
  <c r="U178" i="3"/>
  <c r="V175" i="3" s="1"/>
  <c r="U177" i="3"/>
  <c r="U176" i="3"/>
  <c r="U175" i="3"/>
  <c r="U174" i="3"/>
  <c r="V171" i="3" s="1"/>
  <c r="U173" i="3"/>
  <c r="U172" i="3"/>
  <c r="U171" i="3"/>
  <c r="U170" i="3"/>
  <c r="V167" i="3" s="1"/>
  <c r="U169" i="3"/>
  <c r="U168" i="3"/>
  <c r="U167" i="3"/>
  <c r="U166" i="3"/>
  <c r="V163" i="3" s="1"/>
  <c r="U165" i="3"/>
  <c r="U164" i="3"/>
  <c r="U163" i="3"/>
  <c r="U162" i="3"/>
  <c r="V159" i="3" s="1"/>
  <c r="U161" i="3"/>
  <c r="U160" i="3"/>
  <c r="U159" i="3"/>
  <c r="U158" i="3"/>
  <c r="V155" i="3" s="1"/>
  <c r="U157" i="3"/>
  <c r="U156" i="3"/>
  <c r="U155" i="3"/>
  <c r="U154" i="3"/>
  <c r="V151" i="3" s="1"/>
  <c r="U153" i="3"/>
  <c r="U152" i="3"/>
  <c r="U151" i="3"/>
  <c r="U150" i="3"/>
  <c r="V147" i="3" s="1"/>
  <c r="U149" i="3"/>
  <c r="U148" i="3"/>
  <c r="U147" i="3"/>
  <c r="U146" i="3"/>
  <c r="V143" i="3" s="1"/>
  <c r="U145" i="3"/>
  <c r="V148" i="3" s="1"/>
  <c r="U144" i="3"/>
  <c r="U143" i="3"/>
  <c r="U142" i="3"/>
  <c r="V139" i="3" s="1"/>
  <c r="U141" i="3"/>
  <c r="V144" i="3" s="1"/>
  <c r="U140" i="3"/>
  <c r="U139" i="3"/>
  <c r="U138" i="3"/>
  <c r="V135" i="3" s="1"/>
  <c r="U137" i="3"/>
  <c r="V140" i="3" s="1"/>
  <c r="U136" i="3"/>
  <c r="U135" i="3"/>
  <c r="U134" i="3"/>
  <c r="V131" i="3" s="1"/>
  <c r="U133" i="3"/>
  <c r="V136" i="3" s="1"/>
  <c r="U132" i="3"/>
  <c r="U131" i="3"/>
  <c r="U130" i="3"/>
  <c r="V127" i="3" s="1"/>
  <c r="U129" i="3"/>
  <c r="V132" i="3" s="1"/>
  <c r="U128" i="3"/>
  <c r="U127" i="3"/>
  <c r="U126" i="3"/>
  <c r="V123" i="3" s="1"/>
  <c r="U125" i="3"/>
  <c r="V128" i="3" s="1"/>
  <c r="U124" i="3"/>
  <c r="U123" i="3"/>
  <c r="U122" i="3"/>
  <c r="V119" i="3" s="1"/>
  <c r="U121" i="3"/>
  <c r="V124" i="3" s="1"/>
  <c r="U120" i="3"/>
  <c r="U119" i="3"/>
  <c r="U118" i="3"/>
  <c r="V115" i="3" s="1"/>
  <c r="U117" i="3"/>
  <c r="V120" i="3" s="1"/>
  <c r="U116" i="3"/>
  <c r="U115" i="3"/>
  <c r="U114" i="3"/>
  <c r="V111" i="3" s="1"/>
  <c r="U113" i="3"/>
  <c r="V116" i="3" s="1"/>
  <c r="U112" i="3"/>
  <c r="U111" i="3"/>
  <c r="U110" i="3"/>
  <c r="V107" i="3" s="1"/>
  <c r="U109" i="3"/>
  <c r="V112" i="3" s="1"/>
  <c r="U108" i="3"/>
  <c r="U107" i="3"/>
  <c r="U106" i="3"/>
  <c r="V103" i="3" s="1"/>
  <c r="U105" i="3"/>
  <c r="V108" i="3" s="1"/>
  <c r="U104" i="3"/>
  <c r="U103" i="3"/>
  <c r="U102" i="3"/>
  <c r="V99" i="3" s="1"/>
  <c r="U101" i="3"/>
  <c r="V104" i="3" s="1"/>
  <c r="U100" i="3"/>
  <c r="U99" i="3"/>
  <c r="U98" i="3"/>
  <c r="V95" i="3" s="1"/>
  <c r="U97" i="3"/>
  <c r="V100" i="3" s="1"/>
  <c r="U96" i="3"/>
  <c r="U95" i="3"/>
  <c r="U94" i="3"/>
  <c r="V91" i="3" s="1"/>
  <c r="U93" i="3"/>
  <c r="V96" i="3" s="1"/>
  <c r="U92" i="3"/>
  <c r="U91" i="3"/>
  <c r="U90" i="3"/>
  <c r="V87" i="3" s="1"/>
  <c r="U89" i="3"/>
  <c r="V92" i="3" s="1"/>
  <c r="U88" i="3"/>
  <c r="U87" i="3"/>
  <c r="U86" i="3"/>
  <c r="V83" i="3" s="1"/>
  <c r="U85" i="3"/>
  <c r="V88" i="3" s="1"/>
  <c r="U84" i="3"/>
  <c r="U83" i="3"/>
  <c r="U82" i="3"/>
  <c r="V79" i="3" s="1"/>
  <c r="U81" i="3"/>
  <c r="V84" i="3" s="1"/>
  <c r="U80" i="3"/>
  <c r="U79" i="3"/>
  <c r="U78" i="3"/>
  <c r="V75" i="3" s="1"/>
  <c r="U77" i="3"/>
  <c r="V80" i="3" s="1"/>
  <c r="U76" i="3"/>
  <c r="U75" i="3"/>
  <c r="U74" i="3"/>
  <c r="V71" i="3" s="1"/>
  <c r="U73" i="3"/>
  <c r="V76" i="3" s="1"/>
  <c r="U72" i="3"/>
  <c r="U71" i="3"/>
  <c r="U70" i="3"/>
  <c r="V67" i="3" s="1"/>
  <c r="U69" i="3"/>
  <c r="V72" i="3" s="1"/>
  <c r="U68" i="3"/>
  <c r="U67" i="3"/>
  <c r="U66" i="3"/>
  <c r="V63" i="3" s="1"/>
  <c r="U65" i="3"/>
  <c r="V68" i="3" s="1"/>
  <c r="U64" i="3"/>
  <c r="U63" i="3"/>
  <c r="U62" i="3"/>
  <c r="V59" i="3" s="1"/>
  <c r="U61" i="3"/>
  <c r="V64" i="3" s="1"/>
  <c r="U60" i="3"/>
  <c r="U59" i="3"/>
  <c r="U58" i="3"/>
  <c r="V55" i="3" s="1"/>
  <c r="U57" i="3"/>
  <c r="V60" i="3" s="1"/>
  <c r="U56" i="3"/>
  <c r="U55" i="3"/>
  <c r="U54" i="3"/>
  <c r="V51" i="3" s="1"/>
  <c r="U53" i="3"/>
  <c r="V56" i="3" s="1"/>
  <c r="U52" i="3"/>
  <c r="U51" i="3"/>
  <c r="U50" i="3"/>
  <c r="V47" i="3" s="1"/>
  <c r="U49" i="3"/>
  <c r="V52" i="3" s="1"/>
  <c r="U48" i="3"/>
  <c r="U47" i="3"/>
  <c r="U46" i="3"/>
  <c r="V43" i="3" s="1"/>
  <c r="U45" i="3"/>
  <c r="V48" i="3" s="1"/>
  <c r="U44" i="3"/>
  <c r="U43" i="3"/>
  <c r="U42" i="3"/>
  <c r="V39" i="3" s="1"/>
  <c r="U41" i="3"/>
  <c r="V44" i="3" s="1"/>
  <c r="U40" i="3"/>
  <c r="U39" i="3"/>
  <c r="U38" i="3"/>
  <c r="V35" i="3" s="1"/>
  <c r="U37" i="3"/>
  <c r="V40" i="3" s="1"/>
  <c r="U36" i="3"/>
  <c r="U35" i="3"/>
  <c r="U34" i="3"/>
  <c r="V31" i="3" s="1"/>
  <c r="U33" i="3"/>
  <c r="V36" i="3" s="1"/>
  <c r="U32" i="3"/>
  <c r="U31" i="3"/>
  <c r="U30" i="3"/>
  <c r="V27" i="3" s="1"/>
  <c r="U29" i="3"/>
  <c r="V32" i="3" s="1"/>
  <c r="U28" i="3"/>
  <c r="U27" i="3"/>
  <c r="U26" i="3"/>
  <c r="V23" i="3" s="1"/>
  <c r="U25" i="3"/>
  <c r="V28" i="3" s="1"/>
  <c r="U24" i="3"/>
  <c r="U23" i="3"/>
  <c r="U22" i="3"/>
  <c r="V19" i="3" s="1"/>
  <c r="U21" i="3"/>
  <c r="V24" i="3" s="1"/>
  <c r="U20" i="3"/>
  <c r="U19" i="3"/>
  <c r="U18" i="3"/>
  <c r="V15" i="3" s="1"/>
  <c r="U17" i="3"/>
  <c r="V20" i="3" s="1"/>
  <c r="U16" i="3"/>
  <c r="U15" i="3"/>
  <c r="U14" i="3"/>
  <c r="U13" i="3"/>
  <c r="V16" i="3" s="1"/>
  <c r="U12" i="3"/>
  <c r="U11" i="3"/>
  <c r="U10" i="3"/>
  <c r="U9" i="3"/>
  <c r="V12" i="3" s="1"/>
  <c r="U8" i="3"/>
  <c r="U7" i="3"/>
  <c r="U6" i="3"/>
  <c r="V11" i="3"/>
  <c r="V241" i="3"/>
  <c r="V237" i="3"/>
  <c r="V233" i="3"/>
  <c r="V229" i="3"/>
  <c r="V225" i="3"/>
  <c r="V221" i="3"/>
  <c r="V217" i="3"/>
  <c r="V213" i="3"/>
  <c r="V209" i="3"/>
  <c r="V205" i="3"/>
  <c r="V201" i="3"/>
  <c r="V197" i="3"/>
  <c r="V193" i="3"/>
  <c r="V189" i="3"/>
  <c r="V185" i="3"/>
  <c r="V181" i="3"/>
  <c r="V177" i="3"/>
  <c r="V173" i="3"/>
  <c r="V169" i="3"/>
  <c r="V165" i="3"/>
  <c r="V161" i="3"/>
  <c r="V157" i="3"/>
  <c r="V153" i="3"/>
  <c r="V149" i="3"/>
  <c r="V145" i="3"/>
  <c r="V141" i="3"/>
  <c r="V137" i="3"/>
  <c r="V133" i="3"/>
  <c r="V129" i="3"/>
  <c r="V125" i="3"/>
  <c r="V121" i="3"/>
  <c r="V117" i="3"/>
  <c r="V113" i="3"/>
  <c r="V109" i="3"/>
  <c r="V105" i="3"/>
  <c r="V101" i="3"/>
  <c r="V97" i="3"/>
  <c r="V93" i="3"/>
  <c r="V89" i="3"/>
  <c r="V85" i="3"/>
  <c r="V81" i="3"/>
  <c r="V77" i="3"/>
  <c r="V73" i="3"/>
  <c r="V69" i="3"/>
  <c r="V65" i="3"/>
  <c r="V61" i="3"/>
  <c r="V57" i="3"/>
  <c r="V53" i="3"/>
  <c r="V49" i="3"/>
  <c r="V45" i="3"/>
  <c r="V41" i="3"/>
  <c r="V37" i="3"/>
  <c r="V33" i="3"/>
  <c r="V29" i="3"/>
  <c r="V25" i="3"/>
  <c r="V21" i="3"/>
  <c r="V17" i="3"/>
  <c r="V13" i="3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U457" i="1"/>
  <c r="U433" i="1"/>
  <c r="U425" i="1"/>
  <c r="U401" i="1"/>
  <c r="U393" i="1"/>
  <c r="U369" i="1"/>
  <c r="U361" i="1"/>
  <c r="U337" i="1"/>
  <c r="U329" i="1"/>
  <c r="U35" i="1"/>
  <c r="U31" i="1"/>
  <c r="U19" i="1"/>
  <c r="R238" i="3"/>
  <c r="R217" i="3"/>
  <c r="R206" i="3"/>
  <c r="R182" i="3"/>
  <c r="R157" i="3"/>
  <c r="R93" i="3"/>
  <c r="R64" i="3"/>
  <c r="R52" i="3"/>
  <c r="R48" i="3"/>
  <c r="R32" i="3"/>
  <c r="R24" i="3"/>
  <c r="R525" i="2"/>
  <c r="Q524" i="2"/>
  <c r="R54" i="2"/>
  <c r="R52" i="2"/>
  <c r="Q52" i="2"/>
  <c r="P52" i="2"/>
  <c r="R51" i="2"/>
  <c r="Q51" i="2"/>
  <c r="P51" i="2"/>
  <c r="R50" i="2"/>
  <c r="Q50" i="2"/>
  <c r="P50" i="2"/>
  <c r="R49" i="2"/>
  <c r="Q49" i="2"/>
  <c r="P49" i="2"/>
  <c r="R48" i="2"/>
  <c r="Q48" i="2"/>
  <c r="P48" i="2"/>
  <c r="R47" i="2"/>
  <c r="Q47" i="2"/>
  <c r="P47" i="2"/>
  <c r="R46" i="2"/>
  <c r="Q46" i="2"/>
  <c r="P46" i="2"/>
  <c r="R45" i="2"/>
  <c r="Q45" i="2"/>
  <c r="P45" i="2"/>
  <c r="R44" i="2"/>
  <c r="Q44" i="2"/>
  <c r="P44" i="2"/>
  <c r="R43" i="2"/>
  <c r="Q43" i="2"/>
  <c r="P43" i="2"/>
  <c r="R42" i="2"/>
  <c r="Q42" i="2"/>
  <c r="P42" i="2"/>
  <c r="R41" i="2"/>
  <c r="Q41" i="2"/>
  <c r="P41" i="2"/>
  <c r="R40" i="2"/>
  <c r="Q40" i="2"/>
  <c r="P40" i="2"/>
  <c r="R39" i="2"/>
  <c r="Q39" i="2"/>
  <c r="P39" i="2"/>
  <c r="R38" i="2"/>
  <c r="Q38" i="2"/>
  <c r="P38" i="2"/>
  <c r="R37" i="2"/>
  <c r="Q37" i="2"/>
  <c r="P37" i="2"/>
  <c r="R36" i="2"/>
  <c r="Q36" i="2"/>
  <c r="P36" i="2"/>
  <c r="R35" i="2"/>
  <c r="Q35" i="2"/>
  <c r="P35" i="2"/>
  <c r="R34" i="2"/>
  <c r="Q34" i="2"/>
  <c r="P34" i="2"/>
  <c r="R33" i="2"/>
  <c r="Q33" i="2"/>
  <c r="P33" i="2"/>
  <c r="R32" i="2"/>
  <c r="Q32" i="2"/>
  <c r="P32" i="2"/>
  <c r="R31" i="2"/>
  <c r="Q31" i="2"/>
  <c r="P31" i="2"/>
  <c r="R30" i="2"/>
  <c r="Q30" i="2"/>
  <c r="P30" i="2"/>
  <c r="R29" i="2"/>
  <c r="Q29" i="2"/>
  <c r="P29" i="2"/>
  <c r="R28" i="2"/>
  <c r="Q28" i="2"/>
  <c r="P28" i="2"/>
  <c r="R27" i="2"/>
  <c r="Q27" i="2"/>
  <c r="P27" i="2"/>
  <c r="R26" i="2"/>
  <c r="Q26" i="2"/>
  <c r="P26" i="2"/>
  <c r="R25" i="2"/>
  <c r="Q25" i="2"/>
  <c r="P25" i="2"/>
  <c r="R24" i="2"/>
  <c r="Q24" i="2"/>
  <c r="P24" i="2"/>
  <c r="R23" i="2"/>
  <c r="Q23" i="2"/>
  <c r="P23" i="2"/>
  <c r="R22" i="2"/>
  <c r="Q22" i="2"/>
  <c r="P22" i="2"/>
  <c r="R21" i="2"/>
  <c r="Q21" i="2"/>
  <c r="P21" i="2"/>
  <c r="R20" i="2"/>
  <c r="Q20" i="2"/>
  <c r="P20" i="2"/>
  <c r="R19" i="2"/>
  <c r="Q19" i="2"/>
  <c r="P19" i="2"/>
  <c r="R18" i="2"/>
  <c r="Q18" i="2"/>
  <c r="P18" i="2"/>
  <c r="R17" i="2"/>
  <c r="Q17" i="2"/>
  <c r="P17" i="2"/>
  <c r="R16" i="2"/>
  <c r="Q16" i="2"/>
  <c r="P16" i="2"/>
  <c r="R15" i="2"/>
  <c r="Q15" i="2"/>
  <c r="P15" i="2"/>
  <c r="R14" i="2"/>
  <c r="Q14" i="2"/>
  <c r="P14" i="2"/>
  <c r="R13" i="2"/>
  <c r="Q13" i="2"/>
  <c r="P13" i="2"/>
  <c r="R12" i="2"/>
  <c r="Q12" i="2"/>
  <c r="P12" i="2"/>
  <c r="R11" i="2"/>
  <c r="Q11" i="2"/>
  <c r="P11" i="2"/>
  <c r="R10" i="2"/>
  <c r="Q10" i="2"/>
  <c r="P10" i="2"/>
  <c r="R9" i="2"/>
  <c r="Q9" i="2"/>
  <c r="P9" i="2"/>
  <c r="R8" i="2"/>
  <c r="Q8" i="2"/>
  <c r="P8" i="2"/>
  <c r="R7" i="2"/>
  <c r="Q7" i="2"/>
  <c r="P7" i="2"/>
  <c r="R6" i="2"/>
  <c r="Q6" i="2"/>
  <c r="P6" i="2"/>
  <c r="R5" i="2"/>
  <c r="Q5" i="2"/>
  <c r="P5" i="2"/>
  <c r="R4" i="2"/>
  <c r="Q4" i="2"/>
  <c r="P4" i="2"/>
  <c r="Q3" i="2"/>
  <c r="P248" i="3"/>
  <c r="P247" i="3"/>
  <c r="P246" i="3"/>
  <c r="P245" i="3"/>
  <c r="Q244" i="3"/>
  <c r="P244" i="3"/>
  <c r="P243" i="3"/>
  <c r="P242" i="3"/>
  <c r="Q242" i="3" s="1"/>
  <c r="P241" i="3"/>
  <c r="P240" i="3"/>
  <c r="Q240" i="3" s="1"/>
  <c r="P239" i="3"/>
  <c r="P238" i="3"/>
  <c r="P237" i="3"/>
  <c r="Q236" i="3"/>
  <c r="P236" i="3"/>
  <c r="P235" i="3"/>
  <c r="P234" i="3"/>
  <c r="Q234" i="3" s="1"/>
  <c r="P233" i="3"/>
  <c r="P232" i="3"/>
  <c r="P231" i="3"/>
  <c r="P230" i="3"/>
  <c r="P229" i="3"/>
  <c r="P228" i="3"/>
  <c r="P227" i="3"/>
  <c r="P226" i="3"/>
  <c r="Q226" i="3" s="1"/>
  <c r="P225" i="3"/>
  <c r="Q224" i="3"/>
  <c r="P224" i="3"/>
  <c r="P223" i="3"/>
  <c r="P222" i="3"/>
  <c r="Q222" i="3" s="1"/>
  <c r="P221" i="3"/>
  <c r="P220" i="3"/>
  <c r="P219" i="3"/>
  <c r="Q218" i="3"/>
  <c r="P218" i="3"/>
  <c r="P217" i="3"/>
  <c r="P216" i="3"/>
  <c r="Q216" i="3" s="1"/>
  <c r="P215" i="3"/>
  <c r="P214" i="3"/>
  <c r="P213" i="3"/>
  <c r="Q212" i="3"/>
  <c r="P212" i="3"/>
  <c r="P211" i="3"/>
  <c r="P210" i="3"/>
  <c r="Q210" i="3" s="1"/>
  <c r="P209" i="3"/>
  <c r="P208" i="3"/>
  <c r="P207" i="3"/>
  <c r="Q207" i="3" s="1"/>
  <c r="P206" i="3"/>
  <c r="P205" i="3"/>
  <c r="Q204" i="3"/>
  <c r="P204" i="3"/>
  <c r="P203" i="3"/>
  <c r="P202" i="3"/>
  <c r="Q202" i="3" s="1"/>
  <c r="P201" i="3"/>
  <c r="P200" i="3"/>
  <c r="P199" i="3"/>
  <c r="Q199" i="3" s="1"/>
  <c r="P198" i="3"/>
  <c r="P197" i="3"/>
  <c r="P196" i="3"/>
  <c r="R193" i="3" s="1"/>
  <c r="P195" i="3"/>
  <c r="Q196" i="3" s="1"/>
  <c r="P194" i="3"/>
  <c r="Q194" i="3" s="1"/>
  <c r="P193" i="3"/>
  <c r="Q192" i="3"/>
  <c r="P192" i="3"/>
  <c r="P191" i="3"/>
  <c r="P190" i="3"/>
  <c r="P189" i="3"/>
  <c r="P188" i="3"/>
  <c r="P187" i="3"/>
  <c r="Q186" i="3"/>
  <c r="P186" i="3"/>
  <c r="P185" i="3"/>
  <c r="P184" i="3"/>
  <c r="Q184" i="3" s="1"/>
  <c r="P183" i="3"/>
  <c r="P182" i="3"/>
  <c r="P181" i="3"/>
  <c r="Q180" i="3"/>
  <c r="P180" i="3"/>
  <c r="P179" i="3"/>
  <c r="P178" i="3"/>
  <c r="Q178" i="3" s="1"/>
  <c r="P177" i="3"/>
  <c r="P176" i="3"/>
  <c r="Q176" i="3" s="1"/>
  <c r="P175" i="3"/>
  <c r="Q175" i="3" s="1"/>
  <c r="P174" i="3"/>
  <c r="P173" i="3"/>
  <c r="Q172" i="3"/>
  <c r="P172" i="3"/>
  <c r="P171" i="3"/>
  <c r="P170" i="3"/>
  <c r="P169" i="3"/>
  <c r="P168" i="3"/>
  <c r="P167" i="3"/>
  <c r="P166" i="3"/>
  <c r="P165" i="3"/>
  <c r="P164" i="3"/>
  <c r="P163" i="3"/>
  <c r="P162" i="3"/>
  <c r="Q162" i="3" s="1"/>
  <c r="P161" i="3"/>
  <c r="Q160" i="3"/>
  <c r="P160" i="3"/>
  <c r="P159" i="3"/>
  <c r="P158" i="3"/>
  <c r="P157" i="3"/>
  <c r="P156" i="3"/>
  <c r="P155" i="3"/>
  <c r="Q156" i="3" s="1"/>
  <c r="Q154" i="3"/>
  <c r="P154" i="3"/>
  <c r="P153" i="3"/>
  <c r="P152" i="3"/>
  <c r="Q152" i="3" s="1"/>
  <c r="P151" i="3"/>
  <c r="P150" i="3"/>
  <c r="P149" i="3"/>
  <c r="P148" i="3"/>
  <c r="Q148" i="3" s="1"/>
  <c r="P147" i="3"/>
  <c r="Q146" i="3"/>
  <c r="P146" i="3"/>
  <c r="P145" i="3"/>
  <c r="P144" i="3"/>
  <c r="Q144" i="3" s="1"/>
  <c r="P143" i="3"/>
  <c r="P142" i="3"/>
  <c r="P141" i="3"/>
  <c r="Q141" i="3" s="1"/>
  <c r="P140" i="3"/>
  <c r="P139" i="3"/>
  <c r="Q138" i="3"/>
  <c r="P138" i="3"/>
  <c r="R135" i="3" s="1"/>
  <c r="P137" i="3"/>
  <c r="R134" i="3" s="1"/>
  <c r="P136" i="3"/>
  <c r="Q136" i="3" s="1"/>
  <c r="P135" i="3"/>
  <c r="P134" i="3"/>
  <c r="P133" i="3"/>
  <c r="P132" i="3"/>
  <c r="Q132" i="3" s="1"/>
  <c r="P131" i="3"/>
  <c r="Q130" i="3"/>
  <c r="P130" i="3"/>
  <c r="P129" i="3"/>
  <c r="P128" i="3"/>
  <c r="R125" i="3" s="1"/>
  <c r="P127" i="3"/>
  <c r="P126" i="3"/>
  <c r="Q126" i="3" s="1"/>
  <c r="P125" i="3"/>
  <c r="P124" i="3"/>
  <c r="P123" i="3"/>
  <c r="Q122" i="3"/>
  <c r="P122" i="3"/>
  <c r="R119" i="3" s="1"/>
  <c r="P121" i="3"/>
  <c r="P120" i="3"/>
  <c r="Q120" i="3" s="1"/>
  <c r="P119" i="3"/>
  <c r="P118" i="3"/>
  <c r="P117" i="3"/>
  <c r="P116" i="3"/>
  <c r="P115" i="3"/>
  <c r="Q114" i="3"/>
  <c r="P114" i="3"/>
  <c r="P113" i="3"/>
  <c r="P112" i="3"/>
  <c r="R109" i="3" s="1"/>
  <c r="P111" i="3"/>
  <c r="P110" i="3"/>
  <c r="Q110" i="3" s="1"/>
  <c r="P109" i="3"/>
  <c r="P108" i="3"/>
  <c r="P107" i="3"/>
  <c r="Q106" i="3"/>
  <c r="P106" i="3"/>
  <c r="R103" i="3" s="1"/>
  <c r="P105" i="3"/>
  <c r="P104" i="3"/>
  <c r="Q104" i="3" s="1"/>
  <c r="P103" i="3"/>
  <c r="P102" i="3"/>
  <c r="P101" i="3"/>
  <c r="Q101" i="3" s="1"/>
  <c r="P100" i="3"/>
  <c r="Q100" i="3" s="1"/>
  <c r="P99" i="3"/>
  <c r="Q99" i="3" s="1"/>
  <c r="Q98" i="3"/>
  <c r="P98" i="3"/>
  <c r="P97" i="3"/>
  <c r="P96" i="3"/>
  <c r="Q96" i="3" s="1"/>
  <c r="P95" i="3"/>
  <c r="P94" i="3"/>
  <c r="Q94" i="3" s="1"/>
  <c r="P93" i="3"/>
  <c r="P92" i="3"/>
  <c r="P91" i="3"/>
  <c r="Q90" i="3"/>
  <c r="P90" i="3"/>
  <c r="P89" i="3"/>
  <c r="P88" i="3"/>
  <c r="Q88" i="3" s="1"/>
  <c r="P87" i="3"/>
  <c r="P86" i="3"/>
  <c r="P85" i="3"/>
  <c r="P84" i="3"/>
  <c r="Q84" i="3" s="1"/>
  <c r="P83" i="3"/>
  <c r="Q83" i="3" s="1"/>
  <c r="Q82" i="3"/>
  <c r="P82" i="3"/>
  <c r="P81" i="3"/>
  <c r="P80" i="3"/>
  <c r="R77" i="3" s="1"/>
  <c r="P79" i="3"/>
  <c r="P78" i="3"/>
  <c r="Q78" i="3" s="1"/>
  <c r="P77" i="3"/>
  <c r="P76" i="3"/>
  <c r="P75" i="3"/>
  <c r="Q74" i="3"/>
  <c r="P74" i="3"/>
  <c r="P73" i="3"/>
  <c r="P72" i="3"/>
  <c r="R69" i="3" s="1"/>
  <c r="P71" i="3"/>
  <c r="P70" i="3"/>
  <c r="P69" i="3"/>
  <c r="P68" i="3"/>
  <c r="Q68" i="3" s="1"/>
  <c r="P67" i="3"/>
  <c r="Q66" i="3"/>
  <c r="P66" i="3"/>
  <c r="P65" i="3"/>
  <c r="P64" i="3"/>
  <c r="R61" i="3" s="1"/>
  <c r="P63" i="3"/>
  <c r="P62" i="3"/>
  <c r="Q62" i="3" s="1"/>
  <c r="P61" i="3"/>
  <c r="P60" i="3"/>
  <c r="P59" i="3"/>
  <c r="Q58" i="3"/>
  <c r="P58" i="3"/>
  <c r="P57" i="3"/>
  <c r="P56" i="3"/>
  <c r="Q56" i="3" s="1"/>
  <c r="P55" i="3"/>
  <c r="P54" i="3"/>
  <c r="P53" i="3"/>
  <c r="P52" i="3"/>
  <c r="P51" i="3"/>
  <c r="Q50" i="3"/>
  <c r="P50" i="3"/>
  <c r="P49" i="3"/>
  <c r="P48" i="3"/>
  <c r="R45" i="3" s="1"/>
  <c r="P47" i="3"/>
  <c r="P46" i="3"/>
  <c r="Q46" i="3" s="1"/>
  <c r="P45" i="3"/>
  <c r="P44" i="3"/>
  <c r="P43" i="3"/>
  <c r="Q42" i="3"/>
  <c r="P42" i="3"/>
  <c r="P41" i="3"/>
  <c r="P40" i="3"/>
  <c r="R37" i="3" s="1"/>
  <c r="P39" i="3"/>
  <c r="P38" i="3"/>
  <c r="P37" i="3"/>
  <c r="P36" i="3"/>
  <c r="P35" i="3"/>
  <c r="Q34" i="3"/>
  <c r="P34" i="3"/>
  <c r="P33" i="3"/>
  <c r="P32" i="3"/>
  <c r="R29" i="3" s="1"/>
  <c r="P31" i="3"/>
  <c r="P30" i="3"/>
  <c r="Q30" i="3" s="1"/>
  <c r="P29" i="3"/>
  <c r="P28" i="3"/>
  <c r="P27" i="3"/>
  <c r="Q26" i="3"/>
  <c r="P26" i="3"/>
  <c r="P25" i="3"/>
  <c r="P24" i="3"/>
  <c r="R21" i="3" s="1"/>
  <c r="P23" i="3"/>
  <c r="P22" i="3"/>
  <c r="P21" i="3"/>
  <c r="P20" i="3"/>
  <c r="P19" i="3"/>
  <c r="Q18" i="3"/>
  <c r="P18" i="3"/>
  <c r="P17" i="3"/>
  <c r="P16" i="3"/>
  <c r="P15" i="3"/>
  <c r="P14" i="3"/>
  <c r="P13" i="3"/>
  <c r="P12" i="3"/>
  <c r="P11" i="3"/>
  <c r="Q10" i="3"/>
  <c r="P10" i="3"/>
  <c r="P9" i="3"/>
  <c r="P8" i="3"/>
  <c r="Q8" i="3" s="1"/>
  <c r="P7" i="3"/>
  <c r="P6" i="3"/>
  <c r="P5" i="3"/>
  <c r="P4" i="3"/>
  <c r="Q4" i="3" s="1"/>
  <c r="P3" i="3"/>
  <c r="P493" i="1"/>
  <c r="Q493" i="1" s="1"/>
  <c r="P492" i="1"/>
  <c r="P491" i="1"/>
  <c r="Q491" i="1" s="1"/>
  <c r="P490" i="1"/>
  <c r="P489" i="1"/>
  <c r="P488" i="1"/>
  <c r="P487" i="1"/>
  <c r="P486" i="1"/>
  <c r="Q487" i="1" s="1"/>
  <c r="P485" i="1"/>
  <c r="P484" i="1"/>
  <c r="P483" i="1"/>
  <c r="P482" i="1"/>
  <c r="P481" i="1"/>
  <c r="U486" i="1" s="1"/>
  <c r="P480" i="1"/>
  <c r="P479" i="1"/>
  <c r="P478" i="1"/>
  <c r="P477" i="1"/>
  <c r="U482" i="1" s="1"/>
  <c r="P476" i="1"/>
  <c r="U481" i="1" s="1"/>
  <c r="P475" i="1"/>
  <c r="P474" i="1"/>
  <c r="R473" i="1"/>
  <c r="P473" i="1"/>
  <c r="P472" i="1"/>
  <c r="P471" i="1"/>
  <c r="U473" i="1" s="1"/>
  <c r="P470" i="1"/>
  <c r="P469" i="1"/>
  <c r="P468" i="1"/>
  <c r="R467" i="1"/>
  <c r="P467" i="1"/>
  <c r="P466" i="1"/>
  <c r="R465" i="1"/>
  <c r="P465" i="1"/>
  <c r="U470" i="1" s="1"/>
  <c r="P464" i="1"/>
  <c r="U469" i="1" s="1"/>
  <c r="P463" i="1"/>
  <c r="P462" i="1"/>
  <c r="P461" i="1"/>
  <c r="U466" i="1" s="1"/>
  <c r="P460" i="1"/>
  <c r="P459" i="1"/>
  <c r="P458" i="1"/>
  <c r="P457" i="1"/>
  <c r="U462" i="1" s="1"/>
  <c r="P456" i="1"/>
  <c r="U461" i="1" s="1"/>
  <c r="P455" i="1"/>
  <c r="P454" i="1"/>
  <c r="P453" i="1"/>
  <c r="P452" i="1"/>
  <c r="R451" i="1"/>
  <c r="P451" i="1"/>
  <c r="P450" i="1"/>
  <c r="P449" i="1"/>
  <c r="U454" i="1" s="1"/>
  <c r="P448" i="1"/>
  <c r="P447" i="1"/>
  <c r="P446" i="1"/>
  <c r="P445" i="1"/>
  <c r="U450" i="1" s="1"/>
  <c r="P444" i="1"/>
  <c r="R439" i="1" s="1"/>
  <c r="P443" i="1"/>
  <c r="P442" i="1"/>
  <c r="P441" i="1"/>
  <c r="U446" i="1" s="1"/>
  <c r="P440" i="1"/>
  <c r="P439" i="1"/>
  <c r="P438" i="1"/>
  <c r="P437" i="1"/>
  <c r="U442" i="1" s="1"/>
  <c r="P436" i="1"/>
  <c r="R431" i="1" s="1"/>
  <c r="P435" i="1"/>
  <c r="P434" i="1"/>
  <c r="P433" i="1"/>
  <c r="U438" i="1" s="1"/>
  <c r="P432" i="1"/>
  <c r="P431" i="1"/>
  <c r="P430" i="1"/>
  <c r="P429" i="1"/>
  <c r="U434" i="1" s="1"/>
  <c r="P428" i="1"/>
  <c r="R423" i="1" s="1"/>
  <c r="P427" i="1"/>
  <c r="P426" i="1"/>
  <c r="P425" i="1"/>
  <c r="U430" i="1" s="1"/>
  <c r="P424" i="1"/>
  <c r="P423" i="1"/>
  <c r="P422" i="1"/>
  <c r="P421" i="1"/>
  <c r="U426" i="1" s="1"/>
  <c r="P420" i="1"/>
  <c r="R415" i="1" s="1"/>
  <c r="P419" i="1"/>
  <c r="P418" i="1"/>
  <c r="P417" i="1"/>
  <c r="U422" i="1" s="1"/>
  <c r="P416" i="1"/>
  <c r="P415" i="1"/>
  <c r="P414" i="1"/>
  <c r="P413" i="1"/>
  <c r="U418" i="1" s="1"/>
  <c r="P412" i="1"/>
  <c r="R407" i="1" s="1"/>
  <c r="P411" i="1"/>
  <c r="P410" i="1"/>
  <c r="P409" i="1"/>
  <c r="U414" i="1" s="1"/>
  <c r="P408" i="1"/>
  <c r="P407" i="1"/>
  <c r="P406" i="1"/>
  <c r="P405" i="1"/>
  <c r="U410" i="1" s="1"/>
  <c r="P404" i="1"/>
  <c r="R399" i="1" s="1"/>
  <c r="P403" i="1"/>
  <c r="P402" i="1"/>
  <c r="P401" i="1"/>
  <c r="U406" i="1" s="1"/>
  <c r="P400" i="1"/>
  <c r="P399" i="1"/>
  <c r="P398" i="1"/>
  <c r="P397" i="1"/>
  <c r="U402" i="1" s="1"/>
  <c r="P396" i="1"/>
  <c r="R391" i="1" s="1"/>
  <c r="P395" i="1"/>
  <c r="P394" i="1"/>
  <c r="P393" i="1"/>
  <c r="U398" i="1" s="1"/>
  <c r="P392" i="1"/>
  <c r="P391" i="1"/>
  <c r="P390" i="1"/>
  <c r="P389" i="1"/>
  <c r="U394" i="1" s="1"/>
  <c r="P388" i="1"/>
  <c r="R383" i="1" s="1"/>
  <c r="P387" i="1"/>
  <c r="P386" i="1"/>
  <c r="P385" i="1"/>
  <c r="U390" i="1" s="1"/>
  <c r="P384" i="1"/>
  <c r="P383" i="1"/>
  <c r="P382" i="1"/>
  <c r="P381" i="1"/>
  <c r="U386" i="1" s="1"/>
  <c r="P380" i="1"/>
  <c r="R375" i="1" s="1"/>
  <c r="P379" i="1"/>
  <c r="P378" i="1"/>
  <c r="P377" i="1"/>
  <c r="U382" i="1" s="1"/>
  <c r="P376" i="1"/>
  <c r="P375" i="1"/>
  <c r="P374" i="1"/>
  <c r="P373" i="1"/>
  <c r="U378" i="1" s="1"/>
  <c r="P372" i="1"/>
  <c r="R367" i="1" s="1"/>
  <c r="P371" i="1"/>
  <c r="P370" i="1"/>
  <c r="P369" i="1"/>
  <c r="U374" i="1" s="1"/>
  <c r="P368" i="1"/>
  <c r="P367" i="1"/>
  <c r="P366" i="1"/>
  <c r="P365" i="1"/>
  <c r="U370" i="1" s="1"/>
  <c r="R364" i="1"/>
  <c r="P364" i="1"/>
  <c r="P363" i="1"/>
  <c r="P362" i="1"/>
  <c r="R361" i="1"/>
  <c r="P361" i="1"/>
  <c r="R366" i="1" s="1"/>
  <c r="P360" i="1"/>
  <c r="U365" i="1" s="1"/>
  <c r="P359" i="1"/>
  <c r="P358" i="1"/>
  <c r="P357" i="1"/>
  <c r="P356" i="1"/>
  <c r="P355" i="1"/>
  <c r="P354" i="1"/>
  <c r="P353" i="1"/>
  <c r="R358" i="1" s="1"/>
  <c r="P352" i="1"/>
  <c r="P351" i="1"/>
  <c r="P350" i="1"/>
  <c r="P349" i="1"/>
  <c r="P348" i="1"/>
  <c r="P347" i="1"/>
  <c r="P346" i="1"/>
  <c r="P345" i="1"/>
  <c r="P344" i="1"/>
  <c r="R349" i="1" s="1"/>
  <c r="P343" i="1"/>
  <c r="P342" i="1"/>
  <c r="P341" i="1"/>
  <c r="U346" i="1" s="1"/>
  <c r="P340" i="1"/>
  <c r="P339" i="1"/>
  <c r="P338" i="1"/>
  <c r="U343" i="1" s="1"/>
  <c r="P337" i="1"/>
  <c r="P336" i="1"/>
  <c r="P335" i="1"/>
  <c r="P334" i="1"/>
  <c r="P333" i="1"/>
  <c r="P332" i="1"/>
  <c r="P331" i="1"/>
  <c r="P330" i="1"/>
  <c r="U335" i="1" s="1"/>
  <c r="P329" i="1"/>
  <c r="P328" i="1"/>
  <c r="U333" i="1" s="1"/>
  <c r="P327" i="1"/>
  <c r="P326" i="1"/>
  <c r="P325" i="1"/>
  <c r="P324" i="1"/>
  <c r="P323" i="1"/>
  <c r="P322" i="1"/>
  <c r="U327" i="1" s="1"/>
  <c r="P321" i="1"/>
  <c r="P320" i="1"/>
  <c r="U325" i="1" s="1"/>
  <c r="P319" i="1"/>
  <c r="P318" i="1"/>
  <c r="P317" i="1"/>
  <c r="P316" i="1"/>
  <c r="P315" i="1"/>
  <c r="P314" i="1"/>
  <c r="U319" i="1" s="1"/>
  <c r="P313" i="1"/>
  <c r="P312" i="1"/>
  <c r="U317" i="1" s="1"/>
  <c r="P311" i="1"/>
  <c r="P310" i="1"/>
  <c r="U313" i="1" s="1"/>
  <c r="P309" i="1"/>
  <c r="P308" i="1"/>
  <c r="P307" i="1"/>
  <c r="U312" i="1" s="1"/>
  <c r="P306" i="1"/>
  <c r="P305" i="1"/>
  <c r="P304" i="1"/>
  <c r="P303" i="1"/>
  <c r="U308" i="1" s="1"/>
  <c r="P302" i="1"/>
  <c r="P301" i="1"/>
  <c r="P300" i="1"/>
  <c r="P299" i="1"/>
  <c r="U304" i="1" s="1"/>
  <c r="P298" i="1"/>
  <c r="P297" i="1"/>
  <c r="P296" i="1"/>
  <c r="P295" i="1"/>
  <c r="U300" i="1" s="1"/>
  <c r="P294" i="1"/>
  <c r="P293" i="1"/>
  <c r="P292" i="1"/>
  <c r="P291" i="1"/>
  <c r="U296" i="1" s="1"/>
  <c r="P290" i="1"/>
  <c r="P289" i="1"/>
  <c r="P288" i="1"/>
  <c r="P287" i="1"/>
  <c r="U292" i="1" s="1"/>
  <c r="P286" i="1"/>
  <c r="P285" i="1"/>
  <c r="P284" i="1"/>
  <c r="P283" i="1"/>
  <c r="U288" i="1" s="1"/>
  <c r="P282" i="1"/>
  <c r="P281" i="1"/>
  <c r="P280" i="1"/>
  <c r="P279" i="1"/>
  <c r="U284" i="1" s="1"/>
  <c r="P278" i="1"/>
  <c r="U281" i="1" s="1"/>
  <c r="P277" i="1"/>
  <c r="P276" i="1"/>
  <c r="P275" i="1"/>
  <c r="U280" i="1" s="1"/>
  <c r="P274" i="1"/>
  <c r="P273" i="1"/>
  <c r="P272" i="1"/>
  <c r="P271" i="1"/>
  <c r="U276" i="1" s="1"/>
  <c r="P270" i="1"/>
  <c r="P269" i="1"/>
  <c r="P268" i="1"/>
  <c r="P267" i="1"/>
  <c r="U272" i="1" s="1"/>
  <c r="P266" i="1"/>
  <c r="P265" i="1"/>
  <c r="P264" i="1"/>
  <c r="P263" i="1"/>
  <c r="U268" i="1" s="1"/>
  <c r="P262" i="1"/>
  <c r="P261" i="1"/>
  <c r="P260" i="1"/>
  <c r="P259" i="1"/>
  <c r="U264" i="1" s="1"/>
  <c r="P258" i="1"/>
  <c r="P257" i="1"/>
  <c r="P256" i="1"/>
  <c r="P255" i="1"/>
  <c r="U260" i="1" s="1"/>
  <c r="P254" i="1"/>
  <c r="P253" i="1"/>
  <c r="P252" i="1"/>
  <c r="P251" i="1"/>
  <c r="U256" i="1" s="1"/>
  <c r="P250" i="1"/>
  <c r="P249" i="1"/>
  <c r="P248" i="1"/>
  <c r="P247" i="1"/>
  <c r="U252" i="1" s="1"/>
  <c r="P246" i="1"/>
  <c r="U249" i="1" s="1"/>
  <c r="P245" i="1"/>
  <c r="P244" i="1"/>
  <c r="P243" i="1"/>
  <c r="U248" i="1" s="1"/>
  <c r="P242" i="1"/>
  <c r="P241" i="1"/>
  <c r="P240" i="1"/>
  <c r="P239" i="1"/>
  <c r="U244" i="1" s="1"/>
  <c r="P238" i="1"/>
  <c r="P237" i="1"/>
  <c r="P236" i="1"/>
  <c r="P235" i="1"/>
  <c r="U240" i="1" s="1"/>
  <c r="P234" i="1"/>
  <c r="P233" i="1"/>
  <c r="P232" i="1"/>
  <c r="P231" i="1"/>
  <c r="U236" i="1" s="1"/>
  <c r="P230" i="1"/>
  <c r="P229" i="1"/>
  <c r="P228" i="1"/>
  <c r="P227" i="1"/>
  <c r="U232" i="1" s="1"/>
  <c r="P226" i="1"/>
  <c r="P225" i="1"/>
  <c r="P224" i="1"/>
  <c r="P223" i="1"/>
  <c r="U228" i="1" s="1"/>
  <c r="P222" i="1"/>
  <c r="P221" i="1"/>
  <c r="P220" i="1"/>
  <c r="P219" i="1"/>
  <c r="U224" i="1" s="1"/>
  <c r="P218" i="1"/>
  <c r="P217" i="1"/>
  <c r="P216" i="1"/>
  <c r="P215" i="1"/>
  <c r="U220" i="1" s="1"/>
  <c r="P214" i="1"/>
  <c r="U217" i="1" s="1"/>
  <c r="P213" i="1"/>
  <c r="P212" i="1"/>
  <c r="P211" i="1"/>
  <c r="U216" i="1" s="1"/>
  <c r="P210" i="1"/>
  <c r="P209" i="1"/>
  <c r="P208" i="1"/>
  <c r="P207" i="1"/>
  <c r="U212" i="1" s="1"/>
  <c r="P206" i="1"/>
  <c r="P205" i="1"/>
  <c r="P204" i="1"/>
  <c r="P203" i="1"/>
  <c r="U208" i="1" s="1"/>
  <c r="P202" i="1"/>
  <c r="P201" i="1"/>
  <c r="P200" i="1"/>
  <c r="P199" i="1"/>
  <c r="U204" i="1" s="1"/>
  <c r="P198" i="1"/>
  <c r="P197" i="1"/>
  <c r="P196" i="1"/>
  <c r="P195" i="1"/>
  <c r="U200" i="1" s="1"/>
  <c r="P194" i="1"/>
  <c r="P193" i="1"/>
  <c r="P192" i="1"/>
  <c r="P191" i="1"/>
  <c r="U196" i="1" s="1"/>
  <c r="P190" i="1"/>
  <c r="P189" i="1"/>
  <c r="P188" i="1"/>
  <c r="P187" i="1"/>
  <c r="U192" i="1" s="1"/>
  <c r="P186" i="1"/>
  <c r="P185" i="1"/>
  <c r="P184" i="1"/>
  <c r="P183" i="1"/>
  <c r="U188" i="1" s="1"/>
  <c r="P182" i="1"/>
  <c r="U185" i="1" s="1"/>
  <c r="P181" i="1"/>
  <c r="P180" i="1"/>
  <c r="P179" i="1"/>
  <c r="U184" i="1" s="1"/>
  <c r="P178" i="1"/>
  <c r="P177" i="1"/>
  <c r="P176" i="1"/>
  <c r="P175" i="1"/>
  <c r="U180" i="1" s="1"/>
  <c r="P174" i="1"/>
  <c r="P173" i="1"/>
  <c r="P172" i="1"/>
  <c r="P171" i="1"/>
  <c r="U176" i="1" s="1"/>
  <c r="P170" i="1"/>
  <c r="P169" i="1"/>
  <c r="P168" i="1"/>
  <c r="P167" i="1"/>
  <c r="U172" i="1" s="1"/>
  <c r="P166" i="1"/>
  <c r="P165" i="1"/>
  <c r="P164" i="1"/>
  <c r="P163" i="1"/>
  <c r="U168" i="1" s="1"/>
  <c r="P162" i="1"/>
  <c r="P161" i="1"/>
  <c r="P160" i="1"/>
  <c r="P159" i="1"/>
  <c r="U164" i="1" s="1"/>
  <c r="P158" i="1"/>
  <c r="P157" i="1"/>
  <c r="P156" i="1"/>
  <c r="P155" i="1"/>
  <c r="U160" i="1" s="1"/>
  <c r="P154" i="1"/>
  <c r="P153" i="1"/>
  <c r="P152" i="1"/>
  <c r="P151" i="1"/>
  <c r="U156" i="1" s="1"/>
  <c r="P150" i="1"/>
  <c r="U153" i="1" s="1"/>
  <c r="P149" i="1"/>
  <c r="P148" i="1"/>
  <c r="P147" i="1"/>
  <c r="U152" i="1" s="1"/>
  <c r="P146" i="1"/>
  <c r="P145" i="1"/>
  <c r="P144" i="1"/>
  <c r="P143" i="1"/>
  <c r="U148" i="1" s="1"/>
  <c r="P142" i="1"/>
  <c r="P141" i="1"/>
  <c r="P140" i="1"/>
  <c r="P139" i="1"/>
  <c r="U144" i="1" s="1"/>
  <c r="P138" i="1"/>
  <c r="P137" i="1"/>
  <c r="P136" i="1"/>
  <c r="P135" i="1"/>
  <c r="U140" i="1" s="1"/>
  <c r="P134" i="1"/>
  <c r="U139" i="1" s="1"/>
  <c r="P133" i="1"/>
  <c r="P132" i="1"/>
  <c r="P131" i="1"/>
  <c r="U136" i="1" s="1"/>
  <c r="P130" i="1"/>
  <c r="U135" i="1" s="1"/>
  <c r="P129" i="1"/>
  <c r="P128" i="1"/>
  <c r="P127" i="1"/>
  <c r="U132" i="1" s="1"/>
  <c r="P126" i="1"/>
  <c r="P125" i="1"/>
  <c r="P124" i="1"/>
  <c r="P123" i="1"/>
  <c r="U128" i="1" s="1"/>
  <c r="P122" i="1"/>
  <c r="P121" i="1"/>
  <c r="P120" i="1"/>
  <c r="P119" i="1"/>
  <c r="U124" i="1" s="1"/>
  <c r="P118" i="1"/>
  <c r="U123" i="1" s="1"/>
  <c r="P117" i="1"/>
  <c r="P116" i="1"/>
  <c r="P115" i="1"/>
  <c r="U120" i="1" s="1"/>
  <c r="P114" i="1"/>
  <c r="U119" i="1" s="1"/>
  <c r="P113" i="1"/>
  <c r="P112" i="1"/>
  <c r="P111" i="1"/>
  <c r="U116" i="1" s="1"/>
  <c r="P110" i="1"/>
  <c r="P109" i="1"/>
  <c r="P108" i="1"/>
  <c r="P107" i="1"/>
  <c r="U112" i="1" s="1"/>
  <c r="P106" i="1"/>
  <c r="P105" i="1"/>
  <c r="P104" i="1"/>
  <c r="P103" i="1"/>
  <c r="U108" i="1" s="1"/>
  <c r="P102" i="1"/>
  <c r="U107" i="1" s="1"/>
  <c r="P101" i="1"/>
  <c r="P100" i="1"/>
  <c r="P99" i="1"/>
  <c r="U104" i="1" s="1"/>
  <c r="P98" i="1"/>
  <c r="U103" i="1" s="1"/>
  <c r="P97" i="1"/>
  <c r="P96" i="1"/>
  <c r="P95" i="1"/>
  <c r="U100" i="1" s="1"/>
  <c r="P94" i="1"/>
  <c r="P93" i="1"/>
  <c r="P92" i="1"/>
  <c r="P91" i="1"/>
  <c r="U96" i="1" s="1"/>
  <c r="P90" i="1"/>
  <c r="P89" i="1"/>
  <c r="P88" i="1"/>
  <c r="P87" i="1"/>
  <c r="U92" i="1" s="1"/>
  <c r="P86" i="1"/>
  <c r="U91" i="1" s="1"/>
  <c r="P85" i="1"/>
  <c r="P84" i="1"/>
  <c r="P83" i="1"/>
  <c r="U88" i="1" s="1"/>
  <c r="P82" i="1"/>
  <c r="U87" i="1" s="1"/>
  <c r="P81" i="1"/>
  <c r="P80" i="1"/>
  <c r="P79" i="1"/>
  <c r="U84" i="1" s="1"/>
  <c r="P78" i="1"/>
  <c r="P77" i="1"/>
  <c r="P76" i="1"/>
  <c r="P75" i="1"/>
  <c r="U80" i="1" s="1"/>
  <c r="P74" i="1"/>
  <c r="P73" i="1"/>
  <c r="P72" i="1"/>
  <c r="P71" i="1"/>
  <c r="U76" i="1" s="1"/>
  <c r="P70" i="1"/>
  <c r="U75" i="1" s="1"/>
  <c r="P69" i="1"/>
  <c r="P68" i="1"/>
  <c r="P67" i="1"/>
  <c r="U72" i="1" s="1"/>
  <c r="P66" i="1"/>
  <c r="U71" i="1" s="1"/>
  <c r="P65" i="1"/>
  <c r="P64" i="1"/>
  <c r="P63" i="1"/>
  <c r="U68" i="1" s="1"/>
  <c r="P62" i="1"/>
  <c r="P61" i="1"/>
  <c r="P60" i="1"/>
  <c r="P59" i="1"/>
  <c r="U64" i="1" s="1"/>
  <c r="P58" i="1"/>
  <c r="P57" i="1"/>
  <c r="P56" i="1"/>
  <c r="P55" i="1"/>
  <c r="P54" i="1"/>
  <c r="U59" i="1" s="1"/>
  <c r="P53" i="1"/>
  <c r="P52" i="1"/>
  <c r="R47" i="1" s="1"/>
  <c r="P51" i="1"/>
  <c r="R46" i="1" s="1"/>
  <c r="P50" i="1"/>
  <c r="U55" i="1" s="1"/>
  <c r="P49" i="1"/>
  <c r="U54" i="1" s="1"/>
  <c r="P48" i="1"/>
  <c r="P47" i="1"/>
  <c r="R42" i="1" s="1"/>
  <c r="P46" i="1"/>
  <c r="R51" i="1" s="1"/>
  <c r="P45" i="1"/>
  <c r="P44" i="1"/>
  <c r="R39" i="1" s="1"/>
  <c r="R43" i="1"/>
  <c r="P43" i="1"/>
  <c r="P42" i="1"/>
  <c r="P41" i="1"/>
  <c r="U46" i="1" s="1"/>
  <c r="P40" i="1"/>
  <c r="P39" i="1"/>
  <c r="P38" i="1"/>
  <c r="P37" i="1"/>
  <c r="P36" i="1"/>
  <c r="P35" i="1"/>
  <c r="U40" i="1" s="1"/>
  <c r="P34" i="1"/>
  <c r="P33" i="1"/>
  <c r="U38" i="1" s="1"/>
  <c r="P32" i="1"/>
  <c r="P31" i="1"/>
  <c r="U36" i="1" s="1"/>
  <c r="P30" i="1"/>
  <c r="P29" i="1"/>
  <c r="U34" i="1" s="1"/>
  <c r="P28" i="1"/>
  <c r="P27" i="1"/>
  <c r="U32" i="1" s="1"/>
  <c r="P26" i="1"/>
  <c r="P25" i="1"/>
  <c r="U30" i="1" s="1"/>
  <c r="P24" i="1"/>
  <c r="P23" i="1"/>
  <c r="U28" i="1" s="1"/>
  <c r="P22" i="1"/>
  <c r="P21" i="1"/>
  <c r="U26" i="1" s="1"/>
  <c r="P20" i="1"/>
  <c r="P19" i="1"/>
  <c r="U24" i="1" s="1"/>
  <c r="P18" i="1"/>
  <c r="P17" i="1"/>
  <c r="U22" i="1" s="1"/>
  <c r="P16" i="1"/>
  <c r="P15" i="1"/>
  <c r="U20" i="1" s="1"/>
  <c r="P14" i="1"/>
  <c r="P13" i="1"/>
  <c r="U18" i="1" s="1"/>
  <c r="P12" i="1"/>
  <c r="U17" i="1" s="1"/>
  <c r="P11" i="1"/>
  <c r="U15" i="1" s="1"/>
  <c r="P10" i="1"/>
  <c r="R15" i="1" s="1"/>
  <c r="P9" i="1"/>
  <c r="P8" i="1"/>
  <c r="Q7" i="1"/>
  <c r="P7" i="1"/>
  <c r="P6" i="1"/>
  <c r="P5" i="1"/>
  <c r="U10" i="1" s="1"/>
  <c r="P4" i="1"/>
  <c r="P3" i="1"/>
  <c r="V152" i="3" l="1"/>
  <c r="V146" i="3"/>
  <c r="V164" i="3"/>
  <c r="V158" i="3"/>
  <c r="V184" i="3"/>
  <c r="V178" i="3"/>
  <c r="V196" i="3"/>
  <c r="V190" i="3"/>
  <c r="V240" i="3"/>
  <c r="V234" i="3"/>
  <c r="V18" i="3"/>
  <c r="V26" i="3"/>
  <c r="V34" i="3"/>
  <c r="V42" i="3"/>
  <c r="V50" i="3"/>
  <c r="V58" i="3"/>
  <c r="V66" i="3"/>
  <c r="V74" i="3"/>
  <c r="V82" i="3"/>
  <c r="V90" i="3"/>
  <c r="V98" i="3"/>
  <c r="V106" i="3"/>
  <c r="V114" i="3"/>
  <c r="V122" i="3"/>
  <c r="V130" i="3"/>
  <c r="V138" i="3"/>
  <c r="V156" i="3"/>
  <c r="V150" i="3"/>
  <c r="V168" i="3"/>
  <c r="V162" i="3"/>
  <c r="V180" i="3"/>
  <c r="V174" i="3"/>
  <c r="V188" i="3"/>
  <c r="V182" i="3"/>
  <c r="V200" i="3"/>
  <c r="V194" i="3"/>
  <c r="V208" i="3"/>
  <c r="V202" i="3"/>
  <c r="V216" i="3"/>
  <c r="V210" i="3"/>
  <c r="V224" i="3"/>
  <c r="V218" i="3"/>
  <c r="V232" i="3"/>
  <c r="V226" i="3"/>
  <c r="V242" i="3"/>
  <c r="V160" i="3"/>
  <c r="V154" i="3"/>
  <c r="V172" i="3"/>
  <c r="V166" i="3"/>
  <c r="V176" i="3"/>
  <c r="V170" i="3"/>
  <c r="V192" i="3"/>
  <c r="V186" i="3"/>
  <c r="V204" i="3"/>
  <c r="V198" i="3"/>
  <c r="V212" i="3"/>
  <c r="V206" i="3"/>
  <c r="V220" i="3"/>
  <c r="V214" i="3"/>
  <c r="V228" i="3"/>
  <c r="V222" i="3"/>
  <c r="V236" i="3"/>
  <c r="V230" i="3"/>
  <c r="V238" i="3"/>
  <c r="V14" i="3"/>
  <c r="V22" i="3"/>
  <c r="V30" i="3"/>
  <c r="V38" i="3"/>
  <c r="V46" i="3"/>
  <c r="V54" i="3"/>
  <c r="V62" i="3"/>
  <c r="V70" i="3"/>
  <c r="V78" i="3"/>
  <c r="V86" i="3"/>
  <c r="V94" i="3"/>
  <c r="V102" i="3"/>
  <c r="V110" i="3"/>
  <c r="V118" i="3"/>
  <c r="V126" i="3"/>
  <c r="V134" i="3"/>
  <c r="V142" i="3"/>
  <c r="R11" i="3"/>
  <c r="Q14" i="3"/>
  <c r="R139" i="3"/>
  <c r="S142" i="3" s="1"/>
  <c r="Q142" i="3"/>
  <c r="R145" i="3"/>
  <c r="Q158" i="3"/>
  <c r="R155" i="3"/>
  <c r="R161" i="3"/>
  <c r="S164" i="3" s="1"/>
  <c r="R91" i="3"/>
  <c r="R123" i="3"/>
  <c r="R173" i="3"/>
  <c r="Q24" i="3"/>
  <c r="Q40" i="3"/>
  <c r="R40" i="3"/>
  <c r="R56" i="3"/>
  <c r="Q72" i="3"/>
  <c r="R72" i="3"/>
  <c r="R163" i="3"/>
  <c r="Q166" i="3"/>
  <c r="R167" i="3"/>
  <c r="Q170" i="3"/>
  <c r="Q200" i="3"/>
  <c r="Q219" i="3"/>
  <c r="Q220" i="3"/>
  <c r="R222" i="3"/>
  <c r="Q230" i="3"/>
  <c r="R233" i="3"/>
  <c r="R65" i="3"/>
  <c r="R129" i="3"/>
  <c r="Q6" i="3"/>
  <c r="Q22" i="3"/>
  <c r="Q38" i="3"/>
  <c r="R57" i="3"/>
  <c r="Q54" i="3"/>
  <c r="Q60" i="3"/>
  <c r="Q70" i="3"/>
  <c r="Q76" i="3"/>
  <c r="R83" i="3"/>
  <c r="Q86" i="3"/>
  <c r="R99" i="3"/>
  <c r="Q102" i="3"/>
  <c r="R115" i="3"/>
  <c r="Q118" i="3"/>
  <c r="R131" i="3"/>
  <c r="Q134" i="3"/>
  <c r="R147" i="3"/>
  <c r="Q150" i="3"/>
  <c r="Q163" i="3"/>
  <c r="Q164" i="3"/>
  <c r="Q190" i="3"/>
  <c r="Q208" i="3"/>
  <c r="R230" i="3"/>
  <c r="Q228" i="3"/>
  <c r="R73" i="3"/>
  <c r="R107" i="3"/>
  <c r="R141" i="3"/>
  <c r="R198" i="3"/>
  <c r="Q16" i="3"/>
  <c r="R16" i="3"/>
  <c r="Q32" i="3"/>
  <c r="Q48" i="3"/>
  <c r="Q64" i="3"/>
  <c r="Q80" i="3"/>
  <c r="Q112" i="3"/>
  <c r="Q128" i="3"/>
  <c r="Q147" i="3"/>
  <c r="R150" i="3"/>
  <c r="Q168" i="3"/>
  <c r="R190" i="3"/>
  <c r="Q188" i="3"/>
  <c r="Q198" i="3"/>
  <c r="R201" i="3"/>
  <c r="R225" i="3"/>
  <c r="Q232" i="3"/>
  <c r="Q248" i="3"/>
  <c r="R8" i="3"/>
  <c r="R17" i="3"/>
  <c r="R25" i="3"/>
  <c r="R33" i="3"/>
  <c r="R49" i="3"/>
  <c r="R89" i="3"/>
  <c r="R102" i="3"/>
  <c r="R113" i="3"/>
  <c r="R121" i="3"/>
  <c r="R137" i="3"/>
  <c r="Q159" i="3"/>
  <c r="Q179" i="3"/>
  <c r="R179" i="3"/>
  <c r="Q182" i="3"/>
  <c r="Q211" i="3"/>
  <c r="Q214" i="3"/>
  <c r="Q246" i="3"/>
  <c r="R36" i="3"/>
  <c r="R81" i="3"/>
  <c r="R97" i="3"/>
  <c r="R118" i="3"/>
  <c r="R185" i="3"/>
  <c r="Q12" i="3"/>
  <c r="R12" i="3"/>
  <c r="Q20" i="3"/>
  <c r="R23" i="3"/>
  <c r="Q28" i="3"/>
  <c r="R28" i="3"/>
  <c r="Q36" i="3"/>
  <c r="Q44" i="3"/>
  <c r="R44" i="3"/>
  <c r="S47" i="3" s="1"/>
  <c r="R53" i="3"/>
  <c r="S55" i="3" s="1"/>
  <c r="Q52" i="3"/>
  <c r="R60" i="3"/>
  <c r="R68" i="3"/>
  <c r="R76" i="3"/>
  <c r="R87" i="3"/>
  <c r="Q92" i="3"/>
  <c r="Q103" i="3"/>
  <c r="Q108" i="3"/>
  <c r="Q116" i="3"/>
  <c r="Q124" i="3"/>
  <c r="Q127" i="3"/>
  <c r="Q135" i="3"/>
  <c r="Q140" i="3"/>
  <c r="R151" i="3"/>
  <c r="Q171" i="3"/>
  <c r="Q174" i="3"/>
  <c r="R177" i="3"/>
  <c r="Q183" i="3"/>
  <c r="Q206" i="3"/>
  <c r="R209" i="3"/>
  <c r="Q215" i="3"/>
  <c r="Q238" i="3"/>
  <c r="R241" i="3"/>
  <c r="R20" i="3"/>
  <c r="R86" i="3"/>
  <c r="R171" i="3"/>
  <c r="R214" i="3"/>
  <c r="R153" i="3"/>
  <c r="Q201" i="3"/>
  <c r="Q225" i="3"/>
  <c r="R166" i="3"/>
  <c r="R84" i="3"/>
  <c r="R104" i="3"/>
  <c r="R108" i="3"/>
  <c r="R112" i="3"/>
  <c r="R116" i="3"/>
  <c r="R120" i="3"/>
  <c r="R128" i="3"/>
  <c r="R136" i="3"/>
  <c r="R140" i="3"/>
  <c r="R148" i="3"/>
  <c r="R152" i="3"/>
  <c r="R164" i="3"/>
  <c r="R184" i="3"/>
  <c r="R188" i="3"/>
  <c r="R192" i="3"/>
  <c r="R200" i="3"/>
  <c r="R220" i="3"/>
  <c r="R224" i="3"/>
  <c r="R228" i="3"/>
  <c r="R232" i="3"/>
  <c r="R236" i="3"/>
  <c r="R240" i="3"/>
  <c r="R244" i="3"/>
  <c r="R9" i="3"/>
  <c r="R13" i="3"/>
  <c r="R41" i="3"/>
  <c r="R82" i="3"/>
  <c r="R98" i="3"/>
  <c r="R114" i="3"/>
  <c r="R130" i="3"/>
  <c r="R146" i="3"/>
  <c r="R162" i="3"/>
  <c r="R178" i="3"/>
  <c r="R88" i="3"/>
  <c r="R92" i="3"/>
  <c r="Q5" i="3"/>
  <c r="Q7" i="3"/>
  <c r="Q9" i="3"/>
  <c r="Q11" i="3"/>
  <c r="Q13" i="3"/>
  <c r="Q15" i="3"/>
  <c r="Q17" i="3"/>
  <c r="Q19" i="3"/>
  <c r="Q21" i="3"/>
  <c r="Q23" i="3"/>
  <c r="Q25" i="3"/>
  <c r="Q27" i="3"/>
  <c r="Q29" i="3"/>
  <c r="Q31" i="3"/>
  <c r="Q33" i="3"/>
  <c r="Q35" i="3"/>
  <c r="Q37" i="3"/>
  <c r="Q39" i="3"/>
  <c r="Q41" i="3"/>
  <c r="Q43" i="3"/>
  <c r="Q45" i="3"/>
  <c r="Q47" i="3"/>
  <c r="Q49" i="3"/>
  <c r="Q51" i="3"/>
  <c r="Q53" i="3"/>
  <c r="Q55" i="3"/>
  <c r="Q57" i="3"/>
  <c r="Q59" i="3"/>
  <c r="Q61" i="3"/>
  <c r="Q63" i="3"/>
  <c r="Q65" i="3"/>
  <c r="Q67" i="3"/>
  <c r="Q69" i="3"/>
  <c r="Q71" i="3"/>
  <c r="Q73" i="3"/>
  <c r="Q75" i="3"/>
  <c r="Q77" i="3"/>
  <c r="Q79" i="3"/>
  <c r="Q81" i="3"/>
  <c r="Q85" i="3"/>
  <c r="Q87" i="3"/>
  <c r="Q89" i="3"/>
  <c r="Q91" i="3"/>
  <c r="Q93" i="3"/>
  <c r="Q95" i="3"/>
  <c r="Q97" i="3"/>
  <c r="Q105" i="3"/>
  <c r="Q107" i="3"/>
  <c r="Q109" i="3"/>
  <c r="Q111" i="3"/>
  <c r="Q113" i="3"/>
  <c r="Q115" i="3"/>
  <c r="Q117" i="3"/>
  <c r="Q119" i="3"/>
  <c r="Q121" i="3"/>
  <c r="Q123" i="3"/>
  <c r="Q125" i="3"/>
  <c r="Q129" i="3"/>
  <c r="Q131" i="3"/>
  <c r="Q133" i="3"/>
  <c r="Q137" i="3"/>
  <c r="Q139" i="3"/>
  <c r="Q143" i="3"/>
  <c r="Q145" i="3"/>
  <c r="Q149" i="3"/>
  <c r="Q151" i="3"/>
  <c r="Q153" i="3"/>
  <c r="Q155" i="3"/>
  <c r="Q157" i="3"/>
  <c r="Q161" i="3"/>
  <c r="Q165" i="3"/>
  <c r="Q167" i="3"/>
  <c r="Q169" i="3"/>
  <c r="Q173" i="3"/>
  <c r="Q177" i="3"/>
  <c r="Q181" i="3"/>
  <c r="Q185" i="3"/>
  <c r="Q187" i="3"/>
  <c r="Q189" i="3"/>
  <c r="Q191" i="3"/>
  <c r="Q193" i="3"/>
  <c r="Q195" i="3"/>
  <c r="Q197" i="3"/>
  <c r="Q203" i="3"/>
  <c r="Q205" i="3"/>
  <c r="Q209" i="3"/>
  <c r="Q213" i="3"/>
  <c r="Q217" i="3"/>
  <c r="Q221" i="3"/>
  <c r="Q223" i="3"/>
  <c r="Q227" i="3"/>
  <c r="Q229" i="3"/>
  <c r="Q231" i="3"/>
  <c r="Q233" i="3"/>
  <c r="Q235" i="3"/>
  <c r="Q237" i="3"/>
  <c r="Q239" i="3"/>
  <c r="Q241" i="3"/>
  <c r="Q243" i="3"/>
  <c r="Q245" i="3"/>
  <c r="Q247" i="3"/>
  <c r="R6" i="3"/>
  <c r="R10" i="3"/>
  <c r="R14" i="3"/>
  <c r="R18" i="3"/>
  <c r="S19" i="3" s="1"/>
  <c r="R22" i="3"/>
  <c r="R26" i="3"/>
  <c r="R30" i="3"/>
  <c r="R34" i="3"/>
  <c r="S36" i="3" s="1"/>
  <c r="R38" i="3"/>
  <c r="R42" i="3"/>
  <c r="R46" i="3"/>
  <c r="R50" i="3"/>
  <c r="S51" i="3" s="1"/>
  <c r="R54" i="3"/>
  <c r="R58" i="3"/>
  <c r="R62" i="3"/>
  <c r="R66" i="3"/>
  <c r="S67" i="3" s="1"/>
  <c r="R70" i="3"/>
  <c r="R74" i="3"/>
  <c r="R78" i="3"/>
  <c r="R94" i="3"/>
  <c r="R105" i="3"/>
  <c r="R110" i="3"/>
  <c r="R126" i="3"/>
  <c r="R142" i="3"/>
  <c r="R158" i="3"/>
  <c r="R169" i="3"/>
  <c r="R174" i="3"/>
  <c r="R186" i="3"/>
  <c r="R194" i="3"/>
  <c r="R202" i="3"/>
  <c r="R210" i="3"/>
  <c r="R218" i="3"/>
  <c r="R226" i="3"/>
  <c r="R234" i="3"/>
  <c r="R242" i="3"/>
  <c r="R80" i="3"/>
  <c r="R96" i="3"/>
  <c r="R100" i="3"/>
  <c r="R124" i="3"/>
  <c r="R132" i="3"/>
  <c r="R144" i="3"/>
  <c r="R156" i="3"/>
  <c r="R160" i="3"/>
  <c r="R168" i="3"/>
  <c r="R172" i="3"/>
  <c r="R176" i="3"/>
  <c r="R180" i="3"/>
  <c r="R196" i="3"/>
  <c r="R204" i="3"/>
  <c r="R208" i="3"/>
  <c r="R212" i="3"/>
  <c r="R216" i="3"/>
  <c r="R183" i="3"/>
  <c r="R187" i="3"/>
  <c r="R191" i="3"/>
  <c r="S193" i="3" s="1"/>
  <c r="R195" i="3"/>
  <c r="R199" i="3"/>
  <c r="R203" i="3"/>
  <c r="R207" i="3"/>
  <c r="S209" i="3" s="1"/>
  <c r="R211" i="3"/>
  <c r="R215" i="3"/>
  <c r="R219" i="3"/>
  <c r="R223" i="3"/>
  <c r="S225" i="3" s="1"/>
  <c r="R227" i="3"/>
  <c r="R231" i="3"/>
  <c r="R235" i="3"/>
  <c r="R239" i="3"/>
  <c r="S241" i="3" s="1"/>
  <c r="R243" i="3"/>
  <c r="R7" i="3"/>
  <c r="S10" i="3" s="1"/>
  <c r="R15" i="3"/>
  <c r="R19" i="3"/>
  <c r="R27" i="3"/>
  <c r="R31" i="3"/>
  <c r="R35" i="3"/>
  <c r="R39" i="3"/>
  <c r="R43" i="3"/>
  <c r="R47" i="3"/>
  <c r="R51" i="3"/>
  <c r="R55" i="3"/>
  <c r="R59" i="3"/>
  <c r="R63" i="3"/>
  <c r="R67" i="3"/>
  <c r="R71" i="3"/>
  <c r="R75" i="3"/>
  <c r="R79" i="3"/>
  <c r="R85" i="3"/>
  <c r="R90" i="3"/>
  <c r="R95" i="3"/>
  <c r="R101" i="3"/>
  <c r="R106" i="3"/>
  <c r="S109" i="3" s="1"/>
  <c r="R111" i="3"/>
  <c r="R117" i="3"/>
  <c r="R122" i="3"/>
  <c r="S124" i="3" s="1"/>
  <c r="R127" i="3"/>
  <c r="R133" i="3"/>
  <c r="R138" i="3"/>
  <c r="R143" i="3"/>
  <c r="R149" i="3"/>
  <c r="R154" i="3"/>
  <c r="R159" i="3"/>
  <c r="R165" i="3"/>
  <c r="R170" i="3"/>
  <c r="S173" i="3" s="1"/>
  <c r="R175" i="3"/>
  <c r="R181" i="3"/>
  <c r="R189" i="3"/>
  <c r="R197" i="3"/>
  <c r="R205" i="3"/>
  <c r="R213" i="3"/>
  <c r="R221" i="3"/>
  <c r="R229" i="3"/>
  <c r="S232" i="3" s="1"/>
  <c r="R237" i="3"/>
  <c r="R245" i="3"/>
  <c r="R50" i="1"/>
  <c r="U60" i="1"/>
  <c r="U360" i="1"/>
  <c r="R350" i="1"/>
  <c r="S355" i="1" s="1"/>
  <c r="U47" i="1"/>
  <c r="U79" i="1"/>
  <c r="U111" i="1"/>
  <c r="U143" i="1"/>
  <c r="U201" i="1"/>
  <c r="U265" i="1"/>
  <c r="Q5" i="1"/>
  <c r="U13" i="1"/>
  <c r="Q8" i="1"/>
  <c r="U44" i="1"/>
  <c r="R41" i="1"/>
  <c r="S46" i="1" s="1"/>
  <c r="R49" i="1"/>
  <c r="U61" i="1"/>
  <c r="U65" i="1"/>
  <c r="U73" i="1"/>
  <c r="U81" i="1"/>
  <c r="U89" i="1"/>
  <c r="U97" i="1"/>
  <c r="U105" i="1"/>
  <c r="U113" i="1"/>
  <c r="U121" i="1"/>
  <c r="U129" i="1"/>
  <c r="U137" i="1"/>
  <c r="U145" i="1"/>
  <c r="U157" i="1"/>
  <c r="U173" i="1"/>
  <c r="U189" i="1"/>
  <c r="U213" i="1"/>
  <c r="U229" i="1"/>
  <c r="U245" i="1"/>
  <c r="U261" i="1"/>
  <c r="U285" i="1"/>
  <c r="U301" i="1"/>
  <c r="U487" i="1"/>
  <c r="U51" i="1"/>
  <c r="U67" i="1"/>
  <c r="U83" i="1"/>
  <c r="U99" i="1"/>
  <c r="U115" i="1"/>
  <c r="U131" i="1"/>
  <c r="U147" i="1"/>
  <c r="U177" i="1"/>
  <c r="U209" i="1"/>
  <c r="U241" i="1"/>
  <c r="U273" i="1"/>
  <c r="U305" i="1"/>
  <c r="U465" i="1"/>
  <c r="U14" i="1"/>
  <c r="R12" i="1"/>
  <c r="U21" i="1"/>
  <c r="U25" i="1"/>
  <c r="U29" i="1"/>
  <c r="U33" i="1"/>
  <c r="U37" i="1"/>
  <c r="U41" i="1"/>
  <c r="U50" i="1"/>
  <c r="U58" i="1"/>
  <c r="U62" i="1"/>
  <c r="U66" i="1"/>
  <c r="U70" i="1"/>
  <c r="U74" i="1"/>
  <c r="U78" i="1"/>
  <c r="U82" i="1"/>
  <c r="U86" i="1"/>
  <c r="U90" i="1"/>
  <c r="U94" i="1"/>
  <c r="U98" i="1"/>
  <c r="U102" i="1"/>
  <c r="U106" i="1"/>
  <c r="U110" i="1"/>
  <c r="U114" i="1"/>
  <c r="U118" i="1"/>
  <c r="U122" i="1"/>
  <c r="U126" i="1"/>
  <c r="U130" i="1"/>
  <c r="U134" i="1"/>
  <c r="U138" i="1"/>
  <c r="U142" i="1"/>
  <c r="U146" i="1"/>
  <c r="U150" i="1"/>
  <c r="U154" i="1"/>
  <c r="U158" i="1"/>
  <c r="U162" i="1"/>
  <c r="U166" i="1"/>
  <c r="U170" i="1"/>
  <c r="U174" i="1"/>
  <c r="U178" i="1"/>
  <c r="U182" i="1"/>
  <c r="U186" i="1"/>
  <c r="U190" i="1"/>
  <c r="U198" i="1"/>
  <c r="U206" i="1"/>
  <c r="U214" i="1"/>
  <c r="U222" i="1"/>
  <c r="U230" i="1"/>
  <c r="U238" i="1"/>
  <c r="U246" i="1"/>
  <c r="U254" i="1"/>
  <c r="U262" i="1"/>
  <c r="U270" i="1"/>
  <c r="U278" i="1"/>
  <c r="U286" i="1"/>
  <c r="U294" i="1"/>
  <c r="U302" i="1"/>
  <c r="U310" i="1"/>
  <c r="U318" i="1"/>
  <c r="U326" i="1"/>
  <c r="U334" i="1"/>
  <c r="U342" i="1"/>
  <c r="U350" i="1"/>
  <c r="U354" i="1"/>
  <c r="U463" i="1"/>
  <c r="U477" i="1"/>
  <c r="U23" i="1"/>
  <c r="U39" i="1"/>
  <c r="U345" i="1"/>
  <c r="U377" i="1"/>
  <c r="U409" i="1"/>
  <c r="U441" i="1"/>
  <c r="Q11" i="1"/>
  <c r="U16" i="1"/>
  <c r="U63" i="1"/>
  <c r="U95" i="1"/>
  <c r="U127" i="1"/>
  <c r="U169" i="1"/>
  <c r="U233" i="1"/>
  <c r="U297" i="1"/>
  <c r="U49" i="1"/>
  <c r="U57" i="1"/>
  <c r="U69" i="1"/>
  <c r="U77" i="1"/>
  <c r="U85" i="1"/>
  <c r="U93" i="1"/>
  <c r="U101" i="1"/>
  <c r="U109" i="1"/>
  <c r="U117" i="1"/>
  <c r="U125" i="1"/>
  <c r="U133" i="1"/>
  <c r="U141" i="1"/>
  <c r="U149" i="1"/>
  <c r="U165" i="1"/>
  <c r="U181" i="1"/>
  <c r="U197" i="1"/>
  <c r="U205" i="1"/>
  <c r="U221" i="1"/>
  <c r="U253" i="1"/>
  <c r="U269" i="1"/>
  <c r="U277" i="1"/>
  <c r="U293" i="1"/>
  <c r="U309" i="1"/>
  <c r="U357" i="1"/>
  <c r="U476" i="1"/>
  <c r="U474" i="1"/>
  <c r="U9" i="1"/>
  <c r="U12" i="1"/>
  <c r="U42" i="1"/>
  <c r="U45" i="1"/>
  <c r="U48" i="1"/>
  <c r="R45" i="1"/>
  <c r="U53" i="1"/>
  <c r="U151" i="1"/>
  <c r="U155" i="1"/>
  <c r="U159" i="1"/>
  <c r="U163" i="1"/>
  <c r="U167" i="1"/>
  <c r="U171" i="1"/>
  <c r="U175" i="1"/>
  <c r="U179" i="1"/>
  <c r="U183" i="1"/>
  <c r="U187" i="1"/>
  <c r="U191" i="1"/>
  <c r="U195" i="1"/>
  <c r="U194" i="1"/>
  <c r="U199" i="1"/>
  <c r="U203" i="1"/>
  <c r="U202" i="1"/>
  <c r="U207" i="1"/>
  <c r="U211" i="1"/>
  <c r="U210" i="1"/>
  <c r="U215" i="1"/>
  <c r="U219" i="1"/>
  <c r="U218" i="1"/>
  <c r="U223" i="1"/>
  <c r="U227" i="1"/>
  <c r="U226" i="1"/>
  <c r="U231" i="1"/>
  <c r="U235" i="1"/>
  <c r="U234" i="1"/>
  <c r="U239" i="1"/>
  <c r="U243" i="1"/>
  <c r="U242" i="1"/>
  <c r="U247" i="1"/>
  <c r="U251" i="1"/>
  <c r="U250" i="1"/>
  <c r="U255" i="1"/>
  <c r="U259" i="1"/>
  <c r="U258" i="1"/>
  <c r="U263" i="1"/>
  <c r="U267" i="1"/>
  <c r="U266" i="1"/>
  <c r="U271" i="1"/>
  <c r="U275" i="1"/>
  <c r="U274" i="1"/>
  <c r="U279" i="1"/>
  <c r="U283" i="1"/>
  <c r="U282" i="1"/>
  <c r="U287" i="1"/>
  <c r="U291" i="1"/>
  <c r="U290" i="1"/>
  <c r="U295" i="1"/>
  <c r="U299" i="1"/>
  <c r="U298" i="1"/>
  <c r="U303" i="1"/>
  <c r="U307" i="1"/>
  <c r="U306" i="1"/>
  <c r="U311" i="1"/>
  <c r="U315" i="1"/>
  <c r="U314" i="1"/>
  <c r="U323" i="1"/>
  <c r="U322" i="1"/>
  <c r="U331" i="1"/>
  <c r="U330" i="1"/>
  <c r="U339" i="1"/>
  <c r="U338" i="1"/>
  <c r="U363" i="1"/>
  <c r="R353" i="1"/>
  <c r="U362" i="1"/>
  <c r="R363" i="1"/>
  <c r="U373" i="1"/>
  <c r="R371" i="1"/>
  <c r="U381" i="1"/>
  <c r="R379" i="1"/>
  <c r="U389" i="1"/>
  <c r="R387" i="1"/>
  <c r="U397" i="1"/>
  <c r="R395" i="1"/>
  <c r="U405" i="1"/>
  <c r="R403" i="1"/>
  <c r="U413" i="1"/>
  <c r="R411" i="1"/>
  <c r="U421" i="1"/>
  <c r="R419" i="1"/>
  <c r="U429" i="1"/>
  <c r="R427" i="1"/>
  <c r="U437" i="1"/>
  <c r="R435" i="1"/>
  <c r="U445" i="1"/>
  <c r="R443" i="1"/>
  <c r="U453" i="1"/>
  <c r="U460" i="1"/>
  <c r="U458" i="1"/>
  <c r="U478" i="1"/>
  <c r="R475" i="1"/>
  <c r="U485" i="1"/>
  <c r="Q480" i="1"/>
  <c r="U11" i="1"/>
  <c r="U27" i="1"/>
  <c r="U43" i="1"/>
  <c r="U161" i="1"/>
  <c r="U193" i="1"/>
  <c r="U225" i="1"/>
  <c r="U257" i="1"/>
  <c r="U289" i="1"/>
  <c r="U321" i="1"/>
  <c r="U353" i="1"/>
  <c r="U385" i="1"/>
  <c r="U417" i="1"/>
  <c r="U449" i="1"/>
  <c r="U328" i="1"/>
  <c r="U340" i="1"/>
  <c r="U351" i="1"/>
  <c r="U464" i="1"/>
  <c r="U52" i="1"/>
  <c r="U324" i="1"/>
  <c r="U336" i="1"/>
  <c r="U344" i="1"/>
  <c r="U355" i="1"/>
  <c r="U367" i="1"/>
  <c r="U479" i="1"/>
  <c r="U488" i="1"/>
  <c r="U8" i="1"/>
  <c r="U56" i="1"/>
  <c r="R40" i="1"/>
  <c r="S45" i="1" s="1"/>
  <c r="R44" i="1"/>
  <c r="S47" i="1" s="1"/>
  <c r="R48" i="1"/>
  <c r="R52" i="1"/>
  <c r="U348" i="1"/>
  <c r="U352" i="1"/>
  <c r="R356" i="1"/>
  <c r="U368" i="1"/>
  <c r="U371" i="1"/>
  <c r="U375" i="1"/>
  <c r="U379" i="1"/>
  <c r="U383" i="1"/>
  <c r="U387" i="1"/>
  <c r="U391" i="1"/>
  <c r="U395" i="1"/>
  <c r="U399" i="1"/>
  <c r="U403" i="1"/>
  <c r="U407" i="1"/>
  <c r="U411" i="1"/>
  <c r="U415" i="1"/>
  <c r="U419" i="1"/>
  <c r="U423" i="1"/>
  <c r="U427" i="1"/>
  <c r="U431" i="1"/>
  <c r="U435" i="1"/>
  <c r="U439" i="1"/>
  <c r="U443" i="1"/>
  <c r="U447" i="1"/>
  <c r="U451" i="1"/>
  <c r="U455" i="1"/>
  <c r="R459" i="1"/>
  <c r="U468" i="1"/>
  <c r="U471" i="1"/>
  <c r="Q472" i="1"/>
  <c r="R480" i="1"/>
  <c r="U480" i="1"/>
  <c r="U483" i="1"/>
  <c r="R483" i="1"/>
  <c r="U237" i="1"/>
  <c r="U341" i="1"/>
  <c r="U349" i="1"/>
  <c r="U316" i="1"/>
  <c r="U320" i="1"/>
  <c r="U332" i="1"/>
  <c r="U347" i="1"/>
  <c r="U364" i="1"/>
  <c r="U467" i="1"/>
  <c r="R485" i="1"/>
  <c r="Q340" i="1"/>
  <c r="U356" i="1"/>
  <c r="U359" i="1"/>
  <c r="U372" i="1"/>
  <c r="U376" i="1"/>
  <c r="U380" i="1"/>
  <c r="U384" i="1"/>
  <c r="U388" i="1"/>
  <c r="U392" i="1"/>
  <c r="U396" i="1"/>
  <c r="U400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56" i="1"/>
  <c r="U459" i="1"/>
  <c r="R457" i="1"/>
  <c r="U472" i="1"/>
  <c r="U475" i="1"/>
  <c r="U484" i="1"/>
  <c r="R481" i="1"/>
  <c r="Q489" i="1"/>
  <c r="U358" i="1"/>
  <c r="U366" i="1"/>
  <c r="Q9" i="1"/>
  <c r="Q12" i="1"/>
  <c r="Q15" i="1"/>
  <c r="R10" i="1"/>
  <c r="R16" i="1"/>
  <c r="Q19" i="1"/>
  <c r="R20" i="1"/>
  <c r="Q23" i="1"/>
  <c r="R24" i="1"/>
  <c r="Q27" i="1"/>
  <c r="R28" i="1"/>
  <c r="Q31" i="1"/>
  <c r="R32" i="1"/>
  <c r="R36" i="1"/>
  <c r="Q55" i="1"/>
  <c r="Q14" i="1"/>
  <c r="Q18" i="1"/>
  <c r="R19" i="1"/>
  <c r="Q22" i="1"/>
  <c r="R23" i="1"/>
  <c r="Q26" i="1"/>
  <c r="R27" i="1"/>
  <c r="Q30" i="1"/>
  <c r="R31" i="1"/>
  <c r="R35" i="1"/>
  <c r="S44" i="1"/>
  <c r="Q4" i="1"/>
  <c r="P495" i="1"/>
  <c r="Q13" i="1"/>
  <c r="R14" i="1"/>
  <c r="Q17" i="1"/>
  <c r="R18" i="1"/>
  <c r="Q21" i="1"/>
  <c r="R22" i="1"/>
  <c r="Q25" i="1"/>
  <c r="R26" i="1"/>
  <c r="Q29" i="1"/>
  <c r="R30" i="1"/>
  <c r="Q33" i="1"/>
  <c r="R34" i="1"/>
  <c r="R38" i="1"/>
  <c r="R9" i="1"/>
  <c r="Q6" i="1"/>
  <c r="R11" i="1"/>
  <c r="R8" i="1"/>
  <c r="Q10" i="1"/>
  <c r="R13" i="1"/>
  <c r="S17" i="1" s="1"/>
  <c r="Q16" i="1"/>
  <c r="R17" i="1"/>
  <c r="Q20" i="1"/>
  <c r="R21" i="1"/>
  <c r="Q24" i="1"/>
  <c r="R25" i="1"/>
  <c r="Q28" i="1"/>
  <c r="R29" i="1"/>
  <c r="Q32" i="1"/>
  <c r="R33" i="1"/>
  <c r="R37" i="1"/>
  <c r="R204" i="1"/>
  <c r="Q209" i="1"/>
  <c r="R208" i="1"/>
  <c r="Q213" i="1"/>
  <c r="R212" i="1"/>
  <c r="Q217" i="1"/>
  <c r="R216" i="1"/>
  <c r="Q221" i="1"/>
  <c r="R220" i="1"/>
  <c r="Q225" i="1"/>
  <c r="R224" i="1"/>
  <c r="Q229" i="1"/>
  <c r="R228" i="1"/>
  <c r="Q233" i="1"/>
  <c r="R232" i="1"/>
  <c r="Q237" i="1"/>
  <c r="R236" i="1"/>
  <c r="Q241" i="1"/>
  <c r="R240" i="1"/>
  <c r="Q245" i="1"/>
  <c r="R244" i="1"/>
  <c r="Q249" i="1"/>
  <c r="R248" i="1"/>
  <c r="Q253" i="1"/>
  <c r="R252" i="1"/>
  <c r="Q257" i="1"/>
  <c r="R256" i="1"/>
  <c r="Q261" i="1"/>
  <c r="R260" i="1"/>
  <c r="Q265" i="1"/>
  <c r="R264" i="1"/>
  <c r="Q269" i="1"/>
  <c r="R268" i="1"/>
  <c r="Q273" i="1"/>
  <c r="R272" i="1"/>
  <c r="Q277" i="1"/>
  <c r="R276" i="1"/>
  <c r="Q281" i="1"/>
  <c r="R280" i="1"/>
  <c r="Q285" i="1"/>
  <c r="R284" i="1"/>
  <c r="Q289" i="1"/>
  <c r="R288" i="1"/>
  <c r="Q293" i="1"/>
  <c r="R292" i="1"/>
  <c r="Q297" i="1"/>
  <c r="R296" i="1"/>
  <c r="Q301" i="1"/>
  <c r="R300" i="1"/>
  <c r="Q305" i="1"/>
  <c r="R304" i="1"/>
  <c r="Q309" i="1"/>
  <c r="R308" i="1"/>
  <c r="Q313" i="1"/>
  <c r="R312" i="1"/>
  <c r="Q317" i="1"/>
  <c r="R316" i="1"/>
  <c r="Q321" i="1"/>
  <c r="R320" i="1"/>
  <c r="Q325" i="1"/>
  <c r="R324" i="1"/>
  <c r="Q329" i="1"/>
  <c r="R328" i="1"/>
  <c r="Q333" i="1"/>
  <c r="R332" i="1"/>
  <c r="Q337" i="1"/>
  <c r="R338" i="1"/>
  <c r="Q343" i="1"/>
  <c r="R348" i="1"/>
  <c r="Q57" i="1"/>
  <c r="R54" i="1"/>
  <c r="Q59" i="1"/>
  <c r="R56" i="1"/>
  <c r="Q61" i="1"/>
  <c r="R58" i="1"/>
  <c r="Q63" i="1"/>
  <c r="R60" i="1"/>
  <c r="Q65" i="1"/>
  <c r="R62" i="1"/>
  <c r="Q67" i="1"/>
  <c r="R64" i="1"/>
  <c r="Q69" i="1"/>
  <c r="R66" i="1"/>
  <c r="Q71" i="1"/>
  <c r="R68" i="1"/>
  <c r="Q73" i="1"/>
  <c r="R70" i="1"/>
  <c r="Q75" i="1"/>
  <c r="R72" i="1"/>
  <c r="Q77" i="1"/>
  <c r="R74" i="1"/>
  <c r="Q79" i="1"/>
  <c r="R76" i="1"/>
  <c r="Q81" i="1"/>
  <c r="R78" i="1"/>
  <c r="Q83" i="1"/>
  <c r="R80" i="1"/>
  <c r="Q85" i="1"/>
  <c r="R82" i="1"/>
  <c r="Q87" i="1"/>
  <c r="R84" i="1"/>
  <c r="Q89" i="1"/>
  <c r="R86" i="1"/>
  <c r="Q91" i="1"/>
  <c r="R88" i="1"/>
  <c r="Q93" i="1"/>
  <c r="R90" i="1"/>
  <c r="Q95" i="1"/>
  <c r="R92" i="1"/>
  <c r="Q97" i="1"/>
  <c r="R94" i="1"/>
  <c r="Q99" i="1"/>
  <c r="R96" i="1"/>
  <c r="Q101" i="1"/>
  <c r="R98" i="1"/>
  <c r="Q103" i="1"/>
  <c r="R100" i="1"/>
  <c r="Q105" i="1"/>
  <c r="R102" i="1"/>
  <c r="Q107" i="1"/>
  <c r="R104" i="1"/>
  <c r="Q109" i="1"/>
  <c r="R106" i="1"/>
  <c r="Q111" i="1"/>
  <c r="R108" i="1"/>
  <c r="Q113" i="1"/>
  <c r="R110" i="1"/>
  <c r="Q115" i="1"/>
  <c r="R112" i="1"/>
  <c r="Q117" i="1"/>
  <c r="R114" i="1"/>
  <c r="Q119" i="1"/>
  <c r="R116" i="1"/>
  <c r="Q121" i="1"/>
  <c r="R118" i="1"/>
  <c r="Q123" i="1"/>
  <c r="R120" i="1"/>
  <c r="Q125" i="1"/>
  <c r="R122" i="1"/>
  <c r="Q127" i="1"/>
  <c r="R124" i="1"/>
  <c r="Q129" i="1"/>
  <c r="R126" i="1"/>
  <c r="Q131" i="1"/>
  <c r="R128" i="1"/>
  <c r="Q133" i="1"/>
  <c r="R130" i="1"/>
  <c r="Q135" i="1"/>
  <c r="R132" i="1"/>
  <c r="Q137" i="1"/>
  <c r="R134" i="1"/>
  <c r="Q139" i="1"/>
  <c r="R136" i="1"/>
  <c r="Q141" i="1"/>
  <c r="R138" i="1"/>
  <c r="Q143" i="1"/>
  <c r="R140" i="1"/>
  <c r="Q145" i="1"/>
  <c r="R142" i="1"/>
  <c r="Q147" i="1"/>
  <c r="R144" i="1"/>
  <c r="Q149" i="1"/>
  <c r="R146" i="1"/>
  <c r="Q151" i="1"/>
  <c r="R148" i="1"/>
  <c r="Q153" i="1"/>
  <c r="R150" i="1"/>
  <c r="Q155" i="1"/>
  <c r="R152" i="1"/>
  <c r="Q157" i="1"/>
  <c r="R154" i="1"/>
  <c r="Q159" i="1"/>
  <c r="R156" i="1"/>
  <c r="Q161" i="1"/>
  <c r="R158" i="1"/>
  <c r="Q163" i="1"/>
  <c r="R160" i="1"/>
  <c r="Q165" i="1"/>
  <c r="R162" i="1"/>
  <c r="Q167" i="1"/>
  <c r="R164" i="1"/>
  <c r="Q169" i="1"/>
  <c r="R166" i="1"/>
  <c r="Q171" i="1"/>
  <c r="R168" i="1"/>
  <c r="Q173" i="1"/>
  <c r="R170" i="1"/>
  <c r="Q175" i="1"/>
  <c r="R172" i="1"/>
  <c r="Q177" i="1"/>
  <c r="R174" i="1"/>
  <c r="Q179" i="1"/>
  <c r="R176" i="1"/>
  <c r="Q181" i="1"/>
  <c r="R178" i="1"/>
  <c r="Q183" i="1"/>
  <c r="R180" i="1"/>
  <c r="Q185" i="1"/>
  <c r="R182" i="1"/>
  <c r="Q187" i="1"/>
  <c r="R184" i="1"/>
  <c r="Q189" i="1"/>
  <c r="R186" i="1"/>
  <c r="Q191" i="1"/>
  <c r="R188" i="1"/>
  <c r="Q193" i="1"/>
  <c r="R190" i="1"/>
  <c r="Q195" i="1"/>
  <c r="R192" i="1"/>
  <c r="Q197" i="1"/>
  <c r="R194" i="1"/>
  <c r="Q199" i="1"/>
  <c r="R196" i="1"/>
  <c r="Q201" i="1"/>
  <c r="R198" i="1"/>
  <c r="Q203" i="1"/>
  <c r="R200" i="1"/>
  <c r="Q205" i="1"/>
  <c r="R202" i="1"/>
  <c r="Q207" i="1"/>
  <c r="R205" i="1"/>
  <c r="Q210" i="1"/>
  <c r="R209" i="1"/>
  <c r="Q214" i="1"/>
  <c r="R213" i="1"/>
  <c r="Q218" i="1"/>
  <c r="R217" i="1"/>
  <c r="Q222" i="1"/>
  <c r="R221" i="1"/>
  <c r="Q226" i="1"/>
  <c r="R225" i="1"/>
  <c r="Q230" i="1"/>
  <c r="R229" i="1"/>
  <c r="Q234" i="1"/>
  <c r="R233" i="1"/>
  <c r="Q238" i="1"/>
  <c r="R237" i="1"/>
  <c r="Q242" i="1"/>
  <c r="R241" i="1"/>
  <c r="Q246" i="1"/>
  <c r="R245" i="1"/>
  <c r="Q250" i="1"/>
  <c r="R249" i="1"/>
  <c r="Q254" i="1"/>
  <c r="R253" i="1"/>
  <c r="Q258" i="1"/>
  <c r="R257" i="1"/>
  <c r="Q262" i="1"/>
  <c r="R261" i="1"/>
  <c r="Q266" i="1"/>
  <c r="R265" i="1"/>
  <c r="Q270" i="1"/>
  <c r="R269" i="1"/>
  <c r="Q274" i="1"/>
  <c r="R273" i="1"/>
  <c r="Q278" i="1"/>
  <c r="R277" i="1"/>
  <c r="Q282" i="1"/>
  <c r="R281" i="1"/>
  <c r="Q286" i="1"/>
  <c r="R285" i="1"/>
  <c r="Q290" i="1"/>
  <c r="R289" i="1"/>
  <c r="Q294" i="1"/>
  <c r="R293" i="1"/>
  <c r="Q298" i="1"/>
  <c r="R297" i="1"/>
  <c r="Q302" i="1"/>
  <c r="R301" i="1"/>
  <c r="Q306" i="1"/>
  <c r="R305" i="1"/>
  <c r="Q310" i="1"/>
  <c r="R309" i="1"/>
  <c r="Q314" i="1"/>
  <c r="R313" i="1"/>
  <c r="Q318" i="1"/>
  <c r="R317" i="1"/>
  <c r="Q322" i="1"/>
  <c r="R321" i="1"/>
  <c r="Q326" i="1"/>
  <c r="R325" i="1"/>
  <c r="Q330" i="1"/>
  <c r="R329" i="1"/>
  <c r="Q334" i="1"/>
  <c r="R333" i="1"/>
  <c r="Q338" i="1"/>
  <c r="Q54" i="1"/>
  <c r="R206" i="1"/>
  <c r="Q211" i="1"/>
  <c r="R210" i="1"/>
  <c r="Q215" i="1"/>
  <c r="R214" i="1"/>
  <c r="Q219" i="1"/>
  <c r="R218" i="1"/>
  <c r="Q223" i="1"/>
  <c r="R222" i="1"/>
  <c r="Q227" i="1"/>
  <c r="R226" i="1"/>
  <c r="Q231" i="1"/>
  <c r="R230" i="1"/>
  <c r="Q235" i="1"/>
  <c r="R234" i="1"/>
  <c r="Q239" i="1"/>
  <c r="R238" i="1"/>
  <c r="Q243" i="1"/>
  <c r="R242" i="1"/>
  <c r="Q247" i="1"/>
  <c r="R246" i="1"/>
  <c r="Q251" i="1"/>
  <c r="R250" i="1"/>
  <c r="Q255" i="1"/>
  <c r="R254" i="1"/>
  <c r="Q259" i="1"/>
  <c r="R258" i="1"/>
  <c r="Q263" i="1"/>
  <c r="R262" i="1"/>
  <c r="Q267" i="1"/>
  <c r="R266" i="1"/>
  <c r="Q271" i="1"/>
  <c r="R270" i="1"/>
  <c r="Q275" i="1"/>
  <c r="R274" i="1"/>
  <c r="Q279" i="1"/>
  <c r="R278" i="1"/>
  <c r="Q283" i="1"/>
  <c r="R282" i="1"/>
  <c r="Q287" i="1"/>
  <c r="R286" i="1"/>
  <c r="Q291" i="1"/>
  <c r="R290" i="1"/>
  <c r="Q295" i="1"/>
  <c r="R294" i="1"/>
  <c r="Q299" i="1"/>
  <c r="R298" i="1"/>
  <c r="Q303" i="1"/>
  <c r="R302" i="1"/>
  <c r="Q307" i="1"/>
  <c r="R306" i="1"/>
  <c r="Q311" i="1"/>
  <c r="R310" i="1"/>
  <c r="Q315" i="1"/>
  <c r="R314" i="1"/>
  <c r="Q319" i="1"/>
  <c r="R318" i="1"/>
  <c r="Q323" i="1"/>
  <c r="R322" i="1"/>
  <c r="Q327" i="1"/>
  <c r="R336" i="1"/>
  <c r="R326" i="1"/>
  <c r="Q331" i="1"/>
  <c r="R330" i="1"/>
  <c r="Q335" i="1"/>
  <c r="R334" i="1"/>
  <c r="Q339" i="1"/>
  <c r="Q344" i="1"/>
  <c r="R342" i="1"/>
  <c r="Q347" i="1"/>
  <c r="Q475" i="1"/>
  <c r="R479" i="1"/>
  <c r="Q474" i="1"/>
  <c r="R469" i="1"/>
  <c r="R482" i="1"/>
  <c r="Q477" i="1"/>
  <c r="Q478" i="1"/>
  <c r="R472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6" i="1"/>
  <c r="R53" i="1"/>
  <c r="Q58" i="1"/>
  <c r="R55" i="1"/>
  <c r="Q60" i="1"/>
  <c r="R57" i="1"/>
  <c r="Q62" i="1"/>
  <c r="R59" i="1"/>
  <c r="Q64" i="1"/>
  <c r="R61" i="1"/>
  <c r="Q66" i="1"/>
  <c r="R63" i="1"/>
  <c r="Q68" i="1"/>
  <c r="R65" i="1"/>
  <c r="Q70" i="1"/>
  <c r="R67" i="1"/>
  <c r="Q72" i="1"/>
  <c r="R69" i="1"/>
  <c r="Q74" i="1"/>
  <c r="R71" i="1"/>
  <c r="Q76" i="1"/>
  <c r="R73" i="1"/>
  <c r="Q78" i="1"/>
  <c r="R75" i="1"/>
  <c r="Q80" i="1"/>
  <c r="R77" i="1"/>
  <c r="Q82" i="1"/>
  <c r="R79" i="1"/>
  <c r="Q84" i="1"/>
  <c r="R81" i="1"/>
  <c r="Q86" i="1"/>
  <c r="R83" i="1"/>
  <c r="Q88" i="1"/>
  <c r="R85" i="1"/>
  <c r="Q90" i="1"/>
  <c r="R87" i="1"/>
  <c r="Q92" i="1"/>
  <c r="R89" i="1"/>
  <c r="Q94" i="1"/>
  <c r="R91" i="1"/>
  <c r="Q96" i="1"/>
  <c r="R93" i="1"/>
  <c r="Q98" i="1"/>
  <c r="R95" i="1"/>
  <c r="Q100" i="1"/>
  <c r="R97" i="1"/>
  <c r="Q102" i="1"/>
  <c r="R99" i="1"/>
  <c r="Q104" i="1"/>
  <c r="R101" i="1"/>
  <c r="Q106" i="1"/>
  <c r="R103" i="1"/>
  <c r="Q108" i="1"/>
  <c r="R105" i="1"/>
  <c r="Q110" i="1"/>
  <c r="R107" i="1"/>
  <c r="Q112" i="1"/>
  <c r="R109" i="1"/>
  <c r="Q114" i="1"/>
  <c r="R111" i="1"/>
  <c r="Q116" i="1"/>
  <c r="R113" i="1"/>
  <c r="Q118" i="1"/>
  <c r="R115" i="1"/>
  <c r="Q120" i="1"/>
  <c r="R117" i="1"/>
  <c r="Q122" i="1"/>
  <c r="R119" i="1"/>
  <c r="Q124" i="1"/>
  <c r="R121" i="1"/>
  <c r="Q126" i="1"/>
  <c r="R123" i="1"/>
  <c r="Q128" i="1"/>
  <c r="R125" i="1"/>
  <c r="Q130" i="1"/>
  <c r="R127" i="1"/>
  <c r="Q132" i="1"/>
  <c r="R129" i="1"/>
  <c r="Q134" i="1"/>
  <c r="R131" i="1"/>
  <c r="Q136" i="1"/>
  <c r="R133" i="1"/>
  <c r="Q138" i="1"/>
  <c r="R135" i="1"/>
  <c r="Q140" i="1"/>
  <c r="R137" i="1"/>
  <c r="Q142" i="1"/>
  <c r="R139" i="1"/>
  <c r="Q144" i="1"/>
  <c r="R141" i="1"/>
  <c r="Q146" i="1"/>
  <c r="R143" i="1"/>
  <c r="Q148" i="1"/>
  <c r="R145" i="1"/>
  <c r="Q150" i="1"/>
  <c r="R147" i="1"/>
  <c r="Q152" i="1"/>
  <c r="R149" i="1"/>
  <c r="Q154" i="1"/>
  <c r="R151" i="1"/>
  <c r="Q156" i="1"/>
  <c r="R153" i="1"/>
  <c r="Q158" i="1"/>
  <c r="R155" i="1"/>
  <c r="Q160" i="1"/>
  <c r="R157" i="1"/>
  <c r="Q162" i="1"/>
  <c r="R159" i="1"/>
  <c r="Q164" i="1"/>
  <c r="R161" i="1"/>
  <c r="Q166" i="1"/>
  <c r="R163" i="1"/>
  <c r="Q168" i="1"/>
  <c r="R165" i="1"/>
  <c r="Q170" i="1"/>
  <c r="R167" i="1"/>
  <c r="Q172" i="1"/>
  <c r="R169" i="1"/>
  <c r="Q174" i="1"/>
  <c r="R171" i="1"/>
  <c r="Q176" i="1"/>
  <c r="R173" i="1"/>
  <c r="Q178" i="1"/>
  <c r="R175" i="1"/>
  <c r="Q180" i="1"/>
  <c r="R177" i="1"/>
  <c r="Q182" i="1"/>
  <c r="R179" i="1"/>
  <c r="Q184" i="1"/>
  <c r="R181" i="1"/>
  <c r="Q186" i="1"/>
  <c r="R183" i="1"/>
  <c r="Q188" i="1"/>
  <c r="R185" i="1"/>
  <c r="Q190" i="1"/>
  <c r="R187" i="1"/>
  <c r="Q192" i="1"/>
  <c r="R189" i="1"/>
  <c r="Q194" i="1"/>
  <c r="R191" i="1"/>
  <c r="Q196" i="1"/>
  <c r="R193" i="1"/>
  <c r="Q198" i="1"/>
  <c r="R195" i="1"/>
  <c r="Q200" i="1"/>
  <c r="R197" i="1"/>
  <c r="Q202" i="1"/>
  <c r="R199" i="1"/>
  <c r="Q204" i="1"/>
  <c r="R201" i="1"/>
  <c r="Q206" i="1"/>
  <c r="R203" i="1"/>
  <c r="Q208" i="1"/>
  <c r="R207" i="1"/>
  <c r="Q212" i="1"/>
  <c r="R211" i="1"/>
  <c r="Q216" i="1"/>
  <c r="R215" i="1"/>
  <c r="Q220" i="1"/>
  <c r="R219" i="1"/>
  <c r="Q224" i="1"/>
  <c r="R223" i="1"/>
  <c r="Q228" i="1"/>
  <c r="R227" i="1"/>
  <c r="Q232" i="1"/>
  <c r="R231" i="1"/>
  <c r="Q236" i="1"/>
  <c r="R235" i="1"/>
  <c r="Q240" i="1"/>
  <c r="R239" i="1"/>
  <c r="Q244" i="1"/>
  <c r="R243" i="1"/>
  <c r="Q248" i="1"/>
  <c r="R247" i="1"/>
  <c r="Q252" i="1"/>
  <c r="R251" i="1"/>
  <c r="Q256" i="1"/>
  <c r="R255" i="1"/>
  <c r="Q260" i="1"/>
  <c r="R259" i="1"/>
  <c r="Q264" i="1"/>
  <c r="R263" i="1"/>
  <c r="Q268" i="1"/>
  <c r="R267" i="1"/>
  <c r="Q272" i="1"/>
  <c r="R271" i="1"/>
  <c r="Q276" i="1"/>
  <c r="R275" i="1"/>
  <c r="Q280" i="1"/>
  <c r="R279" i="1"/>
  <c r="Q284" i="1"/>
  <c r="R283" i="1"/>
  <c r="Q288" i="1"/>
  <c r="R287" i="1"/>
  <c r="Q292" i="1"/>
  <c r="R291" i="1"/>
  <c r="Q296" i="1"/>
  <c r="R295" i="1"/>
  <c r="Q300" i="1"/>
  <c r="R299" i="1"/>
  <c r="Q304" i="1"/>
  <c r="R303" i="1"/>
  <c r="Q308" i="1"/>
  <c r="R307" i="1"/>
  <c r="Q312" i="1"/>
  <c r="R311" i="1"/>
  <c r="Q316" i="1"/>
  <c r="R315" i="1"/>
  <c r="Q320" i="1"/>
  <c r="R319" i="1"/>
  <c r="Q324" i="1"/>
  <c r="R323" i="1"/>
  <c r="Q328" i="1"/>
  <c r="R327" i="1"/>
  <c r="Q332" i="1"/>
  <c r="R331" i="1"/>
  <c r="Q336" i="1"/>
  <c r="R335" i="1"/>
  <c r="R458" i="1"/>
  <c r="R468" i="1"/>
  <c r="Q463" i="1"/>
  <c r="Q464" i="1"/>
  <c r="R341" i="1"/>
  <c r="Q349" i="1"/>
  <c r="R344" i="1"/>
  <c r="Q352" i="1"/>
  <c r="R347" i="1"/>
  <c r="Q355" i="1"/>
  <c r="Q357" i="1"/>
  <c r="Q360" i="1"/>
  <c r="R355" i="1"/>
  <c r="Q363" i="1"/>
  <c r="Q365" i="1"/>
  <c r="R368" i="1"/>
  <c r="S372" i="1" s="1"/>
  <c r="Q371" i="1"/>
  <c r="R376" i="1"/>
  <c r="Q379" i="1"/>
  <c r="R374" i="1"/>
  <c r="R384" i="1"/>
  <c r="Q387" i="1"/>
  <c r="R382" i="1"/>
  <c r="R392" i="1"/>
  <c r="Q395" i="1"/>
  <c r="R390" i="1"/>
  <c r="R400" i="1"/>
  <c r="Q403" i="1"/>
  <c r="R398" i="1"/>
  <c r="R408" i="1"/>
  <c r="Q411" i="1"/>
  <c r="R406" i="1"/>
  <c r="R416" i="1"/>
  <c r="Q419" i="1"/>
  <c r="R414" i="1"/>
  <c r="R424" i="1"/>
  <c r="Q427" i="1"/>
  <c r="R422" i="1"/>
  <c r="R432" i="1"/>
  <c r="Q435" i="1"/>
  <c r="R430" i="1"/>
  <c r="R440" i="1"/>
  <c r="Q443" i="1"/>
  <c r="R438" i="1"/>
  <c r="R448" i="1"/>
  <c r="R450" i="1"/>
  <c r="R460" i="1"/>
  <c r="Q455" i="1"/>
  <c r="R471" i="1"/>
  <c r="Q466" i="1"/>
  <c r="R461" i="1"/>
  <c r="Q469" i="1"/>
  <c r="R464" i="1"/>
  <c r="R337" i="1"/>
  <c r="Q342" i="1"/>
  <c r="R340" i="1"/>
  <c r="Q346" i="1"/>
  <c r="R352" i="1"/>
  <c r="R357" i="1"/>
  <c r="R360" i="1"/>
  <c r="R365" i="1"/>
  <c r="R463" i="1"/>
  <c r="S462" i="1" s="1"/>
  <c r="Q458" i="1"/>
  <c r="R453" i="1"/>
  <c r="Q461" i="1"/>
  <c r="R456" i="1"/>
  <c r="R474" i="1"/>
  <c r="R484" i="1"/>
  <c r="Q479" i="1"/>
  <c r="R345" i="1"/>
  <c r="Q341" i="1"/>
  <c r="R339" i="1"/>
  <c r="Q345" i="1"/>
  <c r="Q348" i="1"/>
  <c r="R343" i="1"/>
  <c r="Q351" i="1"/>
  <c r="R346" i="1"/>
  <c r="Q353" i="1"/>
  <c r="R354" i="1"/>
  <c r="Q356" i="1"/>
  <c r="R351" i="1"/>
  <c r="Q359" i="1"/>
  <c r="Q361" i="1"/>
  <c r="R362" i="1"/>
  <c r="Q364" i="1"/>
  <c r="R369" i="1"/>
  <c r="R359" i="1"/>
  <c r="Q367" i="1"/>
  <c r="R372" i="1"/>
  <c r="Q375" i="1"/>
  <c r="R370" i="1"/>
  <c r="R380" i="1"/>
  <c r="Q383" i="1"/>
  <c r="R378" i="1"/>
  <c r="R388" i="1"/>
  <c r="Q391" i="1"/>
  <c r="R386" i="1"/>
  <c r="R396" i="1"/>
  <c r="Q399" i="1"/>
  <c r="R394" i="1"/>
  <c r="R404" i="1"/>
  <c r="Q407" i="1"/>
  <c r="R402" i="1"/>
  <c r="R412" i="1"/>
  <c r="Q415" i="1"/>
  <c r="R410" i="1"/>
  <c r="R420" i="1"/>
  <c r="Q423" i="1"/>
  <c r="R418" i="1"/>
  <c r="R428" i="1"/>
  <c r="Q431" i="1"/>
  <c r="R426" i="1"/>
  <c r="R436" i="1"/>
  <c r="Q439" i="1"/>
  <c r="R434" i="1"/>
  <c r="R444" i="1"/>
  <c r="Q447" i="1"/>
  <c r="R442" i="1"/>
  <c r="R445" i="1"/>
  <c r="R455" i="1"/>
  <c r="Q450" i="1"/>
  <c r="Q453" i="1"/>
  <c r="Q456" i="1"/>
  <c r="R466" i="1"/>
  <c r="R476" i="1"/>
  <c r="Q471" i="1"/>
  <c r="Q482" i="1"/>
  <c r="R477" i="1"/>
  <c r="Q350" i="1"/>
  <c r="Q354" i="1"/>
  <c r="Q358" i="1"/>
  <c r="Q362" i="1"/>
  <c r="Q366" i="1"/>
  <c r="Q370" i="1"/>
  <c r="Q374" i="1"/>
  <c r="Q378" i="1"/>
  <c r="Q382" i="1"/>
  <c r="Q386" i="1"/>
  <c r="Q390" i="1"/>
  <c r="Q394" i="1"/>
  <c r="Q398" i="1"/>
  <c r="Q402" i="1"/>
  <c r="Q406" i="1"/>
  <c r="Q410" i="1"/>
  <c r="Q414" i="1"/>
  <c r="Q418" i="1"/>
  <c r="Q422" i="1"/>
  <c r="Q426" i="1"/>
  <c r="Q430" i="1"/>
  <c r="Q434" i="1"/>
  <c r="Q438" i="1"/>
  <c r="Q442" i="1"/>
  <c r="Q446" i="1"/>
  <c r="R447" i="1"/>
  <c r="R487" i="1"/>
  <c r="Q492" i="1"/>
  <c r="Q369" i="1"/>
  <c r="Q373" i="1"/>
  <c r="Q377" i="1"/>
  <c r="Q381" i="1"/>
  <c r="Q385" i="1"/>
  <c r="Q389" i="1"/>
  <c r="Q393" i="1"/>
  <c r="Q397" i="1"/>
  <c r="Q401" i="1"/>
  <c r="Q405" i="1"/>
  <c r="Q409" i="1"/>
  <c r="Q413" i="1"/>
  <c r="Q417" i="1"/>
  <c r="Q421" i="1"/>
  <c r="Q425" i="1"/>
  <c r="Q429" i="1"/>
  <c r="Q433" i="1"/>
  <c r="Q437" i="1"/>
  <c r="Q441" i="1"/>
  <c r="Q445" i="1"/>
  <c r="R446" i="1"/>
  <c r="Q449" i="1"/>
  <c r="Q452" i="1"/>
  <c r="Q457" i="1"/>
  <c r="R454" i="1"/>
  <c r="Q460" i="1"/>
  <c r="Q465" i="1"/>
  <c r="R462" i="1"/>
  <c r="Q468" i="1"/>
  <c r="Q473" i="1"/>
  <c r="R470" i="1"/>
  <c r="Q476" i="1"/>
  <c r="Q481" i="1"/>
  <c r="R488" i="1"/>
  <c r="R478" i="1"/>
  <c r="Q484" i="1"/>
  <c r="Q486" i="1"/>
  <c r="Q490" i="1"/>
  <c r="Q368" i="1"/>
  <c r="Q372" i="1"/>
  <c r="R373" i="1"/>
  <c r="Q376" i="1"/>
  <c r="R377" i="1"/>
  <c r="Q380" i="1"/>
  <c r="R381" i="1"/>
  <c r="Q384" i="1"/>
  <c r="R385" i="1"/>
  <c r="Q388" i="1"/>
  <c r="R389" i="1"/>
  <c r="Q392" i="1"/>
  <c r="R393" i="1"/>
  <c r="Q396" i="1"/>
  <c r="R397" i="1"/>
  <c r="Q400" i="1"/>
  <c r="R401" i="1"/>
  <c r="Q404" i="1"/>
  <c r="R405" i="1"/>
  <c r="Q408" i="1"/>
  <c r="R409" i="1"/>
  <c r="Q412" i="1"/>
  <c r="R413" i="1"/>
  <c r="Q416" i="1"/>
  <c r="R417" i="1"/>
  <c r="Q420" i="1"/>
  <c r="R421" i="1"/>
  <c r="Q424" i="1"/>
  <c r="R425" i="1"/>
  <c r="Q428" i="1"/>
  <c r="R429" i="1"/>
  <c r="Q432" i="1"/>
  <c r="R433" i="1"/>
  <c r="Q436" i="1"/>
  <c r="R437" i="1"/>
  <c r="Q440" i="1"/>
  <c r="R441" i="1"/>
  <c r="Q444" i="1"/>
  <c r="Q448" i="1"/>
  <c r="R449" i="1"/>
  <c r="Q451" i="1"/>
  <c r="R452" i="1"/>
  <c r="Q454" i="1"/>
  <c r="Q459" i="1"/>
  <c r="Q462" i="1"/>
  <c r="Q467" i="1"/>
  <c r="Q470" i="1"/>
  <c r="Q483" i="1"/>
  <c r="R486" i="1"/>
  <c r="Q488" i="1"/>
  <c r="Q485" i="1"/>
  <c r="S144" i="3" l="1"/>
  <c r="S212" i="3"/>
  <c r="S128" i="3"/>
  <c r="S14" i="3"/>
  <c r="S220" i="3"/>
  <c r="S20" i="3"/>
  <c r="S162" i="3"/>
  <c r="S141" i="3"/>
  <c r="S120" i="3"/>
  <c r="S98" i="3"/>
  <c r="S78" i="3"/>
  <c r="S62" i="3"/>
  <c r="S46" i="3"/>
  <c r="S30" i="3"/>
  <c r="S102" i="3"/>
  <c r="S177" i="3"/>
  <c r="S81" i="3"/>
  <c r="S166" i="3"/>
  <c r="S22" i="3"/>
  <c r="S126" i="3"/>
  <c r="S200" i="3"/>
  <c r="S152" i="3"/>
  <c r="S130" i="3"/>
  <c r="S88" i="3"/>
  <c r="S70" i="3"/>
  <c r="S54" i="3"/>
  <c r="S38" i="3"/>
  <c r="S18" i="3"/>
  <c r="S238" i="3"/>
  <c r="S222" i="3"/>
  <c r="S206" i="3"/>
  <c r="S190" i="3"/>
  <c r="S196" i="3"/>
  <c r="S106" i="3"/>
  <c r="S39" i="3"/>
  <c r="S184" i="3"/>
  <c r="S230" i="3"/>
  <c r="S214" i="3"/>
  <c r="S198" i="3"/>
  <c r="S171" i="3"/>
  <c r="S135" i="3"/>
  <c r="S49" i="3"/>
  <c r="S17" i="3"/>
  <c r="S201" i="3"/>
  <c r="S105" i="3"/>
  <c r="S11" i="3"/>
  <c r="S236" i="3"/>
  <c r="S181" i="3"/>
  <c r="S149" i="3"/>
  <c r="S85" i="3"/>
  <c r="S235" i="3"/>
  <c r="S151" i="3"/>
  <c r="S111" i="3"/>
  <c r="S158" i="3"/>
  <c r="S79" i="3"/>
  <c r="S27" i="3"/>
  <c r="S140" i="3"/>
  <c r="S52" i="3"/>
  <c r="S68" i="3"/>
  <c r="S134" i="3"/>
  <c r="S60" i="3"/>
  <c r="S84" i="3"/>
  <c r="S24" i="3"/>
  <c r="S80" i="3"/>
  <c r="S216" i="3"/>
  <c r="S211" i="3"/>
  <c r="S213" i="3"/>
  <c r="S129" i="3"/>
  <c r="S65" i="3"/>
  <c r="S33" i="3"/>
  <c r="S117" i="3"/>
  <c r="S240" i="3"/>
  <c r="S208" i="3"/>
  <c r="S178" i="3"/>
  <c r="S157" i="3"/>
  <c r="S136" i="3"/>
  <c r="S114" i="3"/>
  <c r="S93" i="3"/>
  <c r="S74" i="3"/>
  <c r="S58" i="3"/>
  <c r="S42" i="3"/>
  <c r="S234" i="3"/>
  <c r="S218" i="3"/>
  <c r="S202" i="3"/>
  <c r="S186" i="3"/>
  <c r="S215" i="3"/>
  <c r="S183" i="3"/>
  <c r="S175" i="3"/>
  <c r="S159" i="3"/>
  <c r="S99" i="3"/>
  <c r="S83" i="3"/>
  <c r="S233" i="3"/>
  <c r="S121" i="3"/>
  <c r="S35" i="3"/>
  <c r="S237" i="3"/>
  <c r="S205" i="3"/>
  <c r="S172" i="3"/>
  <c r="S113" i="3"/>
  <c r="S77" i="3"/>
  <c r="S61" i="3"/>
  <c r="S45" i="3"/>
  <c r="S29" i="3"/>
  <c r="S13" i="3"/>
  <c r="S95" i="3"/>
  <c r="S174" i="3"/>
  <c r="S89" i="3"/>
  <c r="S176" i="3"/>
  <c r="S44" i="3"/>
  <c r="S239" i="3"/>
  <c r="S195" i="3"/>
  <c r="S187" i="3"/>
  <c r="S139" i="3"/>
  <c r="S138" i="3"/>
  <c r="S131" i="3"/>
  <c r="S119" i="3"/>
  <c r="S116" i="3"/>
  <c r="S112" i="3"/>
  <c r="S182" i="3"/>
  <c r="S118" i="3"/>
  <c r="S48" i="3"/>
  <c r="S64" i="3"/>
  <c r="S147" i="3"/>
  <c r="S71" i="3"/>
  <c r="S15" i="3"/>
  <c r="S229" i="3"/>
  <c r="S197" i="3"/>
  <c r="S161" i="3"/>
  <c r="S108" i="3"/>
  <c r="S73" i="3"/>
  <c r="S72" i="3"/>
  <c r="S57" i="3"/>
  <c r="S41" i="3"/>
  <c r="S25" i="3"/>
  <c r="S9" i="3"/>
  <c r="S153" i="3"/>
  <c r="S75" i="3"/>
  <c r="S31" i="3"/>
  <c r="S204" i="3"/>
  <c r="S165" i="3"/>
  <c r="S133" i="3"/>
  <c r="S101" i="3"/>
  <c r="S16" i="3"/>
  <c r="S227" i="3"/>
  <c r="S155" i="3"/>
  <c r="S107" i="3"/>
  <c r="S87" i="3"/>
  <c r="S110" i="3"/>
  <c r="S180" i="3"/>
  <c r="S56" i="3"/>
  <c r="S100" i="3"/>
  <c r="S148" i="3"/>
  <c r="S40" i="3"/>
  <c r="S170" i="3"/>
  <c r="S224" i="3"/>
  <c r="S192" i="3"/>
  <c r="S168" i="3"/>
  <c r="S146" i="3"/>
  <c r="S125" i="3"/>
  <c r="S104" i="3"/>
  <c r="S82" i="3"/>
  <c r="S66" i="3"/>
  <c r="S50" i="3"/>
  <c r="S34" i="3"/>
  <c r="S242" i="3"/>
  <c r="S226" i="3"/>
  <c r="S210" i="3"/>
  <c r="S194" i="3"/>
  <c r="S219" i="3"/>
  <c r="S207" i="3"/>
  <c r="S199" i="3"/>
  <c r="S179" i="3"/>
  <c r="S163" i="3"/>
  <c r="S127" i="3"/>
  <c r="S103" i="3"/>
  <c r="S169" i="3"/>
  <c r="S59" i="3"/>
  <c r="S221" i="3"/>
  <c r="S189" i="3"/>
  <c r="S145" i="3"/>
  <c r="S97" i="3"/>
  <c r="S69" i="3"/>
  <c r="S53" i="3"/>
  <c r="S37" i="3"/>
  <c r="S21" i="3"/>
  <c r="S91" i="3"/>
  <c r="S217" i="3"/>
  <c r="S137" i="3"/>
  <c r="S63" i="3"/>
  <c r="S23" i="3"/>
  <c r="S188" i="3"/>
  <c r="S160" i="3"/>
  <c r="S122" i="3"/>
  <c r="S90" i="3"/>
  <c r="S12" i="3"/>
  <c r="S231" i="3"/>
  <c r="S223" i="3"/>
  <c r="S203" i="3"/>
  <c r="S191" i="3"/>
  <c r="S167" i="3"/>
  <c r="S143" i="3"/>
  <c r="S123" i="3"/>
  <c r="S115" i="3"/>
  <c r="S185" i="3"/>
  <c r="S94" i="3"/>
  <c r="S43" i="3"/>
  <c r="S228" i="3"/>
  <c r="S154" i="3"/>
  <c r="S156" i="3"/>
  <c r="S92" i="3"/>
  <c r="S28" i="3"/>
  <c r="S76" i="3"/>
  <c r="S150" i="3"/>
  <c r="S86" i="3"/>
  <c r="S96" i="3"/>
  <c r="S32" i="3"/>
  <c r="S132" i="3"/>
  <c r="S26" i="3"/>
  <c r="S444" i="1"/>
  <c r="S380" i="1"/>
  <c r="W102" i="1"/>
  <c r="W467" i="1"/>
  <c r="S361" i="1"/>
  <c r="W368" i="1"/>
  <c r="W417" i="1"/>
  <c r="S470" i="1"/>
  <c r="S396" i="1"/>
  <c r="W400" i="1"/>
  <c r="S472" i="1"/>
  <c r="W224" i="1"/>
  <c r="W208" i="1"/>
  <c r="S49" i="1"/>
  <c r="W470" i="1"/>
  <c r="W433" i="1"/>
  <c r="S428" i="1"/>
  <c r="S412" i="1"/>
  <c r="W232" i="1"/>
  <c r="W397" i="1"/>
  <c r="W381" i="1"/>
  <c r="S457" i="1"/>
  <c r="W396" i="1"/>
  <c r="W388" i="1"/>
  <c r="W380" i="1"/>
  <c r="W372" i="1"/>
  <c r="S475" i="1"/>
  <c r="W454" i="1"/>
  <c r="S451" i="1"/>
  <c r="W437" i="1"/>
  <c r="W409" i="1"/>
  <c r="W373" i="1"/>
  <c r="S452" i="1"/>
  <c r="W402" i="1"/>
  <c r="W358" i="1"/>
  <c r="S482" i="1"/>
  <c r="S460" i="1"/>
  <c r="S449" i="1"/>
  <c r="W431" i="1"/>
  <c r="S415" i="1"/>
  <c r="S417" i="1"/>
  <c r="S383" i="1"/>
  <c r="S385" i="1"/>
  <c r="W367" i="1"/>
  <c r="W356" i="1"/>
  <c r="W351" i="1"/>
  <c r="S461" i="1"/>
  <c r="W472" i="1"/>
  <c r="W464" i="1"/>
  <c r="W456" i="1"/>
  <c r="S478" i="1"/>
  <c r="S446" i="1"/>
  <c r="S442" i="1"/>
  <c r="S438" i="1"/>
  <c r="S434" i="1"/>
  <c r="S430" i="1"/>
  <c r="S426" i="1"/>
  <c r="S422" i="1"/>
  <c r="S418" i="1"/>
  <c r="S414" i="1"/>
  <c r="S410" i="1"/>
  <c r="S406" i="1"/>
  <c r="S402" i="1"/>
  <c r="S398" i="1"/>
  <c r="S394" i="1"/>
  <c r="S390" i="1"/>
  <c r="S386" i="1"/>
  <c r="S382" i="1"/>
  <c r="S378" i="1"/>
  <c r="S483" i="1"/>
  <c r="W475" i="1"/>
  <c r="S467" i="1"/>
  <c r="W465" i="1"/>
  <c r="W441" i="1"/>
  <c r="W413" i="1"/>
  <c r="W393" i="1"/>
  <c r="W377" i="1"/>
  <c r="W442" i="1"/>
  <c r="W426" i="1"/>
  <c r="W414" i="1"/>
  <c r="W410" i="1"/>
  <c r="W390" i="1"/>
  <c r="W374" i="1"/>
  <c r="S481" i="1"/>
  <c r="S450" i="1"/>
  <c r="S439" i="1"/>
  <c r="S441" i="1"/>
  <c r="W423" i="1"/>
  <c r="S407" i="1"/>
  <c r="S409" i="1"/>
  <c r="W399" i="1"/>
  <c r="S375" i="1"/>
  <c r="S377" i="1"/>
  <c r="S364" i="1"/>
  <c r="W364" i="1"/>
  <c r="W361" i="1"/>
  <c r="S356" i="1"/>
  <c r="S359" i="1"/>
  <c r="S351" i="1"/>
  <c r="S348" i="1"/>
  <c r="S370" i="1"/>
  <c r="S357" i="1"/>
  <c r="S342" i="1"/>
  <c r="W469" i="1"/>
  <c r="S476" i="1"/>
  <c r="S465" i="1"/>
  <c r="S456" i="1"/>
  <c r="S435" i="1"/>
  <c r="S437" i="1"/>
  <c r="W419" i="1"/>
  <c r="S403" i="1"/>
  <c r="S405" i="1"/>
  <c r="W395" i="1"/>
  <c r="W352" i="1"/>
  <c r="S463" i="1"/>
  <c r="S158" i="1"/>
  <c r="S156" i="1"/>
  <c r="S154" i="1"/>
  <c r="S152" i="1"/>
  <c r="S150" i="1"/>
  <c r="S148" i="1"/>
  <c r="S146" i="1"/>
  <c r="S144" i="1"/>
  <c r="S142" i="1"/>
  <c r="S140" i="1"/>
  <c r="S138" i="1"/>
  <c r="S136" i="1"/>
  <c r="S134" i="1"/>
  <c r="S132" i="1"/>
  <c r="S130" i="1"/>
  <c r="S128" i="1"/>
  <c r="S126" i="1"/>
  <c r="S124" i="1"/>
  <c r="S122" i="1"/>
  <c r="S120" i="1"/>
  <c r="S118" i="1"/>
  <c r="S116" i="1"/>
  <c r="S112" i="1"/>
  <c r="S110" i="1"/>
  <c r="S108" i="1"/>
  <c r="S106" i="1"/>
  <c r="S102" i="1"/>
  <c r="W64" i="1"/>
  <c r="W62" i="1"/>
  <c r="W60" i="1"/>
  <c r="W58" i="1"/>
  <c r="S339" i="1"/>
  <c r="S335" i="1"/>
  <c r="S331" i="1"/>
  <c r="W52" i="1"/>
  <c r="W50" i="1"/>
  <c r="W41" i="1"/>
  <c r="W39" i="1"/>
  <c r="W37" i="1"/>
  <c r="W35" i="1"/>
  <c r="S338" i="1"/>
  <c r="S334" i="1"/>
  <c r="S330" i="1"/>
  <c r="S326" i="1"/>
  <c r="S322" i="1"/>
  <c r="S318" i="1"/>
  <c r="S314" i="1"/>
  <c r="S310" i="1"/>
  <c r="S306" i="1"/>
  <c r="S302" i="1"/>
  <c r="S298" i="1"/>
  <c r="S294" i="1"/>
  <c r="S286" i="1"/>
  <c r="S282" i="1"/>
  <c r="S278" i="1"/>
  <c r="S274" i="1"/>
  <c r="S270" i="1"/>
  <c r="S266" i="1"/>
  <c r="S262" i="1"/>
  <c r="S258" i="1"/>
  <c r="S254" i="1"/>
  <c r="S250" i="1"/>
  <c r="S246" i="1"/>
  <c r="S242" i="1"/>
  <c r="S238" i="1"/>
  <c r="S234" i="1"/>
  <c r="S230" i="1"/>
  <c r="S226" i="1"/>
  <c r="S222" i="1"/>
  <c r="S218" i="1"/>
  <c r="S214" i="1"/>
  <c r="S210" i="1"/>
  <c r="S207" i="1"/>
  <c r="S205" i="1"/>
  <c r="S203" i="1"/>
  <c r="S201" i="1"/>
  <c r="S197" i="1"/>
  <c r="S195" i="1"/>
  <c r="S193" i="1"/>
  <c r="S191" i="1"/>
  <c r="S189" i="1"/>
  <c r="S187" i="1"/>
  <c r="S185" i="1"/>
  <c r="S183" i="1"/>
  <c r="S181" i="1"/>
  <c r="S179" i="1"/>
  <c r="S177" i="1"/>
  <c r="S175" i="1"/>
  <c r="S173" i="1"/>
  <c r="S171" i="1"/>
  <c r="S169" i="1"/>
  <c r="S167" i="1"/>
  <c r="S165" i="1"/>
  <c r="S163" i="1"/>
  <c r="S161" i="1"/>
  <c r="S159" i="1"/>
  <c r="S157" i="1"/>
  <c r="S155" i="1"/>
  <c r="S153" i="1"/>
  <c r="S151" i="1"/>
  <c r="S149" i="1"/>
  <c r="S147" i="1"/>
  <c r="S145" i="1"/>
  <c r="S143" i="1"/>
  <c r="S141" i="1"/>
  <c r="S139" i="1"/>
  <c r="S137" i="1"/>
  <c r="W57" i="1"/>
  <c r="S273" i="1"/>
  <c r="S269" i="1"/>
  <c r="S265" i="1"/>
  <c r="S261" i="1"/>
  <c r="S257" i="1"/>
  <c r="S253" i="1"/>
  <c r="S249" i="1"/>
  <c r="S245" i="1"/>
  <c r="S241" i="1"/>
  <c r="S237" i="1"/>
  <c r="S233" i="1"/>
  <c r="S229" i="1"/>
  <c r="S225" i="1"/>
  <c r="S221" i="1"/>
  <c r="S217" i="1"/>
  <c r="S213" i="1"/>
  <c r="S209" i="1"/>
  <c r="S13" i="1"/>
  <c r="S51" i="1"/>
  <c r="S43" i="1"/>
  <c r="W33" i="1"/>
  <c r="W29" i="1"/>
  <c r="W25" i="1"/>
  <c r="W21" i="1"/>
  <c r="S57" i="1"/>
  <c r="S41" i="1"/>
  <c r="W31" i="1"/>
  <c r="W27" i="1"/>
  <c r="W23" i="1"/>
  <c r="W19" i="1"/>
  <c r="W457" i="1"/>
  <c r="W445" i="1"/>
  <c r="W446" i="1"/>
  <c r="W430" i="1"/>
  <c r="W394" i="1"/>
  <c r="W378" i="1"/>
  <c r="W362" i="1"/>
  <c r="S471" i="1"/>
  <c r="W450" i="1"/>
  <c r="W447" i="1"/>
  <c r="S431" i="1"/>
  <c r="S433" i="1"/>
  <c r="W415" i="1"/>
  <c r="S399" i="1"/>
  <c r="S401" i="1"/>
  <c r="W391" i="1"/>
  <c r="S374" i="1"/>
  <c r="S367" i="1"/>
  <c r="W359" i="1"/>
  <c r="W348" i="1"/>
  <c r="S344" i="1"/>
  <c r="S350" i="1"/>
  <c r="S480" i="1"/>
  <c r="W461" i="1"/>
  <c r="S468" i="1"/>
  <c r="S365" i="1"/>
  <c r="W355" i="1"/>
  <c r="W466" i="1"/>
  <c r="S455" i="1"/>
  <c r="W443" i="1"/>
  <c r="S427" i="1"/>
  <c r="S429" i="1"/>
  <c r="W411" i="1"/>
  <c r="S395" i="1"/>
  <c r="S397" i="1"/>
  <c r="W387" i="1"/>
  <c r="W363" i="1"/>
  <c r="W360" i="1"/>
  <c r="W346" i="1"/>
  <c r="W463" i="1"/>
  <c r="S371" i="1"/>
  <c r="S340" i="1"/>
  <c r="S228" i="1"/>
  <c r="S224" i="1"/>
  <c r="S220" i="1"/>
  <c r="S216" i="1"/>
  <c r="S212" i="1"/>
  <c r="S208" i="1"/>
  <c r="S206" i="1"/>
  <c r="S204" i="1"/>
  <c r="S202" i="1"/>
  <c r="S200" i="1"/>
  <c r="S198" i="1"/>
  <c r="S196" i="1"/>
  <c r="S194" i="1"/>
  <c r="S192" i="1"/>
  <c r="S190" i="1"/>
  <c r="S188" i="1"/>
  <c r="S186" i="1"/>
  <c r="S184" i="1"/>
  <c r="S182" i="1"/>
  <c r="S180" i="1"/>
  <c r="S178" i="1"/>
  <c r="S176" i="1"/>
  <c r="S174" i="1"/>
  <c r="S172" i="1"/>
  <c r="S170" i="1"/>
  <c r="S168" i="1"/>
  <c r="S166" i="1"/>
  <c r="S164" i="1"/>
  <c r="S162" i="1"/>
  <c r="S160" i="1"/>
  <c r="S114" i="1"/>
  <c r="S104" i="1"/>
  <c r="W100" i="1"/>
  <c r="W98" i="1"/>
  <c r="W96" i="1"/>
  <c r="W94" i="1"/>
  <c r="W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S477" i="1"/>
  <c r="W477" i="1"/>
  <c r="S354" i="1"/>
  <c r="W347" i="1"/>
  <c r="W339" i="1"/>
  <c r="S341" i="1"/>
  <c r="S327" i="1"/>
  <c r="S323" i="1"/>
  <c r="S319" i="1"/>
  <c r="S315" i="1"/>
  <c r="S311" i="1"/>
  <c r="S307" i="1"/>
  <c r="S303" i="1"/>
  <c r="S299" i="1"/>
  <c r="S295" i="1"/>
  <c r="S291" i="1"/>
  <c r="S287" i="1"/>
  <c r="S283" i="1"/>
  <c r="S279" i="1"/>
  <c r="S275" i="1"/>
  <c r="S271" i="1"/>
  <c r="S267" i="1"/>
  <c r="S263" i="1"/>
  <c r="S259" i="1"/>
  <c r="S255" i="1"/>
  <c r="S251" i="1"/>
  <c r="S247" i="1"/>
  <c r="S243" i="1"/>
  <c r="S235" i="1"/>
  <c r="S231" i="1"/>
  <c r="S227" i="1"/>
  <c r="S223" i="1"/>
  <c r="S219" i="1"/>
  <c r="S215" i="1"/>
  <c r="S211" i="1"/>
  <c r="W49" i="1"/>
  <c r="W47" i="1"/>
  <c r="W45" i="1"/>
  <c r="W43" i="1"/>
  <c r="S448" i="1"/>
  <c r="S432" i="1"/>
  <c r="S416" i="1"/>
  <c r="S400" i="1"/>
  <c r="S384" i="1"/>
  <c r="S368" i="1"/>
  <c r="S290" i="1"/>
  <c r="W234" i="1"/>
  <c r="W230" i="1"/>
  <c r="W222" i="1"/>
  <c r="W214" i="1"/>
  <c r="W205" i="1"/>
  <c r="W201" i="1"/>
  <c r="S199" i="1"/>
  <c r="W197" i="1"/>
  <c r="W193" i="1"/>
  <c r="W189" i="1"/>
  <c r="W137" i="1"/>
  <c r="W135" i="1"/>
  <c r="W133" i="1"/>
  <c r="W131" i="1"/>
  <c r="W129" i="1"/>
  <c r="W127" i="1"/>
  <c r="W125" i="1"/>
  <c r="W123" i="1"/>
  <c r="W121" i="1"/>
  <c r="W119" i="1"/>
  <c r="W117" i="1"/>
  <c r="W115" i="1"/>
  <c r="W113" i="1"/>
  <c r="W111" i="1"/>
  <c r="W109" i="1"/>
  <c r="W107" i="1"/>
  <c r="W105" i="1"/>
  <c r="W103" i="1"/>
  <c r="W101" i="1"/>
  <c r="W99" i="1"/>
  <c r="W97" i="1"/>
  <c r="W95" i="1"/>
  <c r="W93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S358" i="1"/>
  <c r="S343" i="1"/>
  <c r="S337" i="1"/>
  <c r="S333" i="1"/>
  <c r="S329" i="1"/>
  <c r="S325" i="1"/>
  <c r="S321" i="1"/>
  <c r="S317" i="1"/>
  <c r="S313" i="1"/>
  <c r="S309" i="1"/>
  <c r="S305" i="1"/>
  <c r="S301" i="1"/>
  <c r="S297" i="1"/>
  <c r="S293" i="1"/>
  <c r="S289" i="1"/>
  <c r="S285" i="1"/>
  <c r="S281" i="1"/>
  <c r="S277" i="1"/>
  <c r="W273" i="1"/>
  <c r="W261" i="1"/>
  <c r="W257" i="1"/>
  <c r="W249" i="1"/>
  <c r="W245" i="1"/>
  <c r="W241" i="1"/>
  <c r="W229" i="1"/>
  <c r="W225" i="1"/>
  <c r="W221" i="1"/>
  <c r="W217" i="1"/>
  <c r="W213" i="1"/>
  <c r="W209" i="1"/>
  <c r="S50" i="1"/>
  <c r="S42" i="1"/>
  <c r="W32" i="1"/>
  <c r="W28" i="1"/>
  <c r="W24" i="1"/>
  <c r="W20" i="1"/>
  <c r="S14" i="1"/>
  <c r="S55" i="1"/>
  <c r="S39" i="1"/>
  <c r="S35" i="1"/>
  <c r="S31" i="1"/>
  <c r="S27" i="1"/>
  <c r="S23" i="1"/>
  <c r="S19" i="1"/>
  <c r="S48" i="1"/>
  <c r="S40" i="1"/>
  <c r="W30" i="1"/>
  <c r="W26" i="1"/>
  <c r="W22" i="1"/>
  <c r="W18" i="1"/>
  <c r="S37" i="1"/>
  <c r="S33" i="1"/>
  <c r="S29" i="1"/>
  <c r="S25" i="1"/>
  <c r="S459" i="1"/>
  <c r="W449" i="1"/>
  <c r="W476" i="1"/>
  <c r="W468" i="1"/>
  <c r="W460" i="1"/>
  <c r="W452" i="1"/>
  <c r="W444" i="1"/>
  <c r="W440" i="1"/>
  <c r="W436" i="1"/>
  <c r="W432" i="1"/>
  <c r="W428" i="1"/>
  <c r="W424" i="1"/>
  <c r="W420" i="1"/>
  <c r="W416" i="1"/>
  <c r="W412" i="1"/>
  <c r="W408" i="1"/>
  <c r="W404" i="1"/>
  <c r="W429" i="1"/>
  <c r="W473" i="1"/>
  <c r="W462" i="1"/>
  <c r="W459" i="1"/>
  <c r="W451" i="1"/>
  <c r="W421" i="1"/>
  <c r="W405" i="1"/>
  <c r="W401" i="1"/>
  <c r="W385" i="1"/>
  <c r="W369" i="1"/>
  <c r="W434" i="1"/>
  <c r="W418" i="1"/>
  <c r="W398" i="1"/>
  <c r="W382" i="1"/>
  <c r="W366" i="1"/>
  <c r="W350" i="1"/>
  <c r="W471" i="1"/>
  <c r="W439" i="1"/>
  <c r="S423" i="1"/>
  <c r="S425" i="1"/>
  <c r="W407" i="1"/>
  <c r="S391" i="1"/>
  <c r="S393" i="1"/>
  <c r="W383" i="1"/>
  <c r="W344" i="1"/>
  <c r="W340" i="1"/>
  <c r="S479" i="1"/>
  <c r="W458" i="1"/>
  <c r="S436" i="1"/>
  <c r="S420" i="1"/>
  <c r="S404" i="1"/>
  <c r="S388" i="1"/>
  <c r="S362" i="1"/>
  <c r="S345" i="1"/>
  <c r="W341" i="1"/>
  <c r="S469" i="1"/>
  <c r="S466" i="1"/>
  <c r="W455" i="1"/>
  <c r="S453" i="1"/>
  <c r="W435" i="1"/>
  <c r="S419" i="1"/>
  <c r="S421" i="1"/>
  <c r="S387" i="1"/>
  <c r="S389" i="1"/>
  <c r="W379" i="1"/>
  <c r="W371" i="1"/>
  <c r="W365" i="1"/>
  <c r="S360" i="1"/>
  <c r="W349" i="1"/>
  <c r="S332" i="1"/>
  <c r="S328" i="1"/>
  <c r="S324" i="1"/>
  <c r="S320" i="1"/>
  <c r="S316" i="1"/>
  <c r="S312" i="1"/>
  <c r="S308" i="1"/>
  <c r="S304" i="1"/>
  <c r="S300" i="1"/>
  <c r="S296" i="1"/>
  <c r="S292" i="1"/>
  <c r="S288" i="1"/>
  <c r="S284" i="1"/>
  <c r="S280" i="1"/>
  <c r="S276" i="1"/>
  <c r="S272" i="1"/>
  <c r="S268" i="1"/>
  <c r="S264" i="1"/>
  <c r="S260" i="1"/>
  <c r="S256" i="1"/>
  <c r="S252" i="1"/>
  <c r="S248" i="1"/>
  <c r="S244" i="1"/>
  <c r="S240" i="1"/>
  <c r="S236" i="1"/>
  <c r="S232" i="1"/>
  <c r="W228" i="1"/>
  <c r="W220" i="1"/>
  <c r="W216" i="1"/>
  <c r="W212" i="1"/>
  <c r="W206" i="1"/>
  <c r="W202" i="1"/>
  <c r="W200" i="1"/>
  <c r="W198" i="1"/>
  <c r="W196" i="1"/>
  <c r="W160" i="1"/>
  <c r="W158" i="1"/>
  <c r="W156" i="1"/>
  <c r="W154" i="1"/>
  <c r="W152" i="1"/>
  <c r="W150" i="1"/>
  <c r="W148" i="1"/>
  <c r="W146" i="1"/>
  <c r="W144" i="1"/>
  <c r="W142" i="1"/>
  <c r="W140" i="1"/>
  <c r="W138" i="1"/>
  <c r="W136" i="1"/>
  <c r="W134" i="1"/>
  <c r="W132" i="1"/>
  <c r="W130" i="1"/>
  <c r="W128" i="1"/>
  <c r="W126" i="1"/>
  <c r="W124" i="1"/>
  <c r="W122" i="1"/>
  <c r="W120" i="1"/>
  <c r="W118" i="1"/>
  <c r="W116" i="1"/>
  <c r="W114" i="1"/>
  <c r="W112" i="1"/>
  <c r="W110" i="1"/>
  <c r="W108" i="1"/>
  <c r="W106" i="1"/>
  <c r="W104" i="1"/>
  <c r="S62" i="1"/>
  <c r="S60" i="1"/>
  <c r="W56" i="1"/>
  <c r="W335" i="1"/>
  <c r="W327" i="1"/>
  <c r="W323" i="1"/>
  <c r="W311" i="1"/>
  <c r="W307" i="1"/>
  <c r="W295" i="1"/>
  <c r="W291" i="1"/>
  <c r="W287" i="1"/>
  <c r="W279" i="1"/>
  <c r="W275" i="1"/>
  <c r="W259" i="1"/>
  <c r="W247" i="1"/>
  <c r="W243" i="1"/>
  <c r="S239" i="1"/>
  <c r="W53" i="1"/>
  <c r="W51" i="1"/>
  <c r="W42" i="1"/>
  <c r="W40" i="1"/>
  <c r="W38" i="1"/>
  <c r="W36" i="1"/>
  <c r="W34" i="1"/>
  <c r="W338" i="1"/>
  <c r="W334" i="1"/>
  <c r="W330" i="1"/>
  <c r="W326" i="1"/>
  <c r="W322" i="1"/>
  <c r="W318" i="1"/>
  <c r="W314" i="1"/>
  <c r="W310" i="1"/>
  <c r="W306" i="1"/>
  <c r="W302" i="1"/>
  <c r="W298" i="1"/>
  <c r="W294" i="1"/>
  <c r="W290" i="1"/>
  <c r="W286" i="1"/>
  <c r="W282" i="1"/>
  <c r="W278" i="1"/>
  <c r="W274" i="1"/>
  <c r="W270" i="1"/>
  <c r="W266" i="1"/>
  <c r="W262" i="1"/>
  <c r="W258" i="1"/>
  <c r="W254" i="1"/>
  <c r="W250" i="1"/>
  <c r="W246" i="1"/>
  <c r="W242" i="1"/>
  <c r="W238" i="1"/>
  <c r="W226" i="1"/>
  <c r="W218" i="1"/>
  <c r="W210" i="1"/>
  <c r="W207" i="1"/>
  <c r="W203" i="1"/>
  <c r="W199" i="1"/>
  <c r="W195" i="1"/>
  <c r="W191" i="1"/>
  <c r="W187" i="1"/>
  <c r="W185" i="1"/>
  <c r="W183" i="1"/>
  <c r="W181" i="1"/>
  <c r="W179" i="1"/>
  <c r="W177" i="1"/>
  <c r="W175" i="1"/>
  <c r="W173" i="1"/>
  <c r="W171" i="1"/>
  <c r="W169" i="1"/>
  <c r="W167" i="1"/>
  <c r="W165" i="1"/>
  <c r="W163" i="1"/>
  <c r="W161" i="1"/>
  <c r="W159" i="1"/>
  <c r="W157" i="1"/>
  <c r="W155" i="1"/>
  <c r="W153" i="1"/>
  <c r="W151" i="1"/>
  <c r="W149" i="1"/>
  <c r="W147" i="1"/>
  <c r="W145" i="1"/>
  <c r="W143" i="1"/>
  <c r="W141" i="1"/>
  <c r="W139" i="1"/>
  <c r="W54" i="1"/>
  <c r="W343" i="1"/>
  <c r="W329" i="1"/>
  <c r="W325" i="1"/>
  <c r="W321" i="1"/>
  <c r="W313" i="1"/>
  <c r="W305" i="1"/>
  <c r="W289" i="1"/>
  <c r="W277" i="1"/>
  <c r="W269" i="1"/>
  <c r="W265" i="1"/>
  <c r="W253" i="1"/>
  <c r="W237" i="1"/>
  <c r="W233" i="1"/>
  <c r="S54" i="1"/>
  <c r="S38" i="1"/>
  <c r="S34" i="1"/>
  <c r="S30" i="1"/>
  <c r="S26" i="1"/>
  <c r="S22" i="1"/>
  <c r="S18" i="1"/>
  <c r="S56" i="1"/>
  <c r="Q495" i="1"/>
  <c r="S52" i="1"/>
  <c r="S36" i="1"/>
  <c r="S32" i="1"/>
  <c r="S28" i="1"/>
  <c r="S24" i="1"/>
  <c r="S21" i="1"/>
  <c r="S20" i="1"/>
  <c r="S454" i="1"/>
  <c r="W448" i="1"/>
  <c r="W392" i="1"/>
  <c r="W384" i="1"/>
  <c r="W376" i="1"/>
  <c r="W478" i="1"/>
  <c r="W425" i="1"/>
  <c r="W389" i="1"/>
  <c r="W438" i="1"/>
  <c r="W422" i="1"/>
  <c r="W406" i="1"/>
  <c r="W386" i="1"/>
  <c r="W370" i="1"/>
  <c r="W354" i="1"/>
  <c r="W453" i="1"/>
  <c r="S447" i="1"/>
  <c r="W375" i="1"/>
  <c r="W353" i="1"/>
  <c r="S458" i="1"/>
  <c r="W345" i="1"/>
  <c r="S443" i="1"/>
  <c r="S445" i="1"/>
  <c r="W427" i="1"/>
  <c r="S411" i="1"/>
  <c r="S413" i="1"/>
  <c r="W403" i="1"/>
  <c r="S379" i="1"/>
  <c r="S381" i="1"/>
  <c r="S373" i="1"/>
  <c r="W357" i="1"/>
  <c r="S352" i="1"/>
  <c r="S349" i="1"/>
  <c r="S346" i="1"/>
  <c r="W342" i="1"/>
  <c r="S473" i="1"/>
  <c r="S464" i="1"/>
  <c r="S363" i="1"/>
  <c r="S336" i="1"/>
  <c r="W332" i="1"/>
  <c r="W328" i="1"/>
  <c r="W324" i="1"/>
  <c r="W320" i="1"/>
  <c r="W316" i="1"/>
  <c r="W312" i="1"/>
  <c r="W308" i="1"/>
  <c r="W304" i="1"/>
  <c r="W300" i="1"/>
  <c r="W296" i="1"/>
  <c r="W292" i="1"/>
  <c r="W288" i="1"/>
  <c r="W284" i="1"/>
  <c r="W280" i="1"/>
  <c r="W276" i="1"/>
  <c r="W272" i="1"/>
  <c r="W268" i="1"/>
  <c r="W264" i="1"/>
  <c r="W260" i="1"/>
  <c r="W256" i="1"/>
  <c r="W252" i="1"/>
  <c r="W248" i="1"/>
  <c r="W244" i="1"/>
  <c r="W240" i="1"/>
  <c r="W236" i="1"/>
  <c r="W204" i="1"/>
  <c r="W194" i="1"/>
  <c r="W192" i="1"/>
  <c r="W190" i="1"/>
  <c r="W188" i="1"/>
  <c r="W186" i="1"/>
  <c r="W184" i="1"/>
  <c r="W182" i="1"/>
  <c r="W180" i="1"/>
  <c r="W178" i="1"/>
  <c r="W176" i="1"/>
  <c r="W174" i="1"/>
  <c r="W172" i="1"/>
  <c r="W170" i="1"/>
  <c r="W168" i="1"/>
  <c r="W166" i="1"/>
  <c r="W164" i="1"/>
  <c r="W162" i="1"/>
  <c r="S100" i="1"/>
  <c r="S98" i="1"/>
  <c r="S96" i="1"/>
  <c r="S94" i="1"/>
  <c r="S92" i="1"/>
  <c r="S90" i="1"/>
  <c r="S88" i="1"/>
  <c r="S86" i="1"/>
  <c r="S84" i="1"/>
  <c r="S82" i="1"/>
  <c r="S80" i="1"/>
  <c r="S78" i="1"/>
  <c r="S76" i="1"/>
  <c r="S74" i="1"/>
  <c r="S72" i="1"/>
  <c r="S70" i="1"/>
  <c r="S68" i="1"/>
  <c r="S66" i="1"/>
  <c r="S64" i="1"/>
  <c r="S58" i="1"/>
  <c r="S474" i="1"/>
  <c r="W474" i="1"/>
  <c r="S347" i="1"/>
  <c r="W331" i="1"/>
  <c r="W319" i="1"/>
  <c r="W315" i="1"/>
  <c r="W303" i="1"/>
  <c r="W299" i="1"/>
  <c r="W283" i="1"/>
  <c r="W271" i="1"/>
  <c r="W267" i="1"/>
  <c r="W263" i="1"/>
  <c r="W255" i="1"/>
  <c r="W251" i="1"/>
  <c r="W239" i="1"/>
  <c r="W235" i="1"/>
  <c r="W231" i="1"/>
  <c r="W227" i="1"/>
  <c r="W223" i="1"/>
  <c r="W219" i="1"/>
  <c r="W215" i="1"/>
  <c r="W211" i="1"/>
  <c r="W48" i="1"/>
  <c r="W46" i="1"/>
  <c r="W44" i="1"/>
  <c r="S440" i="1"/>
  <c r="S424" i="1"/>
  <c r="S408" i="1"/>
  <c r="S392" i="1"/>
  <c r="S376" i="1"/>
  <c r="S369" i="1"/>
  <c r="S135" i="1"/>
  <c r="S133" i="1"/>
  <c r="S131" i="1"/>
  <c r="S129" i="1"/>
  <c r="S127" i="1"/>
  <c r="S125" i="1"/>
  <c r="S123" i="1"/>
  <c r="S121" i="1"/>
  <c r="S119" i="1"/>
  <c r="S117" i="1"/>
  <c r="S115" i="1"/>
  <c r="S113" i="1"/>
  <c r="S111" i="1"/>
  <c r="S109" i="1"/>
  <c r="S107" i="1"/>
  <c r="S105" i="1"/>
  <c r="S103" i="1"/>
  <c r="S101" i="1"/>
  <c r="S99" i="1"/>
  <c r="S97" i="1"/>
  <c r="S95" i="1"/>
  <c r="S93" i="1"/>
  <c r="S91" i="1"/>
  <c r="S89" i="1"/>
  <c r="S87" i="1"/>
  <c r="S85" i="1"/>
  <c r="S83" i="1"/>
  <c r="S81" i="1"/>
  <c r="S79" i="1"/>
  <c r="S77" i="1"/>
  <c r="S75" i="1"/>
  <c r="S73" i="1"/>
  <c r="S71" i="1"/>
  <c r="S69" i="1"/>
  <c r="S67" i="1"/>
  <c r="S65" i="1"/>
  <c r="S63" i="1"/>
  <c r="S61" i="1"/>
  <c r="S59" i="1"/>
  <c r="S366" i="1"/>
  <c r="S353" i="1"/>
  <c r="W337" i="1"/>
  <c r="W333" i="1"/>
  <c r="W317" i="1"/>
  <c r="W309" i="1"/>
  <c r="W301" i="1"/>
  <c r="W297" i="1"/>
  <c r="W293" i="1"/>
  <c r="W285" i="1"/>
  <c r="W281" i="1"/>
  <c r="W336" i="1"/>
  <c r="S16" i="1"/>
  <c r="S53" i="1"/>
  <c r="W55" i="1"/>
  <c r="S15" i="1"/>
  <c r="U495" i="1" l="1"/>
</calcChain>
</file>

<file path=xl/sharedStrings.xml><?xml version="1.0" encoding="utf-8"?>
<sst xmlns="http://schemas.openxmlformats.org/spreadsheetml/2006/main" count="853" uniqueCount="26">
  <si>
    <t>Datum:</t>
  </si>
  <si>
    <t>WGS-84</t>
  </si>
  <si>
    <t>Type</t>
  </si>
  <si>
    <t>Name|Color|Visibility</t>
  </si>
  <si>
    <t>Lat</t>
  </si>
  <si>
    <t>Long</t>
  </si>
  <si>
    <t>Day</t>
  </si>
  <si>
    <t>Month</t>
  </si>
  <si>
    <t>Year</t>
  </si>
  <si>
    <t>Hour</t>
  </si>
  <si>
    <t>Min</t>
  </si>
  <si>
    <t>Sec</t>
  </si>
  <si>
    <t>Altitude(Meters)</t>
  </si>
  <si>
    <t>Depth(Meters)</t>
  </si>
  <si>
    <t>Speed(km/h)</t>
  </si>
  <si>
    <t>SDoP(km/h)</t>
  </si>
  <si>
    <t>T</t>
  </si>
  <si>
    <t>m/s</t>
  </si>
  <si>
    <t>Max</t>
  </si>
  <si>
    <t>acc 1</t>
  </si>
  <si>
    <t>acc 2</t>
  </si>
  <si>
    <t>acc 3</t>
  </si>
  <si>
    <t>acc 4</t>
  </si>
  <si>
    <t>acc 5</t>
  </si>
  <si>
    <t>avg speed</t>
  </si>
  <si>
    <t>Acceleration during decent alpha 500 (windfoil)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</si>
</sst>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6" fillId="0" borderId="0" xfId="0" applyFont="1"/>
    <xf numFmtId="165" fontId="0" fillId="0" borderId="0" xfId="0" applyNumberForma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GT-31 - Comparing</a:t>
            </a:r>
            <a:r>
              <a:rPr lang="en-GB" baseline="0"/>
              <a:t> acceleration calculations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Existing calculation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'gt-31'!$P$3:$P$52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'gt-31'!$R$3:$R$52</c:f>
              <c:numCache>
                <c:formatCode>0.0</c:formatCode>
                <c:ptCount val="50"/>
                <c:pt idx="1">
                  <c:v>0.42999999999999972</c:v>
                </c:pt>
                <c:pt idx="2">
                  <c:v>0.41000000000000014</c:v>
                </c:pt>
                <c:pt idx="3">
                  <c:v>0.41999999999999993</c:v>
                </c:pt>
                <c:pt idx="4">
                  <c:v>0.22000000000000064</c:v>
                </c:pt>
                <c:pt idx="5">
                  <c:v>9.9999999999999645E-2</c:v>
                </c:pt>
                <c:pt idx="6">
                  <c:v>2.9999999999999361E-2</c:v>
                </c:pt>
                <c:pt idx="7">
                  <c:v>6.0000000000000497E-2</c:v>
                </c:pt>
                <c:pt idx="8">
                  <c:v>-0.16000000000000014</c:v>
                </c:pt>
                <c:pt idx="9">
                  <c:v>-6.0000000000000497E-2</c:v>
                </c:pt>
                <c:pt idx="10">
                  <c:v>3.0000000000001137E-2</c:v>
                </c:pt>
                <c:pt idx="11">
                  <c:v>8.0000000000000071E-2</c:v>
                </c:pt>
                <c:pt idx="12">
                  <c:v>0.34999999999999964</c:v>
                </c:pt>
                <c:pt idx="13">
                  <c:v>0.25</c:v>
                </c:pt>
                <c:pt idx="14">
                  <c:v>0.40000000000000036</c:v>
                </c:pt>
                <c:pt idx="15">
                  <c:v>-0.20000000000000107</c:v>
                </c:pt>
                <c:pt idx="16">
                  <c:v>0.13000000000000078</c:v>
                </c:pt>
                <c:pt idx="17">
                  <c:v>0.11999999999999922</c:v>
                </c:pt>
                <c:pt idx="18">
                  <c:v>-0.12999999999999901</c:v>
                </c:pt>
                <c:pt idx="19">
                  <c:v>0.37999999999999901</c:v>
                </c:pt>
                <c:pt idx="20">
                  <c:v>-0.59999999999999964</c:v>
                </c:pt>
                <c:pt idx="21">
                  <c:v>-0.75</c:v>
                </c:pt>
                <c:pt idx="22">
                  <c:v>-0.29999999999999893</c:v>
                </c:pt>
                <c:pt idx="23">
                  <c:v>-0.62000000000000099</c:v>
                </c:pt>
                <c:pt idx="24">
                  <c:v>-0.66000000000000014</c:v>
                </c:pt>
                <c:pt idx="25">
                  <c:v>-0.29999999999999893</c:v>
                </c:pt>
                <c:pt idx="26">
                  <c:v>-0.45000000000000107</c:v>
                </c:pt>
                <c:pt idx="27">
                  <c:v>-0.91999999999999993</c:v>
                </c:pt>
                <c:pt idx="28">
                  <c:v>-0.41999999999999993</c:v>
                </c:pt>
                <c:pt idx="29">
                  <c:v>0.12000000000000099</c:v>
                </c:pt>
                <c:pt idx="30">
                  <c:v>0.33999999999999986</c:v>
                </c:pt>
                <c:pt idx="31">
                  <c:v>0.89999999999999858</c:v>
                </c:pt>
                <c:pt idx="32">
                  <c:v>0.77000000000000135</c:v>
                </c:pt>
                <c:pt idx="33">
                  <c:v>0.33000000000000007</c:v>
                </c:pt>
                <c:pt idx="34">
                  <c:v>0.60999999999999943</c:v>
                </c:pt>
                <c:pt idx="35">
                  <c:v>0.20999999999999908</c:v>
                </c:pt>
                <c:pt idx="36">
                  <c:v>0.27000000000000135</c:v>
                </c:pt>
                <c:pt idx="37">
                  <c:v>-0.27000000000000135</c:v>
                </c:pt>
                <c:pt idx="38">
                  <c:v>2.000000000000135E-2</c:v>
                </c:pt>
                <c:pt idx="39">
                  <c:v>8.0000000000000071E-2</c:v>
                </c:pt>
                <c:pt idx="40">
                  <c:v>0</c:v>
                </c:pt>
                <c:pt idx="41">
                  <c:v>0.21999999999999886</c:v>
                </c:pt>
                <c:pt idx="42">
                  <c:v>-0.70999999999999908</c:v>
                </c:pt>
                <c:pt idx="43">
                  <c:v>-0.17999999999999972</c:v>
                </c:pt>
                <c:pt idx="44">
                  <c:v>-0.19000000000000128</c:v>
                </c:pt>
                <c:pt idx="45">
                  <c:v>0.11000000000000121</c:v>
                </c:pt>
                <c:pt idx="46">
                  <c:v>0.22999999999999865</c:v>
                </c:pt>
                <c:pt idx="47">
                  <c:v>5.0000000000000711E-2</c:v>
                </c:pt>
                <c:pt idx="48">
                  <c:v>-0.20999999999999908</c:v>
                </c:pt>
                <c:pt idx="49">
                  <c:v>-7.0000000000000284E-2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DE-4FCD-818E-4A47F1A44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(1Hz)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10"/>
        <c:noMultiLvlLbl val="0"/>
      </c:catAx>
      <c:valAx>
        <c:axId val="435786744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GT-31 - Comparing</a:t>
            </a:r>
            <a:r>
              <a:rPr lang="en-GB" baseline="0"/>
              <a:t> acceleration calculations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Existing calculation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'gt-31'!$R$3:$R$52</c:f>
              <c:numCache>
                <c:formatCode>0.0</c:formatCode>
                <c:ptCount val="50"/>
                <c:pt idx="1">
                  <c:v>0.42999999999999972</c:v>
                </c:pt>
                <c:pt idx="2">
                  <c:v>0.41000000000000014</c:v>
                </c:pt>
                <c:pt idx="3">
                  <c:v>0.41999999999999993</c:v>
                </c:pt>
                <c:pt idx="4">
                  <c:v>0.22000000000000064</c:v>
                </c:pt>
                <c:pt idx="5">
                  <c:v>9.9999999999999645E-2</c:v>
                </c:pt>
                <c:pt idx="6">
                  <c:v>2.9999999999999361E-2</c:v>
                </c:pt>
                <c:pt idx="7">
                  <c:v>6.0000000000000497E-2</c:v>
                </c:pt>
                <c:pt idx="8">
                  <c:v>-0.16000000000000014</c:v>
                </c:pt>
                <c:pt idx="9">
                  <c:v>-6.0000000000000497E-2</c:v>
                </c:pt>
                <c:pt idx="10">
                  <c:v>3.0000000000001137E-2</c:v>
                </c:pt>
                <c:pt idx="11">
                  <c:v>8.0000000000000071E-2</c:v>
                </c:pt>
                <c:pt idx="12">
                  <c:v>0.34999999999999964</c:v>
                </c:pt>
                <c:pt idx="13">
                  <c:v>0.25</c:v>
                </c:pt>
                <c:pt idx="14">
                  <c:v>0.40000000000000036</c:v>
                </c:pt>
                <c:pt idx="15">
                  <c:v>-0.20000000000000107</c:v>
                </c:pt>
                <c:pt idx="16">
                  <c:v>0.13000000000000078</c:v>
                </c:pt>
                <c:pt idx="17">
                  <c:v>0.11999999999999922</c:v>
                </c:pt>
                <c:pt idx="18">
                  <c:v>-0.12999999999999901</c:v>
                </c:pt>
                <c:pt idx="19">
                  <c:v>0.37999999999999901</c:v>
                </c:pt>
                <c:pt idx="20">
                  <c:v>-0.59999999999999964</c:v>
                </c:pt>
                <c:pt idx="21">
                  <c:v>-0.75</c:v>
                </c:pt>
                <c:pt idx="22">
                  <c:v>-0.29999999999999893</c:v>
                </c:pt>
                <c:pt idx="23">
                  <c:v>-0.62000000000000099</c:v>
                </c:pt>
                <c:pt idx="24">
                  <c:v>-0.66000000000000014</c:v>
                </c:pt>
                <c:pt idx="25">
                  <c:v>-0.29999999999999893</c:v>
                </c:pt>
                <c:pt idx="26">
                  <c:v>-0.45000000000000107</c:v>
                </c:pt>
                <c:pt idx="27">
                  <c:v>-0.91999999999999993</c:v>
                </c:pt>
                <c:pt idx="28">
                  <c:v>-0.41999999999999993</c:v>
                </c:pt>
                <c:pt idx="29">
                  <c:v>0.12000000000000099</c:v>
                </c:pt>
                <c:pt idx="30">
                  <c:v>0.33999999999999986</c:v>
                </c:pt>
                <c:pt idx="31">
                  <c:v>0.89999999999999858</c:v>
                </c:pt>
                <c:pt idx="32">
                  <c:v>0.77000000000000135</c:v>
                </c:pt>
                <c:pt idx="33">
                  <c:v>0.33000000000000007</c:v>
                </c:pt>
                <c:pt idx="34">
                  <c:v>0.60999999999999943</c:v>
                </c:pt>
                <c:pt idx="35">
                  <c:v>0.20999999999999908</c:v>
                </c:pt>
                <c:pt idx="36">
                  <c:v>0.27000000000000135</c:v>
                </c:pt>
                <c:pt idx="37">
                  <c:v>-0.27000000000000135</c:v>
                </c:pt>
                <c:pt idx="38">
                  <c:v>2.000000000000135E-2</c:v>
                </c:pt>
                <c:pt idx="39">
                  <c:v>8.0000000000000071E-2</c:v>
                </c:pt>
                <c:pt idx="40">
                  <c:v>0</c:v>
                </c:pt>
                <c:pt idx="41">
                  <c:v>0.21999999999999886</c:v>
                </c:pt>
                <c:pt idx="42">
                  <c:v>-0.70999999999999908</c:v>
                </c:pt>
                <c:pt idx="43">
                  <c:v>-0.17999999999999972</c:v>
                </c:pt>
                <c:pt idx="44">
                  <c:v>-0.19000000000000128</c:v>
                </c:pt>
                <c:pt idx="45">
                  <c:v>0.11000000000000121</c:v>
                </c:pt>
                <c:pt idx="46">
                  <c:v>0.22999999999999865</c:v>
                </c:pt>
                <c:pt idx="47">
                  <c:v>5.0000000000000711E-2</c:v>
                </c:pt>
                <c:pt idx="48">
                  <c:v>-0.20999999999999908</c:v>
                </c:pt>
                <c:pt idx="49">
                  <c:v>-7.0000000000000284E-2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86-4C9B-BED2-2A43618A4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(1Hz)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10"/>
        <c:noMultiLvlLbl val="0"/>
      </c:catAx>
      <c:valAx>
        <c:axId val="435786744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GW-60 - Comparing</a:t>
            </a:r>
            <a:r>
              <a:rPr lang="en-GB" baseline="0"/>
              <a:t> acceleration calculations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Existing calculation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'gw-60'!$Q$3:$Q$248</c:f>
              <c:numCache>
                <c:formatCode>0.0</c:formatCode>
                <c:ptCount val="246"/>
                <c:pt idx="1">
                  <c:v>2.0000000000000107</c:v>
                </c:pt>
                <c:pt idx="2">
                  <c:v>1.899999999999995</c:v>
                </c:pt>
                <c:pt idx="3">
                  <c:v>-0.19999999999999574</c:v>
                </c:pt>
                <c:pt idx="4">
                  <c:v>0.49999999999998934</c:v>
                </c:pt>
                <c:pt idx="5">
                  <c:v>-0.99999999999999645</c:v>
                </c:pt>
                <c:pt idx="6">
                  <c:v>1.2000000000000099</c:v>
                </c:pt>
                <c:pt idx="7">
                  <c:v>2.4000000000000021</c:v>
                </c:pt>
                <c:pt idx="8">
                  <c:v>1.4999999999999858</c:v>
                </c:pt>
                <c:pt idx="9">
                  <c:v>9.9999999999997868E-2</c:v>
                </c:pt>
                <c:pt idx="10">
                  <c:v>-1.0999999999999943</c:v>
                </c:pt>
                <c:pt idx="11">
                  <c:v>0.99999999999999645</c:v>
                </c:pt>
                <c:pt idx="12">
                  <c:v>0.70000000000000284</c:v>
                </c:pt>
                <c:pt idx="13">
                  <c:v>4.1000000000000014</c:v>
                </c:pt>
                <c:pt idx="14">
                  <c:v>-0.80000000000000071</c:v>
                </c:pt>
                <c:pt idx="15">
                  <c:v>1.5000000000000036</c:v>
                </c:pt>
                <c:pt idx="16">
                  <c:v>-2.5</c:v>
                </c:pt>
                <c:pt idx="17">
                  <c:v>0.70000000000000284</c:v>
                </c:pt>
                <c:pt idx="18">
                  <c:v>3.2000000000000028</c:v>
                </c:pt>
                <c:pt idx="19">
                  <c:v>-0.30000000000001137</c:v>
                </c:pt>
                <c:pt idx="20">
                  <c:v>-0.80000000000000071</c:v>
                </c:pt>
                <c:pt idx="21">
                  <c:v>-1.5000000000000036</c:v>
                </c:pt>
                <c:pt idx="22">
                  <c:v>0.10000000000001563</c:v>
                </c:pt>
                <c:pt idx="23">
                  <c:v>1.7999999999999972</c:v>
                </c:pt>
                <c:pt idx="24">
                  <c:v>1.0999999999999943</c:v>
                </c:pt>
                <c:pt idx="25">
                  <c:v>-3.3000000000000007</c:v>
                </c:pt>
                <c:pt idx="26">
                  <c:v>3.3999999999999986</c:v>
                </c:pt>
                <c:pt idx="27">
                  <c:v>0.19999999999999574</c:v>
                </c:pt>
                <c:pt idx="28">
                  <c:v>0.50000000000000711</c:v>
                </c:pt>
                <c:pt idx="29">
                  <c:v>-2.0999999999999908</c:v>
                </c:pt>
                <c:pt idx="30">
                  <c:v>0.79999999999998295</c:v>
                </c:pt>
                <c:pt idx="31">
                  <c:v>-1.5999999999999837</c:v>
                </c:pt>
                <c:pt idx="32">
                  <c:v>2.7999999999999936</c:v>
                </c:pt>
                <c:pt idx="33">
                  <c:v>0.50000000000000711</c:v>
                </c:pt>
                <c:pt idx="34">
                  <c:v>9.9999999999997868E-2</c:v>
                </c:pt>
                <c:pt idx="35">
                  <c:v>-3.0000000000000071</c:v>
                </c:pt>
                <c:pt idx="36">
                  <c:v>-0.89999999999999858</c:v>
                </c:pt>
                <c:pt idx="37">
                  <c:v>0.60000000000000497</c:v>
                </c:pt>
                <c:pt idx="38">
                  <c:v>0.59999999999998721</c:v>
                </c:pt>
                <c:pt idx="39">
                  <c:v>0.2000000000000135</c:v>
                </c:pt>
                <c:pt idx="40">
                  <c:v>0</c:v>
                </c:pt>
                <c:pt idx="41">
                  <c:v>-2.7000000000000135</c:v>
                </c:pt>
                <c:pt idx="42">
                  <c:v>0.2000000000000135</c:v>
                </c:pt>
                <c:pt idx="43">
                  <c:v>2.2999999999999865</c:v>
                </c:pt>
                <c:pt idx="44">
                  <c:v>0.2000000000000135</c:v>
                </c:pt>
                <c:pt idx="45">
                  <c:v>-2.5999999999999979</c:v>
                </c:pt>
                <c:pt idx="46">
                  <c:v>-3.4000000000000163</c:v>
                </c:pt>
                <c:pt idx="47">
                  <c:v>2.9000000000000092</c:v>
                </c:pt>
                <c:pt idx="48">
                  <c:v>0.39999999999999147</c:v>
                </c:pt>
                <c:pt idx="49">
                  <c:v>2.0000000000000107</c:v>
                </c:pt>
                <c:pt idx="50">
                  <c:v>1.9999999999999929</c:v>
                </c:pt>
                <c:pt idx="51">
                  <c:v>-0.29999999999999361</c:v>
                </c:pt>
                <c:pt idx="52">
                  <c:v>-3.5999999999999943</c:v>
                </c:pt>
                <c:pt idx="53">
                  <c:v>1.3999999999999879</c:v>
                </c:pt>
                <c:pt idx="54">
                  <c:v>3.100000000000005</c:v>
                </c:pt>
                <c:pt idx="55">
                  <c:v>-2.9000000000000092</c:v>
                </c:pt>
                <c:pt idx="56">
                  <c:v>2.3000000000000043</c:v>
                </c:pt>
                <c:pt idx="57">
                  <c:v>2.5999999999999979</c:v>
                </c:pt>
                <c:pt idx="58">
                  <c:v>0.80000000000000071</c:v>
                </c:pt>
                <c:pt idx="59">
                  <c:v>0.89999999999999858</c:v>
                </c:pt>
                <c:pt idx="60">
                  <c:v>-0.29999999999999361</c:v>
                </c:pt>
                <c:pt idx="61">
                  <c:v>-2.4000000000000021</c:v>
                </c:pt>
                <c:pt idx="62">
                  <c:v>2.6999999999999957</c:v>
                </c:pt>
                <c:pt idx="63">
                  <c:v>1.6000000000000014</c:v>
                </c:pt>
                <c:pt idx="64">
                  <c:v>1.3000000000000078</c:v>
                </c:pt>
                <c:pt idx="65">
                  <c:v>-0.80000000000000071</c:v>
                </c:pt>
                <c:pt idx="66">
                  <c:v>2.3000000000000043</c:v>
                </c:pt>
                <c:pt idx="67">
                  <c:v>2.6999999999999957</c:v>
                </c:pt>
                <c:pt idx="68">
                  <c:v>-2.1000000000000085</c:v>
                </c:pt>
                <c:pt idx="69">
                  <c:v>-4.1000000000000014</c:v>
                </c:pt>
                <c:pt idx="70">
                  <c:v>-2.0999999999999908</c:v>
                </c:pt>
                <c:pt idx="71">
                  <c:v>-1.9999999999999929</c:v>
                </c:pt>
                <c:pt idx="72">
                  <c:v>4.4999999999999929</c:v>
                </c:pt>
                <c:pt idx="73">
                  <c:v>-0.89999999999999858</c:v>
                </c:pt>
                <c:pt idx="74">
                  <c:v>2.8999999999999915</c:v>
                </c:pt>
                <c:pt idx="75">
                  <c:v>1.5000000000000036</c:v>
                </c:pt>
                <c:pt idx="76">
                  <c:v>1.3000000000000078</c:v>
                </c:pt>
                <c:pt idx="77">
                  <c:v>-3.3999999999999986</c:v>
                </c:pt>
                <c:pt idx="78">
                  <c:v>-0.80000000000000071</c:v>
                </c:pt>
                <c:pt idx="79">
                  <c:v>1.6000000000000014</c:v>
                </c:pt>
                <c:pt idx="80">
                  <c:v>2.3999999999999844</c:v>
                </c:pt>
                <c:pt idx="81">
                  <c:v>1.6000000000000014</c:v>
                </c:pt>
                <c:pt idx="82">
                  <c:v>-2.8999999999999915</c:v>
                </c:pt>
                <c:pt idx="83">
                  <c:v>-0.60000000000000497</c:v>
                </c:pt>
                <c:pt idx="84">
                  <c:v>0.40000000000000924</c:v>
                </c:pt>
                <c:pt idx="85">
                  <c:v>-4.9000000000000021</c:v>
                </c:pt>
                <c:pt idx="86">
                  <c:v>-0.99999999999999645</c:v>
                </c:pt>
                <c:pt idx="87">
                  <c:v>8.0999999999999872</c:v>
                </c:pt>
                <c:pt idx="88">
                  <c:v>-3.3999999999999986</c:v>
                </c:pt>
                <c:pt idx="89">
                  <c:v>-2.1999999999999886</c:v>
                </c:pt>
                <c:pt idx="90">
                  <c:v>2.7999999999999936</c:v>
                </c:pt>
                <c:pt idx="91">
                  <c:v>2.4000000000000021</c:v>
                </c:pt>
                <c:pt idx="92">
                  <c:v>9.9999999999997868E-2</c:v>
                </c:pt>
                <c:pt idx="93">
                  <c:v>-0.89999999999999858</c:v>
                </c:pt>
                <c:pt idx="94">
                  <c:v>3.2000000000000028</c:v>
                </c:pt>
                <c:pt idx="95">
                  <c:v>1.0999999999999943</c:v>
                </c:pt>
                <c:pt idx="96">
                  <c:v>-8.100000000000005</c:v>
                </c:pt>
                <c:pt idx="97">
                  <c:v>-1.0999999999999943</c:v>
                </c:pt>
                <c:pt idx="98">
                  <c:v>2.3000000000000043</c:v>
                </c:pt>
                <c:pt idx="99">
                  <c:v>-1.5000000000000036</c:v>
                </c:pt>
                <c:pt idx="100">
                  <c:v>-0.70000000000000284</c:v>
                </c:pt>
                <c:pt idx="101">
                  <c:v>-5.600000000000005</c:v>
                </c:pt>
                <c:pt idx="102">
                  <c:v>-1.4999999999999858</c:v>
                </c:pt>
                <c:pt idx="103">
                  <c:v>2.3999999999999844</c:v>
                </c:pt>
                <c:pt idx="104">
                  <c:v>-3.9999999999999858</c:v>
                </c:pt>
                <c:pt idx="105">
                  <c:v>0.59999999999998721</c:v>
                </c:pt>
                <c:pt idx="106">
                  <c:v>1.1000000000000121</c:v>
                </c:pt>
                <c:pt idx="107">
                  <c:v>-1.1000000000000121</c:v>
                </c:pt>
                <c:pt idx="108">
                  <c:v>-0.19999999999999574</c:v>
                </c:pt>
                <c:pt idx="109">
                  <c:v>-4.1000000000000014</c:v>
                </c:pt>
                <c:pt idx="110">
                  <c:v>-2.7999999999999936</c:v>
                </c:pt>
                <c:pt idx="111">
                  <c:v>-0.70000000000000284</c:v>
                </c:pt>
                <c:pt idx="112">
                  <c:v>2.3000000000000043</c:v>
                </c:pt>
                <c:pt idx="113">
                  <c:v>-0.50000000000000711</c:v>
                </c:pt>
                <c:pt idx="114">
                  <c:v>-2.1999999999999886</c:v>
                </c:pt>
                <c:pt idx="115">
                  <c:v>-2.5</c:v>
                </c:pt>
                <c:pt idx="116">
                  <c:v>-0.60000000000000497</c:v>
                </c:pt>
                <c:pt idx="117">
                  <c:v>-3.7000000000000099</c:v>
                </c:pt>
                <c:pt idx="118">
                  <c:v>0.50000000000000711</c:v>
                </c:pt>
                <c:pt idx="119">
                  <c:v>-1.3000000000000078</c:v>
                </c:pt>
                <c:pt idx="120">
                  <c:v>-1.4999999999999858</c:v>
                </c:pt>
                <c:pt idx="121">
                  <c:v>-0.40000000000000924</c:v>
                </c:pt>
                <c:pt idx="122">
                  <c:v>0.99999999999999645</c:v>
                </c:pt>
                <c:pt idx="123">
                  <c:v>0.89999999999999858</c:v>
                </c:pt>
                <c:pt idx="124">
                  <c:v>-3.0999999999999872</c:v>
                </c:pt>
                <c:pt idx="125">
                  <c:v>0</c:v>
                </c:pt>
                <c:pt idx="126">
                  <c:v>0.49999999999998934</c:v>
                </c:pt>
                <c:pt idx="127">
                  <c:v>-3.5999999999999943</c:v>
                </c:pt>
                <c:pt idx="128">
                  <c:v>-1.0999999999999943</c:v>
                </c:pt>
                <c:pt idx="129">
                  <c:v>1.2999999999999901</c:v>
                </c:pt>
                <c:pt idx="130">
                  <c:v>1.4000000000000057</c:v>
                </c:pt>
                <c:pt idx="131">
                  <c:v>-0.50000000000000711</c:v>
                </c:pt>
                <c:pt idx="132">
                  <c:v>-8.3000000000000007</c:v>
                </c:pt>
                <c:pt idx="133">
                  <c:v>-3.5999999999999943</c:v>
                </c:pt>
                <c:pt idx="134">
                  <c:v>2.2000000000000064</c:v>
                </c:pt>
                <c:pt idx="135">
                  <c:v>0.99999999999999645</c:v>
                </c:pt>
                <c:pt idx="136">
                  <c:v>-0.19999999999999574</c:v>
                </c:pt>
                <c:pt idx="137">
                  <c:v>-0.10000000000001563</c:v>
                </c:pt>
                <c:pt idx="138">
                  <c:v>4.0000000000000036</c:v>
                </c:pt>
                <c:pt idx="139">
                  <c:v>-0.70000000000000284</c:v>
                </c:pt>
                <c:pt idx="140">
                  <c:v>-0.99999999999999645</c:v>
                </c:pt>
                <c:pt idx="141">
                  <c:v>-2.5999999999999979</c:v>
                </c:pt>
                <c:pt idx="142">
                  <c:v>-0.19999999999999574</c:v>
                </c:pt>
                <c:pt idx="143">
                  <c:v>0.29999999999999361</c:v>
                </c:pt>
                <c:pt idx="144">
                  <c:v>-1.5000000000000036</c:v>
                </c:pt>
                <c:pt idx="145">
                  <c:v>0.40000000000000924</c:v>
                </c:pt>
                <c:pt idx="146">
                  <c:v>9.9999999999997868E-2</c:v>
                </c:pt>
                <c:pt idx="147">
                  <c:v>0.29999999999999361</c:v>
                </c:pt>
                <c:pt idx="148">
                  <c:v>2.1000000000000085</c:v>
                </c:pt>
                <c:pt idx="149">
                  <c:v>-1.7999999999999972</c:v>
                </c:pt>
                <c:pt idx="150">
                  <c:v>7.6999999999999957</c:v>
                </c:pt>
                <c:pt idx="151">
                  <c:v>-0.99999999999999645</c:v>
                </c:pt>
                <c:pt idx="152">
                  <c:v>1.6000000000000014</c:v>
                </c:pt>
                <c:pt idx="153">
                  <c:v>1.6000000000000014</c:v>
                </c:pt>
                <c:pt idx="154">
                  <c:v>0.19999999999999574</c:v>
                </c:pt>
                <c:pt idx="155">
                  <c:v>3.3000000000000007</c:v>
                </c:pt>
                <c:pt idx="156">
                  <c:v>2.1999999999999886</c:v>
                </c:pt>
                <c:pt idx="157">
                  <c:v>2.9000000000000092</c:v>
                </c:pt>
                <c:pt idx="158">
                  <c:v>-1.6999999999999993</c:v>
                </c:pt>
                <c:pt idx="159">
                  <c:v>9.9999999999997868E-2</c:v>
                </c:pt>
                <c:pt idx="160">
                  <c:v>-9.9999999999997868E-2</c:v>
                </c:pt>
                <c:pt idx="161">
                  <c:v>1.5000000000000036</c:v>
                </c:pt>
                <c:pt idx="162">
                  <c:v>1.5000000000000036</c:v>
                </c:pt>
                <c:pt idx="163">
                  <c:v>-0.70000000000000284</c:v>
                </c:pt>
                <c:pt idx="164">
                  <c:v>0.89999999999999858</c:v>
                </c:pt>
                <c:pt idx="165">
                  <c:v>1.899999999999995</c:v>
                </c:pt>
                <c:pt idx="166">
                  <c:v>0.60000000000000497</c:v>
                </c:pt>
                <c:pt idx="167">
                  <c:v>0.29999999999999361</c:v>
                </c:pt>
                <c:pt idx="168">
                  <c:v>2.7999999999999936</c:v>
                </c:pt>
                <c:pt idx="169">
                  <c:v>2.2000000000000064</c:v>
                </c:pt>
                <c:pt idx="170">
                  <c:v>0.89999999999999858</c:v>
                </c:pt>
                <c:pt idx="171">
                  <c:v>0.89999999999999858</c:v>
                </c:pt>
                <c:pt idx="172">
                  <c:v>-2.4000000000000021</c:v>
                </c:pt>
                <c:pt idx="173">
                  <c:v>0.60000000000000497</c:v>
                </c:pt>
                <c:pt idx="174">
                  <c:v>-0.89999999999999858</c:v>
                </c:pt>
                <c:pt idx="175">
                  <c:v>1.0999999999999943</c:v>
                </c:pt>
                <c:pt idx="176">
                  <c:v>2.3000000000000043</c:v>
                </c:pt>
                <c:pt idx="177">
                  <c:v>-0.89999999999999858</c:v>
                </c:pt>
                <c:pt idx="178">
                  <c:v>-1.7999999999999972</c:v>
                </c:pt>
                <c:pt idx="179">
                  <c:v>1.7999999999999972</c:v>
                </c:pt>
                <c:pt idx="180">
                  <c:v>-0.99999999999999645</c:v>
                </c:pt>
                <c:pt idx="181">
                  <c:v>0.19999999999999574</c:v>
                </c:pt>
                <c:pt idx="182">
                  <c:v>-9.9999999999997868E-2</c:v>
                </c:pt>
                <c:pt idx="183">
                  <c:v>0</c:v>
                </c:pt>
                <c:pt idx="184">
                  <c:v>0.70000000000000284</c:v>
                </c:pt>
                <c:pt idx="185">
                  <c:v>0</c:v>
                </c:pt>
                <c:pt idx="186">
                  <c:v>9.9999999999997868E-2</c:v>
                </c:pt>
                <c:pt idx="187">
                  <c:v>-1.0999999999999943</c:v>
                </c:pt>
                <c:pt idx="188">
                  <c:v>0.80000000000000071</c:v>
                </c:pt>
                <c:pt idx="189">
                  <c:v>2.5</c:v>
                </c:pt>
                <c:pt idx="190">
                  <c:v>-1.6000000000000014</c:v>
                </c:pt>
                <c:pt idx="191">
                  <c:v>-0.80000000000000071</c:v>
                </c:pt>
                <c:pt idx="192">
                  <c:v>-1.6000000000000014</c:v>
                </c:pt>
                <c:pt idx="193">
                  <c:v>-0.99999999999999645</c:v>
                </c:pt>
                <c:pt idx="194">
                  <c:v>1.9999999999999929</c:v>
                </c:pt>
                <c:pt idx="195">
                  <c:v>2.5999999999999979</c:v>
                </c:pt>
                <c:pt idx="196">
                  <c:v>0.80000000000000071</c:v>
                </c:pt>
                <c:pt idx="197">
                  <c:v>-1.5000000000000036</c:v>
                </c:pt>
                <c:pt idx="198">
                  <c:v>1.3000000000000078</c:v>
                </c:pt>
                <c:pt idx="199">
                  <c:v>-2.3000000000000043</c:v>
                </c:pt>
                <c:pt idx="200">
                  <c:v>-0.60000000000000497</c:v>
                </c:pt>
                <c:pt idx="201">
                  <c:v>0.60000000000000497</c:v>
                </c:pt>
                <c:pt idx="202">
                  <c:v>2.6999999999999957</c:v>
                </c:pt>
                <c:pt idx="203">
                  <c:v>-9.9999999999997868E-2</c:v>
                </c:pt>
                <c:pt idx="204">
                  <c:v>-1.1999999999999922</c:v>
                </c:pt>
                <c:pt idx="205">
                  <c:v>0.59999999999998721</c:v>
                </c:pt>
                <c:pt idx="206">
                  <c:v>-1.4999999999999858</c:v>
                </c:pt>
                <c:pt idx="207">
                  <c:v>-2.8000000000000114</c:v>
                </c:pt>
                <c:pt idx="208">
                  <c:v>-1.1999999999999922</c:v>
                </c:pt>
                <c:pt idx="209">
                  <c:v>-1.6999999999999993</c:v>
                </c:pt>
                <c:pt idx="210">
                  <c:v>0.99999999999999645</c:v>
                </c:pt>
                <c:pt idx="211">
                  <c:v>-0.70000000000000284</c:v>
                </c:pt>
                <c:pt idx="212">
                  <c:v>9.9999999999997868E-2</c:v>
                </c:pt>
                <c:pt idx="213">
                  <c:v>-1.899999999999995</c:v>
                </c:pt>
                <c:pt idx="214">
                  <c:v>-0.89999999999999858</c:v>
                </c:pt>
                <c:pt idx="215">
                  <c:v>0.50000000000000711</c:v>
                </c:pt>
                <c:pt idx="216">
                  <c:v>-0.10000000000001563</c:v>
                </c:pt>
                <c:pt idx="217">
                  <c:v>-0.80000000000000071</c:v>
                </c:pt>
                <c:pt idx="218">
                  <c:v>1.6000000000000014</c:v>
                </c:pt>
                <c:pt idx="219">
                  <c:v>-1.2999999999999901</c:v>
                </c:pt>
                <c:pt idx="220">
                  <c:v>-0.70000000000000284</c:v>
                </c:pt>
                <c:pt idx="221">
                  <c:v>0</c:v>
                </c:pt>
                <c:pt idx="222">
                  <c:v>-1.5000000000000036</c:v>
                </c:pt>
                <c:pt idx="223">
                  <c:v>2.3000000000000043</c:v>
                </c:pt>
                <c:pt idx="224">
                  <c:v>1.4000000000000057</c:v>
                </c:pt>
                <c:pt idx="225">
                  <c:v>0.29999999999999361</c:v>
                </c:pt>
                <c:pt idx="226">
                  <c:v>-0.99999999999999645</c:v>
                </c:pt>
                <c:pt idx="227">
                  <c:v>-9.9999999999997868E-2</c:v>
                </c:pt>
                <c:pt idx="228">
                  <c:v>2.5999999999999979</c:v>
                </c:pt>
                <c:pt idx="229">
                  <c:v>1.1999999999999922</c:v>
                </c:pt>
                <c:pt idx="230">
                  <c:v>-0.29999999999999361</c:v>
                </c:pt>
                <c:pt idx="231">
                  <c:v>-0.30000000000001137</c:v>
                </c:pt>
                <c:pt idx="232">
                  <c:v>-2.0999999999999908</c:v>
                </c:pt>
                <c:pt idx="233">
                  <c:v>0.39999999999999147</c:v>
                </c:pt>
                <c:pt idx="234">
                  <c:v>2.5</c:v>
                </c:pt>
                <c:pt idx="235">
                  <c:v>-1.2999999999999901</c:v>
                </c:pt>
                <c:pt idx="236">
                  <c:v>-0.50000000000000711</c:v>
                </c:pt>
                <c:pt idx="237">
                  <c:v>0.80000000000000071</c:v>
                </c:pt>
                <c:pt idx="238">
                  <c:v>-0.49999999999998934</c:v>
                </c:pt>
                <c:pt idx="239">
                  <c:v>-1.5000000000000036</c:v>
                </c:pt>
                <c:pt idx="240">
                  <c:v>-4.1000000000000014</c:v>
                </c:pt>
                <c:pt idx="241">
                  <c:v>0.80000000000000071</c:v>
                </c:pt>
                <c:pt idx="242">
                  <c:v>0.70000000000000284</c:v>
                </c:pt>
                <c:pt idx="243">
                  <c:v>1.2999999999999901</c:v>
                </c:pt>
                <c:pt idx="244">
                  <c:v>0.89999999999999858</c:v>
                </c:pt>
                <c:pt idx="245">
                  <c:v>-0.59999999999998721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2-4234-92BA-1C107B131BF9}"/>
            </c:ext>
          </c:extLst>
        </c:ser>
        <c:ser>
          <c:idx val="1"/>
          <c:order val="1"/>
          <c:tx>
            <c:v>Modified calculation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'gw-60'!$R$3:$R$248</c:f>
              <c:numCache>
                <c:formatCode>General</c:formatCode>
                <c:ptCount val="246"/>
                <c:pt idx="3" formatCode="0.0">
                  <c:v>0.44000000000000128</c:v>
                </c:pt>
                <c:pt idx="4" formatCode="0.0">
                  <c:v>0.48000000000000043</c:v>
                </c:pt>
                <c:pt idx="5" formatCode="0.0">
                  <c:v>0.4399999999999995</c:v>
                </c:pt>
                <c:pt idx="6" formatCode="0.0">
                  <c:v>0.46999999999999886</c:v>
                </c:pt>
                <c:pt idx="7" formatCode="0.0">
                  <c:v>0.3100000000000005</c:v>
                </c:pt>
                <c:pt idx="8" formatCode="0.0">
                  <c:v>0.50999999999999979</c:v>
                </c:pt>
                <c:pt idx="9" formatCode="0.0">
                  <c:v>0.45999999999999908</c:v>
                </c:pt>
                <c:pt idx="10" formatCode="0.0">
                  <c:v>0.62999999999999901</c:v>
                </c:pt>
                <c:pt idx="11" formatCode="0.0">
                  <c:v>0.40000000000000036</c:v>
                </c:pt>
                <c:pt idx="12" formatCode="0.0">
                  <c:v>0.54000000000000092</c:v>
                </c:pt>
                <c:pt idx="13" formatCode="0.0">
                  <c:v>0.40000000000000036</c:v>
                </c:pt>
                <c:pt idx="14" formatCode="0.0">
                  <c:v>0.37000000000000099</c:v>
                </c:pt>
                <c:pt idx="15" formatCode="0.0">
                  <c:v>0.62000000000000099</c:v>
                </c:pt>
                <c:pt idx="16" formatCode="0.0">
                  <c:v>0.17999999999999972</c:v>
                </c:pt>
                <c:pt idx="17" formatCode="0.0">
                  <c:v>0.17999999999999972</c:v>
                </c:pt>
                <c:pt idx="18" formatCode="0.0">
                  <c:v>-0.12000000000000099</c:v>
                </c:pt>
                <c:pt idx="19" formatCode="0.0">
                  <c:v>0.14000000000000057</c:v>
                </c:pt>
                <c:pt idx="20" formatCode="0.0">
                  <c:v>0.25</c:v>
                </c:pt>
                <c:pt idx="21" formatCode="0.0">
                  <c:v>3.9999999999999147E-2</c:v>
                </c:pt>
                <c:pt idx="22" formatCode="0.0">
                  <c:v>-0.25999999999999979</c:v>
                </c:pt>
                <c:pt idx="23" formatCode="0.0">
                  <c:v>0.16000000000000014</c:v>
                </c:pt>
                <c:pt idx="24" formatCode="0.0">
                  <c:v>0.33000000000000007</c:v>
                </c:pt>
                <c:pt idx="25" formatCode="0.0">
                  <c:v>0.36999999999999922</c:v>
                </c:pt>
                <c:pt idx="26" formatCode="0.0">
                  <c:v>-1.9999999999999574E-2</c:v>
                </c:pt>
                <c:pt idx="27" formatCode="0.0">
                  <c:v>-5.0000000000000711E-2</c:v>
                </c:pt>
                <c:pt idx="28" formatCode="0.0">
                  <c:v>0.12000000000000099</c:v>
                </c:pt>
                <c:pt idx="29" formatCode="0.0">
                  <c:v>6.0000000000000497E-2</c:v>
                </c:pt>
                <c:pt idx="30" formatCode="0.0">
                  <c:v>9.0000000000001634E-2</c:v>
                </c:pt>
                <c:pt idx="31" formatCode="0.0">
                  <c:v>5.0000000000000711E-2</c:v>
                </c:pt>
                <c:pt idx="32" formatCode="0.0">
                  <c:v>-4.0000000000000924E-2</c:v>
                </c:pt>
                <c:pt idx="33" formatCode="0.0">
                  <c:v>-0.20999999999999908</c:v>
                </c:pt>
                <c:pt idx="34" formatCode="0.0">
                  <c:v>9.9999999999997868E-3</c:v>
                </c:pt>
                <c:pt idx="35" formatCode="0.0">
                  <c:v>-0.21000000000000085</c:v>
                </c:pt>
                <c:pt idx="36" formatCode="0.0">
                  <c:v>-0.24000000000000021</c:v>
                </c:pt>
                <c:pt idx="37" formatCode="0.0">
                  <c:v>-0.25</c:v>
                </c:pt>
                <c:pt idx="38" formatCode="0.0">
                  <c:v>-0.22000000000000064</c:v>
                </c:pt>
                <c:pt idx="39" formatCode="0.0">
                  <c:v>-0.10999999999999943</c:v>
                </c:pt>
                <c:pt idx="40" formatCode="0.0">
                  <c:v>5.9999999999998721E-2</c:v>
                </c:pt>
                <c:pt idx="41" formatCode="0.0">
                  <c:v>2.000000000000135E-2</c:v>
                </c:pt>
                <c:pt idx="42" formatCode="0.0">
                  <c:v>-0.25999999999999979</c:v>
                </c:pt>
                <c:pt idx="43" formatCode="0.0">
                  <c:v>-0.60000000000000142</c:v>
                </c:pt>
                <c:pt idx="44" formatCode="0.0">
                  <c:v>-3.9999999999999147E-2</c:v>
                </c:pt>
                <c:pt idx="45" formatCode="0.0">
                  <c:v>-2.000000000000135E-2</c:v>
                </c:pt>
                <c:pt idx="46" formatCode="0.0">
                  <c:v>-4.9999999999998934E-2</c:v>
                </c:pt>
                <c:pt idx="47" formatCode="0.0">
                  <c:v>0.12999999999999901</c:v>
                </c:pt>
                <c:pt idx="48" formatCode="0.0">
                  <c:v>0.35999999999999943</c:v>
                </c:pt>
                <c:pt idx="49" formatCode="0.0">
                  <c:v>0.34000000000000163</c:v>
                </c:pt>
                <c:pt idx="50" formatCode="0.0">
                  <c:v>0.1899999999999995</c:v>
                </c:pt>
                <c:pt idx="51" formatCode="0.0">
                  <c:v>0.46000000000000085</c:v>
                </c:pt>
                <c:pt idx="52" formatCode="0.0">
                  <c:v>-3.0000000000001137E-2</c:v>
                </c:pt>
                <c:pt idx="53" formatCode="0.0">
                  <c:v>0</c:v>
                </c:pt>
                <c:pt idx="54" formatCode="0.0">
                  <c:v>0.28999999999999915</c:v>
                </c:pt>
                <c:pt idx="55" formatCode="0.0">
                  <c:v>0.72999999999999865</c:v>
                </c:pt>
                <c:pt idx="56" formatCode="0.0">
                  <c:v>0.67999999999999972</c:v>
                </c:pt>
                <c:pt idx="57" formatCode="0.0">
                  <c:v>0.33999999999999986</c:v>
                </c:pt>
                <c:pt idx="58" formatCode="0.0">
                  <c:v>0.39000000000000057</c:v>
                </c:pt>
                <c:pt idx="59" formatCode="0.0">
                  <c:v>0.42999999999999972</c:v>
                </c:pt>
                <c:pt idx="60" formatCode="0.0">
                  <c:v>0.33000000000000007</c:v>
                </c:pt>
                <c:pt idx="61" formatCode="0.0">
                  <c:v>0.38000000000000078</c:v>
                </c:pt>
                <c:pt idx="62" formatCode="0.0">
                  <c:v>0.21000000000000085</c:v>
                </c:pt>
                <c:pt idx="63" formatCode="0.0">
                  <c:v>0.47000000000000064</c:v>
                </c:pt>
                <c:pt idx="64" formatCode="0.0">
                  <c:v>0.98000000000000043</c:v>
                </c:pt>
                <c:pt idx="65" formatCode="0.0">
                  <c:v>0.5</c:v>
                </c:pt>
                <c:pt idx="66" formatCode="0.0">
                  <c:v>-7.0000000000000284E-2</c:v>
                </c:pt>
                <c:pt idx="67" formatCode="0.0">
                  <c:v>-0.41000000000000014</c:v>
                </c:pt>
                <c:pt idx="68" formatCode="0.0">
                  <c:v>-0.52999999999999936</c:v>
                </c:pt>
                <c:pt idx="69" formatCode="0.0">
                  <c:v>-0.3100000000000005</c:v>
                </c:pt>
                <c:pt idx="70" formatCode="0.0">
                  <c:v>-0.66999999999999993</c:v>
                </c:pt>
                <c:pt idx="71" formatCode="0.0">
                  <c:v>-0.16999999999999993</c:v>
                </c:pt>
                <c:pt idx="72" formatCode="0.0">
                  <c:v>0.39000000000000057</c:v>
                </c:pt>
                <c:pt idx="73" formatCode="0.0">
                  <c:v>0.73000000000000043</c:v>
                </c:pt>
                <c:pt idx="74" formatCode="0.0">
                  <c:v>0.58999999999999986</c:v>
                </c:pt>
                <c:pt idx="75" formatCode="0.0">
                  <c:v>6.0000000000000497E-2</c:v>
                </c:pt>
                <c:pt idx="76" formatCode="0.0">
                  <c:v>0.3100000000000005</c:v>
                </c:pt>
                <c:pt idx="77" formatCode="0.0">
                  <c:v>0.25999999999999979</c:v>
                </c:pt>
                <c:pt idx="78" formatCode="0.0">
                  <c:v>0.26999999999999957</c:v>
                </c:pt>
                <c:pt idx="79" formatCode="0.0">
                  <c:v>-0.15000000000000036</c:v>
                </c:pt>
                <c:pt idx="80" formatCode="0.0">
                  <c:v>0.12999999999999901</c:v>
                </c:pt>
                <c:pt idx="81" formatCode="0.0">
                  <c:v>0.25</c:v>
                </c:pt>
                <c:pt idx="82" formatCode="0.0">
                  <c:v>-0.40000000000000036</c:v>
                </c:pt>
                <c:pt idx="83" formatCode="0.0">
                  <c:v>-0.73999999999999844</c:v>
                </c:pt>
                <c:pt idx="84" formatCode="0.0">
                  <c:v>-8.9999999999999858E-2</c:v>
                </c:pt>
                <c:pt idx="85" formatCode="0.0">
                  <c:v>-0.14000000000000057</c:v>
                </c:pt>
                <c:pt idx="86" formatCode="0.0">
                  <c:v>-0.29999999999999893</c:v>
                </c:pt>
                <c:pt idx="87" formatCode="0.0">
                  <c:v>-6.0000000000000497E-2</c:v>
                </c:pt>
                <c:pt idx="88" formatCode="0.0">
                  <c:v>0.66999999999999993</c:v>
                </c:pt>
                <c:pt idx="89" formatCode="0.0">
                  <c:v>0.77999999999999936</c:v>
                </c:pt>
                <c:pt idx="90" formatCode="0.0">
                  <c:v>-0.11999999999999922</c:v>
                </c:pt>
                <c:pt idx="91" formatCode="0.0">
                  <c:v>0.54000000000000092</c:v>
                </c:pt>
                <c:pt idx="92" formatCode="0.0">
                  <c:v>0.86999999999999922</c:v>
                </c:pt>
                <c:pt idx="93" formatCode="0.0">
                  <c:v>-0.22000000000000064</c:v>
                </c:pt>
                <c:pt idx="94" formatCode="0.0">
                  <c:v>-0.57000000000000028</c:v>
                </c:pt>
                <c:pt idx="95" formatCode="0.0">
                  <c:v>-0.34999999999999964</c:v>
                </c:pt>
                <c:pt idx="96" formatCode="0.0">
                  <c:v>-0.41000000000000014</c:v>
                </c:pt>
                <c:pt idx="97" formatCode="0.0">
                  <c:v>-0.80000000000000071</c:v>
                </c:pt>
                <c:pt idx="98" formatCode="0.0">
                  <c:v>-1.4700000000000006</c:v>
                </c:pt>
                <c:pt idx="99" formatCode="0.0">
                  <c:v>-0.80999999999999872</c:v>
                </c:pt>
                <c:pt idx="100" formatCode="0.0">
                  <c:v>-0.46000000000000085</c:v>
                </c:pt>
                <c:pt idx="101" formatCode="0.0">
                  <c:v>-1.0899999999999999</c:v>
                </c:pt>
                <c:pt idx="102" formatCode="0.0">
                  <c:v>-0.88000000000000078</c:v>
                </c:pt>
                <c:pt idx="103" formatCode="0.0">
                  <c:v>-0.69999999999999929</c:v>
                </c:pt>
                <c:pt idx="104" formatCode="0.0">
                  <c:v>-0.25</c:v>
                </c:pt>
                <c:pt idx="105" formatCode="0.0">
                  <c:v>-0.12000000000000099</c:v>
                </c:pt>
                <c:pt idx="106" formatCode="0.0">
                  <c:v>-0.76999999999999957</c:v>
                </c:pt>
                <c:pt idx="107" formatCode="0.0">
                  <c:v>-0.65000000000000036</c:v>
                </c:pt>
                <c:pt idx="108" formatCode="0.0">
                  <c:v>-0.77999999999999936</c:v>
                </c:pt>
                <c:pt idx="109" formatCode="0.0">
                  <c:v>-0.66000000000000014</c:v>
                </c:pt>
                <c:pt idx="110" formatCode="0.0">
                  <c:v>-0.59999999999999964</c:v>
                </c:pt>
                <c:pt idx="111" formatCode="0.0">
                  <c:v>-0.79999999999999893</c:v>
                </c:pt>
                <c:pt idx="112" formatCode="0.0">
                  <c:v>-0.63999999999999879</c:v>
                </c:pt>
                <c:pt idx="113" formatCode="0.0">
                  <c:v>-0.41999999999999993</c:v>
                </c:pt>
                <c:pt idx="114" formatCode="0.0">
                  <c:v>-0.72000000000000064</c:v>
                </c:pt>
                <c:pt idx="115" formatCode="0.0">
                  <c:v>-0.90000000000000036</c:v>
                </c:pt>
                <c:pt idx="116" formatCode="0.0">
                  <c:v>-0.98000000000000043</c:v>
                </c:pt>
                <c:pt idx="117" formatCode="0.0">
                  <c:v>-0.91000000000000014</c:v>
                </c:pt>
                <c:pt idx="118" formatCode="0.0">
                  <c:v>-0.70000000000000107</c:v>
                </c:pt>
                <c:pt idx="119" formatCode="0.0">
                  <c:v>-0.54000000000000092</c:v>
                </c:pt>
                <c:pt idx="120" formatCode="0.0">
                  <c:v>-8.0000000000000071E-2</c:v>
                </c:pt>
                <c:pt idx="121" formatCode="0.0">
                  <c:v>-0.4399999999999995</c:v>
                </c:pt>
                <c:pt idx="122" formatCode="0.0">
                  <c:v>-0.30999999999999872</c:v>
                </c:pt>
                <c:pt idx="123" formatCode="0.0">
                  <c:v>-0.11000000000000121</c:v>
                </c:pt>
                <c:pt idx="124" formatCode="0.0">
                  <c:v>-0.42999999999999972</c:v>
                </c:pt>
                <c:pt idx="125" formatCode="0.0">
                  <c:v>-0.63999999999999879</c:v>
                </c:pt>
                <c:pt idx="126" formatCode="0.0">
                  <c:v>-0.59999999999999964</c:v>
                </c:pt>
                <c:pt idx="127" formatCode="0.0">
                  <c:v>-0.15000000000000036</c:v>
                </c:pt>
                <c:pt idx="128" formatCode="0.0">
                  <c:v>-0.20000000000000107</c:v>
                </c:pt>
                <c:pt idx="129" formatCode="0.0">
                  <c:v>-1.08</c:v>
                </c:pt>
                <c:pt idx="130" formatCode="0.0">
                  <c:v>-1.08</c:v>
                </c:pt>
                <c:pt idx="131" formatCode="0.0">
                  <c:v>-0.75</c:v>
                </c:pt>
                <c:pt idx="132" formatCode="0.0">
                  <c:v>-0.77999999999999936</c:v>
                </c:pt>
                <c:pt idx="133" formatCode="0.0">
                  <c:v>-0.9399999999999995</c:v>
                </c:pt>
                <c:pt idx="134" formatCode="0.0">
                  <c:v>-0.90000000000000036</c:v>
                </c:pt>
                <c:pt idx="135" formatCode="0.0">
                  <c:v>0.33000000000000007</c:v>
                </c:pt>
                <c:pt idx="136" formatCode="0.0">
                  <c:v>0.61999999999999922</c:v>
                </c:pt>
                <c:pt idx="137" formatCode="0.0">
                  <c:v>0.29999999999999893</c:v>
                </c:pt>
                <c:pt idx="138" formatCode="0.0">
                  <c:v>-6.0000000000000497E-2</c:v>
                </c:pt>
                <c:pt idx="139" formatCode="0.0">
                  <c:v>-6.0000000000000497E-2</c:v>
                </c:pt>
                <c:pt idx="140" formatCode="0.0">
                  <c:v>-1.9999999999999574E-2</c:v>
                </c:pt>
                <c:pt idx="141" formatCode="0.0">
                  <c:v>-0.57000000000000028</c:v>
                </c:pt>
                <c:pt idx="142" formatCode="0.0">
                  <c:v>-0.45999999999999908</c:v>
                </c:pt>
                <c:pt idx="143" formatCode="0.0">
                  <c:v>-0.34999999999999964</c:v>
                </c:pt>
                <c:pt idx="144" formatCode="0.0">
                  <c:v>-6.0000000000000497E-2</c:v>
                </c:pt>
                <c:pt idx="145" formatCode="0.0">
                  <c:v>0.16999999999999993</c:v>
                </c:pt>
                <c:pt idx="146" formatCode="0.0">
                  <c:v>-3.9999999999999147E-2</c:v>
                </c:pt>
                <c:pt idx="147" formatCode="0.0">
                  <c:v>0.88000000000000078</c:v>
                </c:pt>
                <c:pt idx="148" formatCode="0.0">
                  <c:v>0.74000000000000021</c:v>
                </c:pt>
                <c:pt idx="149" formatCode="0.0">
                  <c:v>0.89000000000000057</c:v>
                </c:pt>
                <c:pt idx="150" formatCode="0.0">
                  <c:v>1.0200000000000014</c:v>
                </c:pt>
                <c:pt idx="151" formatCode="0.0">
                  <c:v>0.83000000000000007</c:v>
                </c:pt>
                <c:pt idx="152" formatCode="0.0">
                  <c:v>1.3399999999999999</c:v>
                </c:pt>
                <c:pt idx="153" formatCode="0.0">
                  <c:v>0.78999999999999915</c:v>
                </c:pt>
                <c:pt idx="154" formatCode="0.0">
                  <c:v>1.1799999999999997</c:v>
                </c:pt>
                <c:pt idx="155" formatCode="0.0">
                  <c:v>0.84999999999999964</c:v>
                </c:pt>
                <c:pt idx="156" formatCode="0.0">
                  <c:v>0.69999999999999929</c:v>
                </c:pt>
                <c:pt idx="157" formatCode="0.0">
                  <c:v>0.66999999999999993</c:v>
                </c:pt>
                <c:pt idx="158" formatCode="0.0">
                  <c:v>0.49000000000000021</c:v>
                </c:pt>
                <c:pt idx="159" formatCode="0.0">
                  <c:v>0.42000000000000171</c:v>
                </c:pt>
                <c:pt idx="160" formatCode="0.0">
                  <c:v>6.0000000000000497E-2</c:v>
                </c:pt>
                <c:pt idx="161" formatCode="0.0">
                  <c:v>0.32000000000000028</c:v>
                </c:pt>
                <c:pt idx="162" formatCode="0.0">
                  <c:v>0.5</c:v>
                </c:pt>
                <c:pt idx="163" formatCode="0.0">
                  <c:v>0.57000000000000028</c:v>
                </c:pt>
                <c:pt idx="164" formatCode="0.0">
                  <c:v>0.44999999999999929</c:v>
                </c:pt>
                <c:pt idx="165" formatCode="0.0">
                  <c:v>0.57999999999999829</c:v>
                </c:pt>
                <c:pt idx="166" formatCode="0.0">
                  <c:v>0.86999999999999922</c:v>
                </c:pt>
                <c:pt idx="167" formatCode="0.0">
                  <c:v>0.86999999999999922</c:v>
                </c:pt>
                <c:pt idx="168" formatCode="0.0">
                  <c:v>0.76999999999999957</c:v>
                </c:pt>
                <c:pt idx="169" formatCode="0.0">
                  <c:v>0.46999999999999886</c:v>
                </c:pt>
                <c:pt idx="170" formatCode="0.0">
                  <c:v>0.5</c:v>
                </c:pt>
                <c:pt idx="171" formatCode="0.0">
                  <c:v>0.13000000000000078</c:v>
                </c:pt>
                <c:pt idx="172" formatCode="0.0">
                  <c:v>1.9999999999999574E-2</c:v>
                </c:pt>
                <c:pt idx="173" formatCode="0.0">
                  <c:v>0.16000000000000014</c:v>
                </c:pt>
                <c:pt idx="174" formatCode="0.0">
                  <c:v>-1.9999999999999574E-2</c:v>
                </c:pt>
                <c:pt idx="175" formatCode="0.0">
                  <c:v>4.0000000000000924E-2</c:v>
                </c:pt>
                <c:pt idx="176" formatCode="0.0">
                  <c:v>0.16000000000000014</c:v>
                </c:pt>
                <c:pt idx="177" formatCode="0.0">
                  <c:v>0.15000000000000036</c:v>
                </c:pt>
                <c:pt idx="178" formatCode="0.0">
                  <c:v>6.0000000000000497E-2</c:v>
                </c:pt>
                <c:pt idx="179" formatCode="0.0">
                  <c:v>-0.17999999999999972</c:v>
                </c:pt>
                <c:pt idx="180" formatCode="0.0">
                  <c:v>-8.9999999999999858E-2</c:v>
                </c:pt>
                <c:pt idx="181" formatCode="0.0">
                  <c:v>0.16000000000000014</c:v>
                </c:pt>
                <c:pt idx="182" formatCode="0.0">
                  <c:v>-1.9999999999999574E-2</c:v>
                </c:pt>
                <c:pt idx="183" formatCode="0.0">
                  <c:v>8.9999999999999858E-2</c:v>
                </c:pt>
                <c:pt idx="184" formatCode="0.0">
                  <c:v>-3.9999999999999147E-2</c:v>
                </c:pt>
                <c:pt idx="185" formatCode="0.0">
                  <c:v>5.0000000000000711E-2</c:v>
                </c:pt>
                <c:pt idx="186" formatCode="0.0">
                  <c:v>0.30000000000000071</c:v>
                </c:pt>
                <c:pt idx="187" formatCode="0.0">
                  <c:v>7.0000000000000284E-2</c:v>
                </c:pt>
                <c:pt idx="188" formatCode="0.0">
                  <c:v>-9.9999999999997868E-3</c:v>
                </c:pt>
                <c:pt idx="189" formatCode="0.0">
                  <c:v>-0.17999999999999972</c:v>
                </c:pt>
                <c:pt idx="190" formatCode="0.0">
                  <c:v>-0.16999999999999993</c:v>
                </c:pt>
                <c:pt idx="191" formatCode="0.0">
                  <c:v>-5.0000000000000711E-2</c:v>
                </c:pt>
                <c:pt idx="192" formatCode="0.0">
                  <c:v>-4.0000000000000924E-2</c:v>
                </c:pt>
                <c:pt idx="193" formatCode="0.0">
                  <c:v>0.19999999999999929</c:v>
                </c:pt>
                <c:pt idx="194" formatCode="0.0">
                  <c:v>0.12999999999999901</c:v>
                </c:pt>
                <c:pt idx="195" formatCode="0.0">
                  <c:v>0.41999999999999993</c:v>
                </c:pt>
                <c:pt idx="196" formatCode="0.0">
                  <c:v>0.28999999999999915</c:v>
                </c:pt>
                <c:pt idx="197" formatCode="0.0">
                  <c:v>2.9999999999999361E-2</c:v>
                </c:pt>
                <c:pt idx="198" formatCode="0.0">
                  <c:v>-0.16999999999999993</c:v>
                </c:pt>
                <c:pt idx="199" formatCode="0.0">
                  <c:v>1.9999999999999574E-2</c:v>
                </c:pt>
                <c:pt idx="200" formatCode="0.0">
                  <c:v>0.16000000000000014</c:v>
                </c:pt>
                <c:pt idx="201" formatCode="0.0">
                  <c:v>-8.9999999999999858E-2</c:v>
                </c:pt>
                <c:pt idx="202" formatCode="0.0">
                  <c:v>0.19999999999999929</c:v>
                </c:pt>
                <c:pt idx="203" formatCode="0.0">
                  <c:v>0.11000000000000121</c:v>
                </c:pt>
                <c:pt idx="204" formatCode="0.0">
                  <c:v>-0.23000000000000043</c:v>
                </c:pt>
                <c:pt idx="205" formatCode="0.0">
                  <c:v>-0.61999999999999922</c:v>
                </c:pt>
                <c:pt idx="206" formatCode="0.0">
                  <c:v>-0.77999999999999936</c:v>
                </c:pt>
                <c:pt idx="207" formatCode="0.0">
                  <c:v>-0.5600000000000005</c:v>
                </c:pt>
                <c:pt idx="208" formatCode="0.0">
                  <c:v>-0.6899999999999995</c:v>
                </c:pt>
                <c:pt idx="209" formatCode="0.0">
                  <c:v>-0.53000000000000114</c:v>
                </c:pt>
                <c:pt idx="210" formatCode="0.0">
                  <c:v>-0.4399999999999995</c:v>
                </c:pt>
                <c:pt idx="211" formatCode="0.0">
                  <c:v>-0.41000000000000014</c:v>
                </c:pt>
                <c:pt idx="212" formatCode="0.0">
                  <c:v>-0.1899999999999995</c:v>
                </c:pt>
                <c:pt idx="213" formatCode="0.0">
                  <c:v>-0.30000000000000071</c:v>
                </c:pt>
                <c:pt idx="214" formatCode="0.0">
                  <c:v>-0.3100000000000005</c:v>
                </c:pt>
                <c:pt idx="215" formatCode="0.0">
                  <c:v>-0.16000000000000014</c:v>
                </c:pt>
                <c:pt idx="216" formatCode="0.0">
                  <c:v>-9.9999999999999645E-2</c:v>
                </c:pt>
                <c:pt idx="217" formatCode="0.0">
                  <c:v>-8.0000000000000071E-2</c:v>
                </c:pt>
                <c:pt idx="218" formatCode="0.0">
                  <c:v>-0.13000000000000078</c:v>
                </c:pt>
                <c:pt idx="219" formatCode="0.0">
                  <c:v>-0.26999999999999957</c:v>
                </c:pt>
                <c:pt idx="220" formatCode="0.0">
                  <c:v>4.0000000000000924E-2</c:v>
                </c:pt>
                <c:pt idx="221" formatCode="0.0">
                  <c:v>2.000000000000135E-2</c:v>
                </c:pt>
                <c:pt idx="222" formatCode="0.0">
                  <c:v>0.17999999999999972</c:v>
                </c:pt>
                <c:pt idx="223" formatCode="0.0">
                  <c:v>0.15000000000000036</c:v>
                </c:pt>
                <c:pt idx="224" formatCode="0.0">
                  <c:v>0.14000000000000057</c:v>
                </c:pt>
                <c:pt idx="225" formatCode="0.0">
                  <c:v>0.55000000000000071</c:v>
                </c:pt>
                <c:pt idx="226" formatCode="0.0">
                  <c:v>0.4399999999999995</c:v>
                </c:pt>
                <c:pt idx="227" formatCode="0.0">
                  <c:v>0.26999999999999957</c:v>
                </c:pt>
                <c:pt idx="228" formatCode="0.0">
                  <c:v>0.20999999999999908</c:v>
                </c:pt>
                <c:pt idx="229" formatCode="0.0">
                  <c:v>9.9999999999999645E-2</c:v>
                </c:pt>
                <c:pt idx="230" formatCode="0.0">
                  <c:v>0.14999999999999858</c:v>
                </c:pt>
                <c:pt idx="231" formatCode="0.0">
                  <c:v>0.13999999999999879</c:v>
                </c:pt>
                <c:pt idx="232" formatCode="0.0">
                  <c:v>-0.10999999999999943</c:v>
                </c:pt>
                <c:pt idx="233" formatCode="0.0">
                  <c:v>-0.13000000000000078</c:v>
                </c:pt>
                <c:pt idx="234" formatCode="0.0">
                  <c:v>-1.9999999999999574E-2</c:v>
                </c:pt>
                <c:pt idx="235" formatCode="0.0">
                  <c:v>0.14000000000000057</c:v>
                </c:pt>
                <c:pt idx="236" formatCode="0.0">
                  <c:v>-4.9999999999998934E-2</c:v>
                </c:pt>
                <c:pt idx="237" formatCode="0.0">
                  <c:v>-0.70999999999999908</c:v>
                </c:pt>
                <c:pt idx="238" formatCode="0.0">
                  <c:v>-0.5</c:v>
                </c:pt>
                <c:pt idx="239" formatCode="0.0">
                  <c:v>-0.37999999999999901</c:v>
                </c:pt>
                <c:pt idx="240" formatCode="0.0">
                  <c:v>-0.33000000000000007</c:v>
                </c:pt>
                <c:pt idx="241" formatCode="0.0">
                  <c:v>-0.19000000000000128</c:v>
                </c:pt>
                <c:pt idx="242" formatCode="0.0">
                  <c:v>-9.9999999999999645E-2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2-4234-92BA-1C107B131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(5Hz)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50"/>
        <c:noMultiLvlLbl val="0"/>
      </c:catAx>
      <c:valAx>
        <c:axId val="43578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b="0" i="0" u="sng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GW-60 - Comparing</a:t>
            </a:r>
            <a:r>
              <a:rPr lang="en-GB" baseline="0"/>
              <a:t> acceleration calculations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Existing calculation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'gw-60'!$Q$3:$Q$248</c:f>
              <c:numCache>
                <c:formatCode>0.0</c:formatCode>
                <c:ptCount val="246"/>
                <c:pt idx="1">
                  <c:v>2.0000000000000107</c:v>
                </c:pt>
                <c:pt idx="2">
                  <c:v>1.899999999999995</c:v>
                </c:pt>
                <c:pt idx="3">
                  <c:v>-0.19999999999999574</c:v>
                </c:pt>
                <c:pt idx="4">
                  <c:v>0.49999999999998934</c:v>
                </c:pt>
                <c:pt idx="5">
                  <c:v>-0.99999999999999645</c:v>
                </c:pt>
                <c:pt idx="6">
                  <c:v>1.2000000000000099</c:v>
                </c:pt>
                <c:pt idx="7">
                  <c:v>2.4000000000000021</c:v>
                </c:pt>
                <c:pt idx="8">
                  <c:v>1.4999999999999858</c:v>
                </c:pt>
                <c:pt idx="9">
                  <c:v>9.9999999999997868E-2</c:v>
                </c:pt>
                <c:pt idx="10">
                  <c:v>-1.0999999999999943</c:v>
                </c:pt>
                <c:pt idx="11">
                  <c:v>0.99999999999999645</c:v>
                </c:pt>
                <c:pt idx="12">
                  <c:v>0.70000000000000284</c:v>
                </c:pt>
                <c:pt idx="13">
                  <c:v>4.1000000000000014</c:v>
                </c:pt>
                <c:pt idx="14">
                  <c:v>-0.80000000000000071</c:v>
                </c:pt>
                <c:pt idx="15">
                  <c:v>1.5000000000000036</c:v>
                </c:pt>
                <c:pt idx="16">
                  <c:v>-2.5</c:v>
                </c:pt>
                <c:pt idx="17">
                  <c:v>0.70000000000000284</c:v>
                </c:pt>
                <c:pt idx="18">
                  <c:v>3.2000000000000028</c:v>
                </c:pt>
                <c:pt idx="19">
                  <c:v>-0.30000000000001137</c:v>
                </c:pt>
                <c:pt idx="20">
                  <c:v>-0.80000000000000071</c:v>
                </c:pt>
                <c:pt idx="21">
                  <c:v>-1.5000000000000036</c:v>
                </c:pt>
                <c:pt idx="22">
                  <c:v>0.10000000000001563</c:v>
                </c:pt>
                <c:pt idx="23">
                  <c:v>1.7999999999999972</c:v>
                </c:pt>
                <c:pt idx="24">
                  <c:v>1.0999999999999943</c:v>
                </c:pt>
                <c:pt idx="25">
                  <c:v>-3.3000000000000007</c:v>
                </c:pt>
                <c:pt idx="26">
                  <c:v>3.3999999999999986</c:v>
                </c:pt>
                <c:pt idx="27">
                  <c:v>0.19999999999999574</c:v>
                </c:pt>
                <c:pt idx="28">
                  <c:v>0.50000000000000711</c:v>
                </c:pt>
                <c:pt idx="29">
                  <c:v>-2.0999999999999908</c:v>
                </c:pt>
                <c:pt idx="30">
                  <c:v>0.79999999999998295</c:v>
                </c:pt>
                <c:pt idx="31">
                  <c:v>-1.5999999999999837</c:v>
                </c:pt>
                <c:pt idx="32">
                  <c:v>2.7999999999999936</c:v>
                </c:pt>
                <c:pt idx="33">
                  <c:v>0.50000000000000711</c:v>
                </c:pt>
                <c:pt idx="34">
                  <c:v>9.9999999999997868E-2</c:v>
                </c:pt>
                <c:pt idx="35">
                  <c:v>-3.0000000000000071</c:v>
                </c:pt>
                <c:pt idx="36">
                  <c:v>-0.89999999999999858</c:v>
                </c:pt>
                <c:pt idx="37">
                  <c:v>0.60000000000000497</c:v>
                </c:pt>
                <c:pt idx="38">
                  <c:v>0.59999999999998721</c:v>
                </c:pt>
                <c:pt idx="39">
                  <c:v>0.2000000000000135</c:v>
                </c:pt>
                <c:pt idx="40">
                  <c:v>0</c:v>
                </c:pt>
                <c:pt idx="41">
                  <c:v>-2.7000000000000135</c:v>
                </c:pt>
                <c:pt idx="42">
                  <c:v>0.2000000000000135</c:v>
                </c:pt>
                <c:pt idx="43">
                  <c:v>2.2999999999999865</c:v>
                </c:pt>
                <c:pt idx="44">
                  <c:v>0.2000000000000135</c:v>
                </c:pt>
                <c:pt idx="45">
                  <c:v>-2.5999999999999979</c:v>
                </c:pt>
                <c:pt idx="46">
                  <c:v>-3.4000000000000163</c:v>
                </c:pt>
                <c:pt idx="47">
                  <c:v>2.9000000000000092</c:v>
                </c:pt>
                <c:pt idx="48">
                  <c:v>0.39999999999999147</c:v>
                </c:pt>
                <c:pt idx="49">
                  <c:v>2.0000000000000107</c:v>
                </c:pt>
                <c:pt idx="50">
                  <c:v>1.9999999999999929</c:v>
                </c:pt>
                <c:pt idx="51">
                  <c:v>-0.29999999999999361</c:v>
                </c:pt>
                <c:pt idx="52">
                  <c:v>-3.5999999999999943</c:v>
                </c:pt>
                <c:pt idx="53">
                  <c:v>1.3999999999999879</c:v>
                </c:pt>
                <c:pt idx="54">
                  <c:v>3.100000000000005</c:v>
                </c:pt>
                <c:pt idx="55">
                  <c:v>-2.9000000000000092</c:v>
                </c:pt>
                <c:pt idx="56">
                  <c:v>2.3000000000000043</c:v>
                </c:pt>
                <c:pt idx="57">
                  <c:v>2.5999999999999979</c:v>
                </c:pt>
                <c:pt idx="58">
                  <c:v>0.80000000000000071</c:v>
                </c:pt>
                <c:pt idx="59">
                  <c:v>0.89999999999999858</c:v>
                </c:pt>
                <c:pt idx="60">
                  <c:v>-0.29999999999999361</c:v>
                </c:pt>
                <c:pt idx="61">
                  <c:v>-2.4000000000000021</c:v>
                </c:pt>
                <c:pt idx="62">
                  <c:v>2.6999999999999957</c:v>
                </c:pt>
                <c:pt idx="63">
                  <c:v>1.6000000000000014</c:v>
                </c:pt>
                <c:pt idx="64">
                  <c:v>1.3000000000000078</c:v>
                </c:pt>
                <c:pt idx="65">
                  <c:v>-0.80000000000000071</c:v>
                </c:pt>
                <c:pt idx="66">
                  <c:v>2.3000000000000043</c:v>
                </c:pt>
                <c:pt idx="67">
                  <c:v>2.6999999999999957</c:v>
                </c:pt>
                <c:pt idx="68">
                  <c:v>-2.1000000000000085</c:v>
                </c:pt>
                <c:pt idx="69">
                  <c:v>-4.1000000000000014</c:v>
                </c:pt>
                <c:pt idx="70">
                  <c:v>-2.0999999999999908</c:v>
                </c:pt>
                <c:pt idx="71">
                  <c:v>-1.9999999999999929</c:v>
                </c:pt>
                <c:pt idx="72">
                  <c:v>4.4999999999999929</c:v>
                </c:pt>
                <c:pt idx="73">
                  <c:v>-0.89999999999999858</c:v>
                </c:pt>
                <c:pt idx="74">
                  <c:v>2.8999999999999915</c:v>
                </c:pt>
                <c:pt idx="75">
                  <c:v>1.5000000000000036</c:v>
                </c:pt>
                <c:pt idx="76">
                  <c:v>1.3000000000000078</c:v>
                </c:pt>
                <c:pt idx="77">
                  <c:v>-3.3999999999999986</c:v>
                </c:pt>
                <c:pt idx="78">
                  <c:v>-0.80000000000000071</c:v>
                </c:pt>
                <c:pt idx="79">
                  <c:v>1.6000000000000014</c:v>
                </c:pt>
                <c:pt idx="80">
                  <c:v>2.3999999999999844</c:v>
                </c:pt>
                <c:pt idx="81">
                  <c:v>1.6000000000000014</c:v>
                </c:pt>
                <c:pt idx="82">
                  <c:v>-2.8999999999999915</c:v>
                </c:pt>
                <c:pt idx="83">
                  <c:v>-0.60000000000000497</c:v>
                </c:pt>
                <c:pt idx="84">
                  <c:v>0.40000000000000924</c:v>
                </c:pt>
                <c:pt idx="85">
                  <c:v>-4.9000000000000021</c:v>
                </c:pt>
                <c:pt idx="86">
                  <c:v>-0.99999999999999645</c:v>
                </c:pt>
                <c:pt idx="87">
                  <c:v>8.0999999999999872</c:v>
                </c:pt>
                <c:pt idx="88">
                  <c:v>-3.3999999999999986</c:v>
                </c:pt>
                <c:pt idx="89">
                  <c:v>-2.1999999999999886</c:v>
                </c:pt>
                <c:pt idx="90">
                  <c:v>2.7999999999999936</c:v>
                </c:pt>
                <c:pt idx="91">
                  <c:v>2.4000000000000021</c:v>
                </c:pt>
                <c:pt idx="92">
                  <c:v>9.9999999999997868E-2</c:v>
                </c:pt>
                <c:pt idx="93">
                  <c:v>-0.89999999999999858</c:v>
                </c:pt>
                <c:pt idx="94">
                  <c:v>3.2000000000000028</c:v>
                </c:pt>
                <c:pt idx="95">
                  <c:v>1.0999999999999943</c:v>
                </c:pt>
                <c:pt idx="96">
                  <c:v>-8.100000000000005</c:v>
                </c:pt>
                <c:pt idx="97">
                  <c:v>-1.0999999999999943</c:v>
                </c:pt>
                <c:pt idx="98">
                  <c:v>2.3000000000000043</c:v>
                </c:pt>
                <c:pt idx="99">
                  <c:v>-1.5000000000000036</c:v>
                </c:pt>
                <c:pt idx="100">
                  <c:v>-0.70000000000000284</c:v>
                </c:pt>
                <c:pt idx="101">
                  <c:v>-5.600000000000005</c:v>
                </c:pt>
                <c:pt idx="102">
                  <c:v>-1.4999999999999858</c:v>
                </c:pt>
                <c:pt idx="103">
                  <c:v>2.3999999999999844</c:v>
                </c:pt>
                <c:pt idx="104">
                  <c:v>-3.9999999999999858</c:v>
                </c:pt>
                <c:pt idx="105">
                  <c:v>0.59999999999998721</c:v>
                </c:pt>
                <c:pt idx="106">
                  <c:v>1.1000000000000121</c:v>
                </c:pt>
                <c:pt idx="107">
                  <c:v>-1.1000000000000121</c:v>
                </c:pt>
                <c:pt idx="108">
                  <c:v>-0.19999999999999574</c:v>
                </c:pt>
                <c:pt idx="109">
                  <c:v>-4.1000000000000014</c:v>
                </c:pt>
                <c:pt idx="110">
                  <c:v>-2.7999999999999936</c:v>
                </c:pt>
                <c:pt idx="111">
                  <c:v>-0.70000000000000284</c:v>
                </c:pt>
                <c:pt idx="112">
                  <c:v>2.3000000000000043</c:v>
                </c:pt>
                <c:pt idx="113">
                  <c:v>-0.50000000000000711</c:v>
                </c:pt>
                <c:pt idx="114">
                  <c:v>-2.1999999999999886</c:v>
                </c:pt>
                <c:pt idx="115">
                  <c:v>-2.5</c:v>
                </c:pt>
                <c:pt idx="116">
                  <c:v>-0.60000000000000497</c:v>
                </c:pt>
                <c:pt idx="117">
                  <c:v>-3.7000000000000099</c:v>
                </c:pt>
                <c:pt idx="118">
                  <c:v>0.50000000000000711</c:v>
                </c:pt>
                <c:pt idx="119">
                  <c:v>-1.3000000000000078</c:v>
                </c:pt>
                <c:pt idx="120">
                  <c:v>-1.4999999999999858</c:v>
                </c:pt>
                <c:pt idx="121">
                  <c:v>-0.40000000000000924</c:v>
                </c:pt>
                <c:pt idx="122">
                  <c:v>0.99999999999999645</c:v>
                </c:pt>
                <c:pt idx="123">
                  <c:v>0.89999999999999858</c:v>
                </c:pt>
                <c:pt idx="124">
                  <c:v>-3.0999999999999872</c:v>
                </c:pt>
                <c:pt idx="125">
                  <c:v>0</c:v>
                </c:pt>
                <c:pt idx="126">
                  <c:v>0.49999999999998934</c:v>
                </c:pt>
                <c:pt idx="127">
                  <c:v>-3.5999999999999943</c:v>
                </c:pt>
                <c:pt idx="128">
                  <c:v>-1.0999999999999943</c:v>
                </c:pt>
                <c:pt idx="129">
                  <c:v>1.2999999999999901</c:v>
                </c:pt>
                <c:pt idx="130">
                  <c:v>1.4000000000000057</c:v>
                </c:pt>
                <c:pt idx="131">
                  <c:v>-0.50000000000000711</c:v>
                </c:pt>
                <c:pt idx="132">
                  <c:v>-8.3000000000000007</c:v>
                </c:pt>
                <c:pt idx="133">
                  <c:v>-3.5999999999999943</c:v>
                </c:pt>
                <c:pt idx="134">
                  <c:v>2.2000000000000064</c:v>
                </c:pt>
                <c:pt idx="135">
                  <c:v>0.99999999999999645</c:v>
                </c:pt>
                <c:pt idx="136">
                  <c:v>-0.19999999999999574</c:v>
                </c:pt>
                <c:pt idx="137">
                  <c:v>-0.10000000000001563</c:v>
                </c:pt>
                <c:pt idx="138">
                  <c:v>4.0000000000000036</c:v>
                </c:pt>
                <c:pt idx="139">
                  <c:v>-0.70000000000000284</c:v>
                </c:pt>
                <c:pt idx="140">
                  <c:v>-0.99999999999999645</c:v>
                </c:pt>
                <c:pt idx="141">
                  <c:v>-2.5999999999999979</c:v>
                </c:pt>
                <c:pt idx="142">
                  <c:v>-0.19999999999999574</c:v>
                </c:pt>
                <c:pt idx="143">
                  <c:v>0.29999999999999361</c:v>
                </c:pt>
                <c:pt idx="144">
                  <c:v>-1.5000000000000036</c:v>
                </c:pt>
                <c:pt idx="145">
                  <c:v>0.40000000000000924</c:v>
                </c:pt>
                <c:pt idx="146">
                  <c:v>9.9999999999997868E-2</c:v>
                </c:pt>
                <c:pt idx="147">
                  <c:v>0.29999999999999361</c:v>
                </c:pt>
                <c:pt idx="148">
                  <c:v>2.1000000000000085</c:v>
                </c:pt>
                <c:pt idx="149">
                  <c:v>-1.7999999999999972</c:v>
                </c:pt>
                <c:pt idx="150">
                  <c:v>7.6999999999999957</c:v>
                </c:pt>
                <c:pt idx="151">
                  <c:v>-0.99999999999999645</c:v>
                </c:pt>
                <c:pt idx="152">
                  <c:v>1.6000000000000014</c:v>
                </c:pt>
                <c:pt idx="153">
                  <c:v>1.6000000000000014</c:v>
                </c:pt>
                <c:pt idx="154">
                  <c:v>0.19999999999999574</c:v>
                </c:pt>
                <c:pt idx="155">
                  <c:v>3.3000000000000007</c:v>
                </c:pt>
                <c:pt idx="156">
                  <c:v>2.1999999999999886</c:v>
                </c:pt>
                <c:pt idx="157">
                  <c:v>2.9000000000000092</c:v>
                </c:pt>
                <c:pt idx="158">
                  <c:v>-1.6999999999999993</c:v>
                </c:pt>
                <c:pt idx="159">
                  <c:v>9.9999999999997868E-2</c:v>
                </c:pt>
                <c:pt idx="160">
                  <c:v>-9.9999999999997868E-2</c:v>
                </c:pt>
                <c:pt idx="161">
                  <c:v>1.5000000000000036</c:v>
                </c:pt>
                <c:pt idx="162">
                  <c:v>1.5000000000000036</c:v>
                </c:pt>
                <c:pt idx="163">
                  <c:v>-0.70000000000000284</c:v>
                </c:pt>
                <c:pt idx="164">
                  <c:v>0.89999999999999858</c:v>
                </c:pt>
                <c:pt idx="165">
                  <c:v>1.899999999999995</c:v>
                </c:pt>
                <c:pt idx="166">
                  <c:v>0.60000000000000497</c:v>
                </c:pt>
                <c:pt idx="167">
                  <c:v>0.29999999999999361</c:v>
                </c:pt>
                <c:pt idx="168">
                  <c:v>2.7999999999999936</c:v>
                </c:pt>
                <c:pt idx="169">
                  <c:v>2.2000000000000064</c:v>
                </c:pt>
                <c:pt idx="170">
                  <c:v>0.89999999999999858</c:v>
                </c:pt>
                <c:pt idx="171">
                  <c:v>0.89999999999999858</c:v>
                </c:pt>
                <c:pt idx="172">
                  <c:v>-2.4000000000000021</c:v>
                </c:pt>
                <c:pt idx="173">
                  <c:v>0.60000000000000497</c:v>
                </c:pt>
                <c:pt idx="174">
                  <c:v>-0.89999999999999858</c:v>
                </c:pt>
                <c:pt idx="175">
                  <c:v>1.0999999999999943</c:v>
                </c:pt>
                <c:pt idx="176">
                  <c:v>2.3000000000000043</c:v>
                </c:pt>
                <c:pt idx="177">
                  <c:v>-0.89999999999999858</c:v>
                </c:pt>
                <c:pt idx="178">
                  <c:v>-1.7999999999999972</c:v>
                </c:pt>
                <c:pt idx="179">
                  <c:v>1.7999999999999972</c:v>
                </c:pt>
                <c:pt idx="180">
                  <c:v>-0.99999999999999645</c:v>
                </c:pt>
                <c:pt idx="181">
                  <c:v>0.19999999999999574</c:v>
                </c:pt>
                <c:pt idx="182">
                  <c:v>-9.9999999999997868E-2</c:v>
                </c:pt>
                <c:pt idx="183">
                  <c:v>0</c:v>
                </c:pt>
                <c:pt idx="184">
                  <c:v>0.70000000000000284</c:v>
                </c:pt>
                <c:pt idx="185">
                  <c:v>0</c:v>
                </c:pt>
                <c:pt idx="186">
                  <c:v>9.9999999999997868E-2</c:v>
                </c:pt>
                <c:pt idx="187">
                  <c:v>-1.0999999999999943</c:v>
                </c:pt>
                <c:pt idx="188">
                  <c:v>0.80000000000000071</c:v>
                </c:pt>
                <c:pt idx="189">
                  <c:v>2.5</c:v>
                </c:pt>
                <c:pt idx="190">
                  <c:v>-1.6000000000000014</c:v>
                </c:pt>
                <c:pt idx="191">
                  <c:v>-0.80000000000000071</c:v>
                </c:pt>
                <c:pt idx="192">
                  <c:v>-1.6000000000000014</c:v>
                </c:pt>
                <c:pt idx="193">
                  <c:v>-0.99999999999999645</c:v>
                </c:pt>
                <c:pt idx="194">
                  <c:v>1.9999999999999929</c:v>
                </c:pt>
                <c:pt idx="195">
                  <c:v>2.5999999999999979</c:v>
                </c:pt>
                <c:pt idx="196">
                  <c:v>0.80000000000000071</c:v>
                </c:pt>
                <c:pt idx="197">
                  <c:v>-1.5000000000000036</c:v>
                </c:pt>
                <c:pt idx="198">
                  <c:v>1.3000000000000078</c:v>
                </c:pt>
                <c:pt idx="199">
                  <c:v>-2.3000000000000043</c:v>
                </c:pt>
                <c:pt idx="200">
                  <c:v>-0.60000000000000497</c:v>
                </c:pt>
                <c:pt idx="201">
                  <c:v>0.60000000000000497</c:v>
                </c:pt>
                <c:pt idx="202">
                  <c:v>2.6999999999999957</c:v>
                </c:pt>
                <c:pt idx="203">
                  <c:v>-9.9999999999997868E-2</c:v>
                </c:pt>
                <c:pt idx="204">
                  <c:v>-1.1999999999999922</c:v>
                </c:pt>
                <c:pt idx="205">
                  <c:v>0.59999999999998721</c:v>
                </c:pt>
                <c:pt idx="206">
                  <c:v>-1.4999999999999858</c:v>
                </c:pt>
                <c:pt idx="207">
                  <c:v>-2.8000000000000114</c:v>
                </c:pt>
                <c:pt idx="208">
                  <c:v>-1.1999999999999922</c:v>
                </c:pt>
                <c:pt idx="209">
                  <c:v>-1.6999999999999993</c:v>
                </c:pt>
                <c:pt idx="210">
                  <c:v>0.99999999999999645</c:v>
                </c:pt>
                <c:pt idx="211">
                  <c:v>-0.70000000000000284</c:v>
                </c:pt>
                <c:pt idx="212">
                  <c:v>9.9999999999997868E-2</c:v>
                </c:pt>
                <c:pt idx="213">
                  <c:v>-1.899999999999995</c:v>
                </c:pt>
                <c:pt idx="214">
                  <c:v>-0.89999999999999858</c:v>
                </c:pt>
                <c:pt idx="215">
                  <c:v>0.50000000000000711</c:v>
                </c:pt>
                <c:pt idx="216">
                  <c:v>-0.10000000000001563</c:v>
                </c:pt>
                <c:pt idx="217">
                  <c:v>-0.80000000000000071</c:v>
                </c:pt>
                <c:pt idx="218">
                  <c:v>1.6000000000000014</c:v>
                </c:pt>
                <c:pt idx="219">
                  <c:v>-1.2999999999999901</c:v>
                </c:pt>
                <c:pt idx="220">
                  <c:v>-0.70000000000000284</c:v>
                </c:pt>
                <c:pt idx="221">
                  <c:v>0</c:v>
                </c:pt>
                <c:pt idx="222">
                  <c:v>-1.5000000000000036</c:v>
                </c:pt>
                <c:pt idx="223">
                  <c:v>2.3000000000000043</c:v>
                </c:pt>
                <c:pt idx="224">
                  <c:v>1.4000000000000057</c:v>
                </c:pt>
                <c:pt idx="225">
                  <c:v>0.29999999999999361</c:v>
                </c:pt>
                <c:pt idx="226">
                  <c:v>-0.99999999999999645</c:v>
                </c:pt>
                <c:pt idx="227">
                  <c:v>-9.9999999999997868E-2</c:v>
                </c:pt>
                <c:pt idx="228">
                  <c:v>2.5999999999999979</c:v>
                </c:pt>
                <c:pt idx="229">
                  <c:v>1.1999999999999922</c:v>
                </c:pt>
                <c:pt idx="230">
                  <c:v>-0.29999999999999361</c:v>
                </c:pt>
                <c:pt idx="231">
                  <c:v>-0.30000000000001137</c:v>
                </c:pt>
                <c:pt idx="232">
                  <c:v>-2.0999999999999908</c:v>
                </c:pt>
                <c:pt idx="233">
                  <c:v>0.39999999999999147</c:v>
                </c:pt>
                <c:pt idx="234">
                  <c:v>2.5</c:v>
                </c:pt>
                <c:pt idx="235">
                  <c:v>-1.2999999999999901</c:v>
                </c:pt>
                <c:pt idx="236">
                  <c:v>-0.50000000000000711</c:v>
                </c:pt>
                <c:pt idx="237">
                  <c:v>0.80000000000000071</c:v>
                </c:pt>
                <c:pt idx="238">
                  <c:v>-0.49999999999998934</c:v>
                </c:pt>
                <c:pt idx="239">
                  <c:v>-1.5000000000000036</c:v>
                </c:pt>
                <c:pt idx="240">
                  <c:v>-4.1000000000000014</c:v>
                </c:pt>
                <c:pt idx="241">
                  <c:v>0.80000000000000071</c:v>
                </c:pt>
                <c:pt idx="242">
                  <c:v>0.70000000000000284</c:v>
                </c:pt>
                <c:pt idx="243">
                  <c:v>1.2999999999999901</c:v>
                </c:pt>
                <c:pt idx="244">
                  <c:v>0.89999999999999858</c:v>
                </c:pt>
                <c:pt idx="245">
                  <c:v>-0.59999999999998721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15-4631-A757-193724CC8E3E}"/>
            </c:ext>
          </c:extLst>
        </c:ser>
        <c:ser>
          <c:idx val="1"/>
          <c:order val="1"/>
          <c:tx>
            <c:v>Modified calculation + averaging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'gw-60'!$S$3:$S$248</c:f>
              <c:numCache>
                <c:formatCode>0.000</c:formatCode>
                <c:ptCount val="246"/>
                <c:pt idx="6" formatCode="0.0">
                  <c:v>0.44428571428571423</c:v>
                </c:pt>
                <c:pt idx="7" formatCode="0.0">
                  <c:v>0.47142857142857103</c:v>
                </c:pt>
                <c:pt idx="8" formatCode="0.0">
                  <c:v>0.45999999999999958</c:v>
                </c:pt>
                <c:pt idx="9" formatCode="0.0">
                  <c:v>0.47428571428571409</c:v>
                </c:pt>
                <c:pt idx="10" formatCode="0.0">
                  <c:v>0.4642857142857143</c:v>
                </c:pt>
                <c:pt idx="11" formatCode="0.0">
                  <c:v>0.47285714285714292</c:v>
                </c:pt>
                <c:pt idx="12" formatCode="0.0">
                  <c:v>0.48857142857142882</c:v>
                </c:pt>
                <c:pt idx="13" formatCode="0.0">
                  <c:v>0.4485714285714289</c:v>
                </c:pt>
                <c:pt idx="14" formatCode="0.0">
                  <c:v>0.38428571428571473</c:v>
                </c:pt>
                <c:pt idx="15" formatCode="0.0">
                  <c:v>0.31000000000000022</c:v>
                </c:pt>
                <c:pt idx="16" formatCode="0.0">
                  <c:v>0.25285714285714306</c:v>
                </c:pt>
                <c:pt idx="17" formatCode="0.0">
                  <c:v>0.23142857142857157</c:v>
                </c:pt>
                <c:pt idx="18" formatCode="0.0">
                  <c:v>0.18428571428571416</c:v>
                </c:pt>
                <c:pt idx="19" formatCode="0.0">
                  <c:v>5.8571428571428337E-2</c:v>
                </c:pt>
                <c:pt idx="20" formatCode="0.0">
                  <c:v>5.5714285714285543E-2</c:v>
                </c:pt>
                <c:pt idx="21" formatCode="0.0">
                  <c:v>7.7142857142857027E-2</c:v>
                </c:pt>
                <c:pt idx="22" formatCode="0.0">
                  <c:v>0.14714285714285705</c:v>
                </c:pt>
                <c:pt idx="23" formatCode="0.0">
                  <c:v>0.12428571428571418</c:v>
                </c:pt>
                <c:pt idx="24" formatCode="0.0">
                  <c:v>8.1428571428571211E-2</c:v>
                </c:pt>
                <c:pt idx="25" formatCode="0.0">
                  <c:v>9.2857142857142902E-2</c:v>
                </c:pt>
                <c:pt idx="26" formatCode="0.0">
                  <c:v>0.13857142857142865</c:v>
                </c:pt>
                <c:pt idx="27" formatCode="0.0">
                  <c:v>0.12857142857142886</c:v>
                </c:pt>
                <c:pt idx="28" formatCode="0.0">
                  <c:v>8.8571428571428967E-2</c:v>
                </c:pt>
                <c:pt idx="29" formatCode="0.0">
                  <c:v>3.0000000000000377E-2</c:v>
                </c:pt>
                <c:pt idx="30" formatCode="0.0">
                  <c:v>2.8571428571433038E-3</c:v>
                </c:pt>
                <c:pt idx="31" formatCode="0.0">
                  <c:v>1.1428571428571946E-2</c:v>
                </c:pt>
                <c:pt idx="32" formatCode="0.0">
                  <c:v>-3.5714285714285463E-2</c:v>
                </c:pt>
                <c:pt idx="33" formatCode="0.0">
                  <c:v>-7.8571428571428417E-2</c:v>
                </c:pt>
                <c:pt idx="34" formatCode="0.0">
                  <c:v>-0.12714285714285722</c:v>
                </c:pt>
                <c:pt idx="35" formatCode="0.0">
                  <c:v>-0.16571428571428598</c:v>
                </c:pt>
                <c:pt idx="36" formatCode="0.0">
                  <c:v>-0.17571428571428577</c:v>
                </c:pt>
                <c:pt idx="37" formatCode="0.0">
                  <c:v>-0.13714285714285751</c:v>
                </c:pt>
                <c:pt idx="38" formatCode="0.0">
                  <c:v>-0.13571428571428587</c:v>
                </c:pt>
                <c:pt idx="39" formatCode="0.0">
                  <c:v>-0.14285714285714285</c:v>
                </c:pt>
                <c:pt idx="40" formatCode="0.0">
                  <c:v>-0.19428571428571445</c:v>
                </c:pt>
                <c:pt idx="41" formatCode="0.0">
                  <c:v>-0.16428571428571434</c:v>
                </c:pt>
                <c:pt idx="42" formatCode="0.0">
                  <c:v>-0.13571428571428587</c:v>
                </c:pt>
                <c:pt idx="43" formatCode="0.0">
                  <c:v>-0.12714285714285722</c:v>
                </c:pt>
                <c:pt idx="44" formatCode="0.0">
                  <c:v>-0.11714285714285719</c:v>
                </c:pt>
                <c:pt idx="45" formatCode="0.0">
                  <c:v>-6.857142857142888E-2</c:v>
                </c:pt>
                <c:pt idx="46" formatCode="0.0">
                  <c:v>1.7142857142857033E-2</c:v>
                </c:pt>
                <c:pt idx="47" formatCode="0.0">
                  <c:v>0.13000000000000003</c:v>
                </c:pt>
                <c:pt idx="48" formatCode="0.0">
                  <c:v>0.20142857142857146</c:v>
                </c:pt>
                <c:pt idx="49" formatCode="0.0">
                  <c:v>0.20000000000000004</c:v>
                </c:pt>
                <c:pt idx="50" formatCode="0.0">
                  <c:v>0.20714285714285705</c:v>
                </c:pt>
                <c:pt idx="51" formatCode="0.0">
                  <c:v>0.22999999999999993</c:v>
                </c:pt>
                <c:pt idx="52" formatCode="0.0">
                  <c:v>0.28285714285714264</c:v>
                </c:pt>
                <c:pt idx="53" formatCode="0.0">
                  <c:v>0.33142857142857096</c:v>
                </c:pt>
                <c:pt idx="54" formatCode="0.0">
                  <c:v>0.35285714285714243</c:v>
                </c:pt>
                <c:pt idx="55" formatCode="0.0">
                  <c:v>0.34285714285714242</c:v>
                </c:pt>
                <c:pt idx="56" formatCode="0.0">
                  <c:v>0.40857142857142825</c:v>
                </c:pt>
                <c:pt idx="57" formatCode="0.0">
                  <c:v>0.45571428571428541</c:v>
                </c:pt>
                <c:pt idx="58" formatCode="0.0">
                  <c:v>0.46857142857142847</c:v>
                </c:pt>
                <c:pt idx="59" formatCode="0.0">
                  <c:v>0.39428571428571452</c:v>
                </c:pt>
                <c:pt idx="60" formatCode="0.0">
                  <c:v>0.36428571428571466</c:v>
                </c:pt>
                <c:pt idx="61" formatCode="0.0">
                  <c:v>0.45571428571428613</c:v>
                </c:pt>
                <c:pt idx="62" formatCode="0.0">
                  <c:v>0.47142857142857181</c:v>
                </c:pt>
                <c:pt idx="63" formatCode="0.0">
                  <c:v>0.40000000000000036</c:v>
                </c:pt>
                <c:pt idx="64" formatCode="0.0">
                  <c:v>0.29428571428571459</c:v>
                </c:pt>
                <c:pt idx="65" formatCode="0.0">
                  <c:v>0.16428571428571459</c:v>
                </c:pt>
                <c:pt idx="66" formatCode="0.0">
                  <c:v>9.0000000000000108E-2</c:v>
                </c:pt>
                <c:pt idx="67" formatCode="0.0">
                  <c:v>-7.2857142857142829E-2</c:v>
                </c:pt>
                <c:pt idx="68" formatCode="0.0">
                  <c:v>-0.23714285714285716</c:v>
                </c:pt>
                <c:pt idx="69" formatCode="0.0">
                  <c:v>-0.25285714285714278</c:v>
                </c:pt>
                <c:pt idx="70" formatCode="0.0">
                  <c:v>-0.1385714285714284</c:v>
                </c:pt>
                <c:pt idx="71" formatCode="0.0">
                  <c:v>4.2857142857144481E-3</c:v>
                </c:pt>
                <c:pt idx="72" formatCode="0.0">
                  <c:v>8.8571428571428718E-2</c:v>
                </c:pt>
                <c:pt idx="73" formatCode="0.0">
                  <c:v>0.17714285714285744</c:v>
                </c:pt>
                <c:pt idx="74" formatCode="0.0">
                  <c:v>0.31000000000000022</c:v>
                </c:pt>
                <c:pt idx="75" formatCode="0.0">
                  <c:v>0.37285714285714305</c:v>
                </c:pt>
                <c:pt idx="76" formatCode="0.0">
                  <c:v>0.29571428571428576</c:v>
                </c:pt>
                <c:pt idx="77" formatCode="0.0">
                  <c:v>0.20999999999999983</c:v>
                </c:pt>
                <c:pt idx="78" formatCode="0.0">
                  <c:v>0.16142857142857128</c:v>
                </c:pt>
                <c:pt idx="79" formatCode="0.0">
                  <c:v>9.5714285714285446E-2</c:v>
                </c:pt>
                <c:pt idx="80" formatCode="0.0">
                  <c:v>-5.4285714285714395E-2</c:v>
                </c:pt>
                <c:pt idx="81" formatCode="0.0">
                  <c:v>-0.10428571428571434</c:v>
                </c:pt>
                <c:pt idx="82" formatCode="0.0">
                  <c:v>-0.16285714285714295</c:v>
                </c:pt>
                <c:pt idx="83" formatCode="0.0">
                  <c:v>-0.18428571428571416</c:v>
                </c:pt>
                <c:pt idx="84" formatCode="0.0">
                  <c:v>-0.21142857142857124</c:v>
                </c:pt>
                <c:pt idx="85" formatCode="0.0">
                  <c:v>-0.15142857142857125</c:v>
                </c:pt>
                <c:pt idx="86" formatCode="0.0">
                  <c:v>1.7142857142857286E-2</c:v>
                </c:pt>
                <c:pt idx="87" formatCode="0.0">
                  <c:v>0.10571428571428575</c:v>
                </c:pt>
                <c:pt idx="88" formatCode="0.0">
                  <c:v>0.19571428571428587</c:v>
                </c:pt>
                <c:pt idx="89" formatCode="0.0">
                  <c:v>0.34000000000000014</c:v>
                </c:pt>
                <c:pt idx="90" formatCode="0.0">
                  <c:v>0.35142857142857131</c:v>
                </c:pt>
                <c:pt idx="91" formatCode="0.0">
                  <c:v>0.27857142857142847</c:v>
                </c:pt>
                <c:pt idx="92" formatCode="0.0">
                  <c:v>0.13285714285714281</c:v>
                </c:pt>
                <c:pt idx="93" formatCode="0.0">
                  <c:v>-3.7142857142857109E-2</c:v>
                </c:pt>
                <c:pt idx="94" formatCode="0.0">
                  <c:v>-0.13428571428571448</c:v>
                </c:pt>
                <c:pt idx="95" formatCode="0.0">
                  <c:v>-0.42142857142857182</c:v>
                </c:pt>
                <c:pt idx="96" formatCode="0.0">
                  <c:v>-0.66142857142857159</c:v>
                </c:pt>
                <c:pt idx="97" formatCode="0.0">
                  <c:v>-0.69571428571428584</c:v>
                </c:pt>
                <c:pt idx="98" formatCode="0.0">
                  <c:v>-0.77000000000000013</c:v>
                </c:pt>
                <c:pt idx="99" formatCode="0.0">
                  <c:v>-0.84571428571428597</c:v>
                </c:pt>
                <c:pt idx="100" formatCode="0.0">
                  <c:v>-0.88714285714285723</c:v>
                </c:pt>
                <c:pt idx="101" formatCode="0.0">
                  <c:v>-0.80857142857142861</c:v>
                </c:pt>
                <c:pt idx="102" formatCode="0.0">
                  <c:v>-0.61571428571428577</c:v>
                </c:pt>
                <c:pt idx="103" formatCode="0.0">
                  <c:v>-0.61000000000000021</c:v>
                </c:pt>
                <c:pt idx="104" formatCode="0.0">
                  <c:v>-0.63714285714285723</c:v>
                </c:pt>
                <c:pt idx="105" formatCode="0.0">
                  <c:v>-0.59285714285714286</c:v>
                </c:pt>
                <c:pt idx="106" formatCode="0.0">
                  <c:v>-0.56142857142857139</c:v>
                </c:pt>
                <c:pt idx="107" formatCode="0.0">
                  <c:v>-0.54714285714285715</c:v>
                </c:pt>
                <c:pt idx="108" formatCode="0.0">
                  <c:v>-0.62571428571428556</c:v>
                </c:pt>
                <c:pt idx="109" formatCode="0.0">
                  <c:v>-0.69999999999999951</c:v>
                </c:pt>
                <c:pt idx="110" formatCode="0.0">
                  <c:v>-0.64999999999999958</c:v>
                </c:pt>
                <c:pt idx="111" formatCode="0.0">
                  <c:v>-0.65999999999999959</c:v>
                </c:pt>
                <c:pt idx="112" formatCode="0.0">
                  <c:v>-0.67714285714285694</c:v>
                </c:pt>
                <c:pt idx="113" formatCode="0.0">
                  <c:v>-0.72285714285714264</c:v>
                </c:pt>
                <c:pt idx="114" formatCode="0.0">
                  <c:v>-0.76714285714285702</c:v>
                </c:pt>
                <c:pt idx="115" formatCode="0.0">
                  <c:v>-0.752857142857143</c:v>
                </c:pt>
                <c:pt idx="116" formatCode="0.0">
                  <c:v>-0.7385714285714291</c:v>
                </c:pt>
                <c:pt idx="117" formatCode="0.0">
                  <c:v>-0.6900000000000005</c:v>
                </c:pt>
                <c:pt idx="118" formatCode="0.0">
                  <c:v>-0.65000000000000036</c:v>
                </c:pt>
                <c:pt idx="119" formatCode="0.0">
                  <c:v>-0.56571428571428584</c:v>
                </c:pt>
                <c:pt idx="120" formatCode="0.0">
                  <c:v>-0.44142857142857167</c:v>
                </c:pt>
                <c:pt idx="121" formatCode="0.0">
                  <c:v>-0.37285714285714305</c:v>
                </c:pt>
                <c:pt idx="122" formatCode="0.0">
                  <c:v>-0.36428571428571416</c:v>
                </c:pt>
                <c:pt idx="123" formatCode="0.0">
                  <c:v>-0.3728571428571425</c:v>
                </c:pt>
                <c:pt idx="124" formatCode="0.0">
                  <c:v>-0.38285714285714256</c:v>
                </c:pt>
                <c:pt idx="125" formatCode="0.0">
                  <c:v>-0.34857142857142848</c:v>
                </c:pt>
                <c:pt idx="126" formatCode="0.0">
                  <c:v>-0.45857142857142869</c:v>
                </c:pt>
                <c:pt idx="127" formatCode="0.0">
                  <c:v>-0.59714285714285709</c:v>
                </c:pt>
                <c:pt idx="128" formatCode="0.0">
                  <c:v>-0.6428571428571429</c:v>
                </c:pt>
                <c:pt idx="129" formatCode="0.0">
                  <c:v>-0.66285714285714292</c:v>
                </c:pt>
                <c:pt idx="130" formatCode="0.0">
                  <c:v>-0.71142857142857152</c:v>
                </c:pt>
                <c:pt idx="131" formatCode="0.0">
                  <c:v>-0.81857142857142862</c:v>
                </c:pt>
                <c:pt idx="132" formatCode="0.0">
                  <c:v>-0.74285714285714277</c:v>
                </c:pt>
                <c:pt idx="133" formatCode="0.0">
                  <c:v>-0.5</c:v>
                </c:pt>
                <c:pt idx="134" formatCode="0.0">
                  <c:v>-0.30285714285714299</c:v>
                </c:pt>
                <c:pt idx="135" formatCode="0.0">
                  <c:v>-0.20428571428571449</c:v>
                </c:pt>
                <c:pt idx="136" formatCode="0.0">
                  <c:v>-0.1014285714285718</c:v>
                </c:pt>
                <c:pt idx="137" formatCode="0.0">
                  <c:v>2.9999999999999614E-2</c:v>
                </c:pt>
                <c:pt idx="138" formatCode="0.0">
                  <c:v>7.7142857142856763E-2</c:v>
                </c:pt>
                <c:pt idx="139" formatCode="0.0">
                  <c:v>-3.5714285714285969E-2</c:v>
                </c:pt>
                <c:pt idx="140" formatCode="0.0">
                  <c:v>-0.17428571428571438</c:v>
                </c:pt>
                <c:pt idx="141" formatCode="0.0">
                  <c:v>-0.22571428571428573</c:v>
                </c:pt>
                <c:pt idx="142" formatCode="0.0">
                  <c:v>-0.19285714285714281</c:v>
                </c:pt>
                <c:pt idx="143" formatCode="0.0">
                  <c:v>-0.18999999999999975</c:v>
                </c:pt>
                <c:pt idx="144" formatCode="0.0">
                  <c:v>-6.1428571428571131E-2</c:v>
                </c:pt>
                <c:pt idx="145" formatCode="0.0">
                  <c:v>0.12571428571428608</c:v>
                </c:pt>
                <c:pt idx="146" formatCode="0.0">
                  <c:v>0.31857142857142889</c:v>
                </c:pt>
                <c:pt idx="147" formatCode="0.0">
                  <c:v>0.51428571428571479</c:v>
                </c:pt>
                <c:pt idx="148" formatCode="0.0">
                  <c:v>0.64142857142857201</c:v>
                </c:pt>
                <c:pt idx="149" formatCode="0.0">
                  <c:v>0.80857142857142905</c:v>
                </c:pt>
                <c:pt idx="150" formatCode="0.0">
                  <c:v>0.92714285714285738</c:v>
                </c:pt>
                <c:pt idx="151" formatCode="0.0">
                  <c:v>0.97000000000000008</c:v>
                </c:pt>
                <c:pt idx="152" formatCode="0.0">
                  <c:v>0.98571428571428577</c:v>
                </c:pt>
                <c:pt idx="153" formatCode="0.0">
                  <c:v>0.95857142857142841</c:v>
                </c:pt>
                <c:pt idx="154" formatCode="0.0">
                  <c:v>0.90857142857142825</c:v>
                </c:pt>
                <c:pt idx="155" formatCode="0.0">
                  <c:v>0.85999999999999965</c:v>
                </c:pt>
                <c:pt idx="156" formatCode="0.0">
                  <c:v>0.72857142857142854</c:v>
                </c:pt>
                <c:pt idx="157" formatCode="0.0">
                  <c:v>0.62428571428571444</c:v>
                </c:pt>
                <c:pt idx="158" formatCode="0.0">
                  <c:v>0.50142857142857167</c:v>
                </c:pt>
                <c:pt idx="159" formatCode="0.0">
                  <c:v>0.45142857142857168</c:v>
                </c:pt>
                <c:pt idx="160" formatCode="0.0">
                  <c:v>0.43285714285714327</c:v>
                </c:pt>
                <c:pt idx="161" formatCode="0.0">
                  <c:v>0.40142857142857175</c:v>
                </c:pt>
                <c:pt idx="162" formatCode="0.0">
                  <c:v>0.41428571428571431</c:v>
                </c:pt>
                <c:pt idx="163" formatCode="0.0">
                  <c:v>0.47857142857142826</c:v>
                </c:pt>
                <c:pt idx="164" formatCode="0.0">
                  <c:v>0.59428571428571375</c:v>
                </c:pt>
                <c:pt idx="165" formatCode="0.0">
                  <c:v>0.65857142857142803</c:v>
                </c:pt>
                <c:pt idx="166" formatCode="0.0">
                  <c:v>0.65428571428571358</c:v>
                </c:pt>
                <c:pt idx="167" formatCode="0.0">
                  <c:v>0.64428571428571346</c:v>
                </c:pt>
                <c:pt idx="168" formatCode="0.0">
                  <c:v>0.59857142857142798</c:v>
                </c:pt>
                <c:pt idx="169" formatCode="0.0">
                  <c:v>0.51857142857142813</c:v>
                </c:pt>
                <c:pt idx="170" formatCode="0.0">
                  <c:v>0.41714285714285687</c:v>
                </c:pt>
                <c:pt idx="171" formatCode="0.0">
                  <c:v>0.28999999999999992</c:v>
                </c:pt>
                <c:pt idx="172" formatCode="0.0">
                  <c:v>0.1857142857142858</c:v>
                </c:pt>
                <c:pt idx="173" formatCode="0.0">
                  <c:v>0.14142857142857171</c:v>
                </c:pt>
                <c:pt idx="174" formatCode="0.0">
                  <c:v>9.1428571428571762E-2</c:v>
                </c:pt>
                <c:pt idx="175" formatCode="0.0">
                  <c:v>8.1428571428571725E-2</c:v>
                </c:pt>
                <c:pt idx="176" formatCode="0.0">
                  <c:v>5.2857142857143255E-2</c:v>
                </c:pt>
                <c:pt idx="177" formatCode="0.0">
                  <c:v>1.7142857142857539E-2</c:v>
                </c:pt>
                <c:pt idx="178" formatCode="0.0">
                  <c:v>4.2857142857143211E-2</c:v>
                </c:pt>
                <c:pt idx="179" formatCode="0.0">
                  <c:v>3.4285714285714572E-2</c:v>
                </c:pt>
                <c:pt idx="180" formatCode="0.0">
                  <c:v>2.4285714285714528E-2</c:v>
                </c:pt>
                <c:pt idx="181" formatCode="0.0">
                  <c:v>-2.8571428571425423E-3</c:v>
                </c:pt>
                <c:pt idx="182" formatCode="0.0">
                  <c:v>-4.2857142857139407E-3</c:v>
                </c:pt>
                <c:pt idx="183" formatCode="0.0">
                  <c:v>6.4285714285714696E-2</c:v>
                </c:pt>
                <c:pt idx="184" formatCode="0.0">
                  <c:v>8.7142857142857563E-2</c:v>
                </c:pt>
                <c:pt idx="185" formatCode="0.0">
                  <c:v>6.2857142857143292E-2</c:v>
                </c:pt>
                <c:pt idx="186" formatCode="0.0">
                  <c:v>4.0000000000000417E-2</c:v>
                </c:pt>
                <c:pt idx="187" formatCode="0.0">
                  <c:v>2.8571428571433038E-3</c:v>
                </c:pt>
                <c:pt idx="188" formatCode="0.0">
                  <c:v>1.4285714285716519E-3</c:v>
                </c:pt>
                <c:pt idx="189" formatCode="0.0">
                  <c:v>-1.1428571428571439E-2</c:v>
                </c:pt>
                <c:pt idx="190" formatCode="0.0">
                  <c:v>-2.5714285714285929E-2</c:v>
                </c:pt>
                <c:pt idx="191" formatCode="0.0">
                  <c:v>-1.7142857142857539E-2</c:v>
                </c:pt>
                <c:pt idx="192" formatCode="0.0">
                  <c:v>4.4285714285713852E-2</c:v>
                </c:pt>
                <c:pt idx="193" formatCode="0.0">
                  <c:v>0.11142857142857084</c:v>
                </c:pt>
                <c:pt idx="194" formatCode="0.0">
                  <c:v>0.13999999999999929</c:v>
                </c:pt>
                <c:pt idx="195" formatCode="0.0">
                  <c:v>0.12285714285714226</c:v>
                </c:pt>
                <c:pt idx="196" formatCode="0.0">
                  <c:v>0.13142857142857092</c:v>
                </c:pt>
                <c:pt idx="197" formatCode="0.0">
                  <c:v>0.12571428571428531</c:v>
                </c:pt>
                <c:pt idx="198" formatCode="0.0">
                  <c:v>9.4285714285714056E-2</c:v>
                </c:pt>
                <c:pt idx="199" formatCode="0.0">
                  <c:v>6.2857142857142528E-2</c:v>
                </c:pt>
                <c:pt idx="200" formatCode="0.0">
                  <c:v>3.7142857142857109E-2</c:v>
                </c:pt>
                <c:pt idx="201" formatCode="0.0">
                  <c:v>0</c:v>
                </c:pt>
                <c:pt idx="202" formatCode="0.0">
                  <c:v>-6.4285714285714182E-2</c:v>
                </c:pt>
                <c:pt idx="203" formatCode="0.0">
                  <c:v>-0.17857142857142833</c:v>
                </c:pt>
                <c:pt idx="204" formatCode="0.0">
                  <c:v>-0.28142857142857125</c:v>
                </c:pt>
                <c:pt idx="205" formatCode="0.0">
                  <c:v>-0.36714285714285694</c:v>
                </c:pt>
                <c:pt idx="206" formatCode="0.0">
                  <c:v>-0.47142857142857125</c:v>
                </c:pt>
                <c:pt idx="207" formatCode="0.0">
                  <c:v>-0.54999999999999993</c:v>
                </c:pt>
                <c:pt idx="208" formatCode="0.0">
                  <c:v>-0.57571428571428562</c:v>
                </c:pt>
                <c:pt idx="209" formatCode="0.0">
                  <c:v>-0.51428571428571423</c:v>
                </c:pt>
                <c:pt idx="210" formatCode="0.0">
                  <c:v>-0.44571428571428584</c:v>
                </c:pt>
                <c:pt idx="211" formatCode="0.0">
                  <c:v>-0.41000000000000014</c:v>
                </c:pt>
                <c:pt idx="212" formatCode="0.0">
                  <c:v>-0.33428571428571452</c:v>
                </c:pt>
                <c:pt idx="213" formatCode="0.0">
                  <c:v>-0.27285714285714285</c:v>
                </c:pt>
                <c:pt idx="214" formatCode="0.0">
                  <c:v>-0.22142857142857153</c:v>
                </c:pt>
                <c:pt idx="215" formatCode="0.0">
                  <c:v>-0.18142857142857163</c:v>
                </c:pt>
                <c:pt idx="216" formatCode="0.0">
                  <c:v>-0.19285714285714306</c:v>
                </c:pt>
                <c:pt idx="217" formatCode="0.0">
                  <c:v>-0.14428571428571427</c:v>
                </c:pt>
                <c:pt idx="218" formatCode="0.0">
                  <c:v>-9.714285714285685E-2</c:v>
                </c:pt>
                <c:pt idx="219" formatCode="0.0">
                  <c:v>-4.85714285714283E-2</c:v>
                </c:pt>
                <c:pt idx="220" formatCode="0.0">
                  <c:v>-1.2857142857142583E-2</c:v>
                </c:pt>
                <c:pt idx="221" formatCode="0.0">
                  <c:v>1.8571428571428936E-2</c:v>
                </c:pt>
                <c:pt idx="222" formatCode="0.0">
                  <c:v>0.1157142857142863</c:v>
                </c:pt>
                <c:pt idx="223" formatCode="0.0">
                  <c:v>0.21714285714285758</c:v>
                </c:pt>
                <c:pt idx="224" formatCode="0.0">
                  <c:v>0.25000000000000028</c:v>
                </c:pt>
                <c:pt idx="225" formatCode="0.0">
                  <c:v>0.27714285714285708</c:v>
                </c:pt>
                <c:pt idx="226" formatCode="0.0">
                  <c:v>0.26571428571428563</c:v>
                </c:pt>
                <c:pt idx="227" formatCode="0.0">
                  <c:v>0.2657142857142854</c:v>
                </c:pt>
                <c:pt idx="228" formatCode="0.0">
                  <c:v>0.26571428571428513</c:v>
                </c:pt>
                <c:pt idx="229" formatCode="0.0">
                  <c:v>0.17142857142857082</c:v>
                </c:pt>
                <c:pt idx="230" formatCode="0.0">
                  <c:v>8.9999999999999344E-2</c:v>
                </c:pt>
                <c:pt idx="231" formatCode="0.0">
                  <c:v>4.8571428571428044E-2</c:v>
                </c:pt>
                <c:pt idx="232" formatCode="0.0">
                  <c:v>3.8571428571428257E-2</c:v>
                </c:pt>
                <c:pt idx="233" formatCode="0.0">
                  <c:v>1.7142857142857033E-2</c:v>
                </c:pt>
                <c:pt idx="234" formatCode="0.0">
                  <c:v>-0.1057142857142855</c:v>
                </c:pt>
                <c:pt idx="235" formatCode="0.0">
                  <c:v>-0.19714285714285676</c:v>
                </c:pt>
                <c:pt idx="236" formatCode="0.0">
                  <c:v>-0.23571428571428527</c:v>
                </c:pt>
                <c:pt idx="237" formatCode="0.0">
                  <c:v>-0.26428571428571374</c:v>
                </c:pt>
                <c:pt idx="238" formatCode="0.0">
                  <c:v>-0.28857142857142826</c:v>
                </c:pt>
                <c:pt idx="239" formatCode="0.0">
                  <c:v>-0.32285714285714256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15-4631-A757-193724CC8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(5Hz)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50"/>
        <c:noMultiLvlLbl val="0"/>
      </c:catAx>
      <c:valAx>
        <c:axId val="43578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Motion Mini - Comparing</a:t>
            </a:r>
            <a:r>
              <a:rPr lang="en-GB" baseline="0"/>
              <a:t> acceleration calculations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Existing calculation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motion!$Q$3:$Q$493</c:f>
              <c:numCache>
                <c:formatCode>0.0</c:formatCode>
                <c:ptCount val="491"/>
                <c:pt idx="1">
                  <c:v>0.93055555555555003</c:v>
                </c:pt>
                <c:pt idx="2">
                  <c:v>0.73055555555555429</c:v>
                </c:pt>
                <c:pt idx="3">
                  <c:v>0.81944444444445708</c:v>
                </c:pt>
                <c:pt idx="4">
                  <c:v>0.18055555555555713</c:v>
                </c:pt>
                <c:pt idx="5">
                  <c:v>0.91944444444443718</c:v>
                </c:pt>
                <c:pt idx="6">
                  <c:v>0.19166666666666998</c:v>
                </c:pt>
                <c:pt idx="7">
                  <c:v>0.17777777777777004</c:v>
                </c:pt>
                <c:pt idx="8">
                  <c:v>-0.10833333333332362</c:v>
                </c:pt>
                <c:pt idx="9">
                  <c:v>0.58055555555554861</c:v>
                </c:pt>
                <c:pt idx="10">
                  <c:v>-0.37222222222222712</c:v>
                </c:pt>
                <c:pt idx="11">
                  <c:v>0.21111111111112635</c:v>
                </c:pt>
                <c:pt idx="12">
                  <c:v>0.969444444444445</c:v>
                </c:pt>
                <c:pt idx="13">
                  <c:v>0.59166666666666146</c:v>
                </c:pt>
                <c:pt idx="14">
                  <c:v>0.38888888888887863</c:v>
                </c:pt>
                <c:pt idx="15">
                  <c:v>0.98888888888890136</c:v>
                </c:pt>
                <c:pt idx="16">
                  <c:v>0.73055555555555429</c:v>
                </c:pt>
                <c:pt idx="17">
                  <c:v>0.76111111111110574</c:v>
                </c:pt>
                <c:pt idx="18">
                  <c:v>8.0555555555559266E-2</c:v>
                </c:pt>
                <c:pt idx="19">
                  <c:v>8.888888888888502E-2</c:v>
                </c:pt>
                <c:pt idx="20">
                  <c:v>0.61111111111111782</c:v>
                </c:pt>
                <c:pt idx="21">
                  <c:v>-0.58055555555556637</c:v>
                </c:pt>
                <c:pt idx="22">
                  <c:v>0.4805555555555685</c:v>
                </c:pt>
                <c:pt idx="23">
                  <c:v>0.51944444444444571</c:v>
                </c:pt>
                <c:pt idx="24">
                  <c:v>8.3333333333257542E-3</c:v>
                </c:pt>
                <c:pt idx="25">
                  <c:v>0.89999999999999858</c:v>
                </c:pt>
                <c:pt idx="26">
                  <c:v>0.49166666666666359</c:v>
                </c:pt>
                <c:pt idx="27">
                  <c:v>0.35833333333334494</c:v>
                </c:pt>
                <c:pt idx="28">
                  <c:v>0.94999999999998863</c:v>
                </c:pt>
                <c:pt idx="29">
                  <c:v>0.44166666666667354</c:v>
                </c:pt>
                <c:pt idx="30">
                  <c:v>0.44999999999999929</c:v>
                </c:pt>
                <c:pt idx="31">
                  <c:v>6.9444444444446418E-2</c:v>
                </c:pt>
                <c:pt idx="32">
                  <c:v>-0.68888888888888999</c:v>
                </c:pt>
                <c:pt idx="33">
                  <c:v>-5.0000000000007816E-2</c:v>
                </c:pt>
                <c:pt idx="34">
                  <c:v>0.67777777777777715</c:v>
                </c:pt>
                <c:pt idx="35">
                  <c:v>0.18055555555555713</c:v>
                </c:pt>
                <c:pt idx="36">
                  <c:v>-3.8888888888877204E-2</c:v>
                </c:pt>
                <c:pt idx="37">
                  <c:v>0.78888888888888786</c:v>
                </c:pt>
                <c:pt idx="38">
                  <c:v>0.99166666666665293</c:v>
                </c:pt>
                <c:pt idx="39">
                  <c:v>-6.11111111111029E-2</c:v>
                </c:pt>
                <c:pt idx="40">
                  <c:v>-0.61111111111111782</c:v>
                </c:pt>
                <c:pt idx="41">
                  <c:v>1.2111111111111228</c:v>
                </c:pt>
                <c:pt idx="42">
                  <c:v>0.24999999999998579</c:v>
                </c:pt>
                <c:pt idx="43">
                  <c:v>-1.4999999999999858</c:v>
                </c:pt>
                <c:pt idx="44">
                  <c:v>-0.11944444444445423</c:v>
                </c:pt>
                <c:pt idx="45">
                  <c:v>3.8888888888894968E-2</c:v>
                </c:pt>
                <c:pt idx="46">
                  <c:v>-6.9444444444446418E-2</c:v>
                </c:pt>
                <c:pt idx="47">
                  <c:v>1.7888888888888843</c:v>
                </c:pt>
                <c:pt idx="48">
                  <c:v>-1.0083333333333222</c:v>
                </c:pt>
                <c:pt idx="49">
                  <c:v>-0.81944444444445708</c:v>
                </c:pt>
                <c:pt idx="50">
                  <c:v>0.98888888888890136</c:v>
                </c:pt>
                <c:pt idx="51">
                  <c:v>-0.76111111111112351</c:v>
                </c:pt>
                <c:pt idx="52">
                  <c:v>0.49166666666666359</c:v>
                </c:pt>
                <c:pt idx="53">
                  <c:v>1.2000000000000099</c:v>
                </c:pt>
                <c:pt idx="54">
                  <c:v>0.70000000000000284</c:v>
                </c:pt>
                <c:pt idx="55">
                  <c:v>-1.2694444444444564</c:v>
                </c:pt>
                <c:pt idx="56">
                  <c:v>0.88888888888890349</c:v>
                </c:pt>
                <c:pt idx="57">
                  <c:v>0.31944444444443221</c:v>
                </c:pt>
                <c:pt idx="58">
                  <c:v>-0.65833333333332078</c:v>
                </c:pt>
                <c:pt idx="59">
                  <c:v>-0.25000000000000355</c:v>
                </c:pt>
                <c:pt idx="60">
                  <c:v>-0.2416666666666778</c:v>
                </c:pt>
                <c:pt idx="61">
                  <c:v>-0.59999999999998721</c:v>
                </c:pt>
                <c:pt idx="62">
                  <c:v>-9.9999999999997868E-2</c:v>
                </c:pt>
                <c:pt idx="63">
                  <c:v>-0.36944444444445779</c:v>
                </c:pt>
                <c:pt idx="64">
                  <c:v>0.63055555555555642</c:v>
                </c:pt>
                <c:pt idx="65">
                  <c:v>-6.11111111111029E-2</c:v>
                </c:pt>
                <c:pt idx="66">
                  <c:v>0.56944444444443576</c:v>
                </c:pt>
                <c:pt idx="67">
                  <c:v>0.38055555555555287</c:v>
                </c:pt>
                <c:pt idx="68">
                  <c:v>-0.86944444444442937</c:v>
                </c:pt>
                <c:pt idx="69">
                  <c:v>0.66111111111110787</c:v>
                </c:pt>
                <c:pt idx="70">
                  <c:v>-0.25000000000000355</c:v>
                </c:pt>
                <c:pt idx="71">
                  <c:v>0.66944444444445139</c:v>
                </c:pt>
                <c:pt idx="72">
                  <c:v>-1.1805555555555713</c:v>
                </c:pt>
                <c:pt idx="73">
                  <c:v>-0.79999999999998295</c:v>
                </c:pt>
                <c:pt idx="74">
                  <c:v>-0.11111111111112848</c:v>
                </c:pt>
                <c:pt idx="75">
                  <c:v>-1.0388888888888737</c:v>
                </c:pt>
                <c:pt idx="76">
                  <c:v>-0.35000000000000142</c:v>
                </c:pt>
                <c:pt idx="77">
                  <c:v>0.76111111111110574</c:v>
                </c:pt>
                <c:pt idx="78">
                  <c:v>-0.67222222222222072</c:v>
                </c:pt>
                <c:pt idx="79">
                  <c:v>-1.1694444444444407</c:v>
                </c:pt>
                <c:pt idx="80">
                  <c:v>0.83055555555555216</c:v>
                </c:pt>
                <c:pt idx="81">
                  <c:v>-0.15000000000000568</c:v>
                </c:pt>
                <c:pt idx="82">
                  <c:v>-8.888888888888502E-2</c:v>
                </c:pt>
                <c:pt idx="83">
                  <c:v>-9.1666666666672114E-2</c:v>
                </c:pt>
                <c:pt idx="84">
                  <c:v>-1.3999999999999879</c:v>
                </c:pt>
                <c:pt idx="85">
                  <c:v>0.11111111111111072</c:v>
                </c:pt>
                <c:pt idx="86">
                  <c:v>-0.13055555555556708</c:v>
                </c:pt>
                <c:pt idx="87">
                  <c:v>0.91944444444445494</c:v>
                </c:pt>
                <c:pt idx="88">
                  <c:v>-0.30833333333333712</c:v>
                </c:pt>
                <c:pt idx="89">
                  <c:v>0.56944444444443576</c:v>
                </c:pt>
                <c:pt idx="90">
                  <c:v>0.58888888888889213</c:v>
                </c:pt>
                <c:pt idx="91">
                  <c:v>0.19999999999999574</c:v>
                </c:pt>
                <c:pt idx="92">
                  <c:v>0.96111111111111924</c:v>
                </c:pt>
                <c:pt idx="93">
                  <c:v>-1.9500000000000028</c:v>
                </c:pt>
                <c:pt idx="94">
                  <c:v>0.53888888888888431</c:v>
                </c:pt>
                <c:pt idx="95">
                  <c:v>-0.10833333333332362</c:v>
                </c:pt>
                <c:pt idx="96">
                  <c:v>-0.89166666666667282</c:v>
                </c:pt>
                <c:pt idx="97">
                  <c:v>0.74166666666666714</c:v>
                </c:pt>
                <c:pt idx="98">
                  <c:v>-0.64999999999999503</c:v>
                </c:pt>
                <c:pt idx="99">
                  <c:v>1.2694444444444386</c:v>
                </c:pt>
                <c:pt idx="100">
                  <c:v>1.1000000000000121</c:v>
                </c:pt>
                <c:pt idx="101">
                  <c:v>-0.16111111111111853</c:v>
                </c:pt>
                <c:pt idx="102">
                  <c:v>0.41111111111110432</c:v>
                </c:pt>
                <c:pt idx="103">
                  <c:v>0.43888888888890421</c:v>
                </c:pt>
                <c:pt idx="104">
                  <c:v>-0.15000000000000568</c:v>
                </c:pt>
                <c:pt idx="105">
                  <c:v>1.899999999999995</c:v>
                </c:pt>
                <c:pt idx="106">
                  <c:v>-0.54999999999999716</c:v>
                </c:pt>
                <c:pt idx="107">
                  <c:v>-0.2194444444444521</c:v>
                </c:pt>
                <c:pt idx="108">
                  <c:v>0.80000000000000071</c:v>
                </c:pt>
                <c:pt idx="109">
                  <c:v>-0.38888888888887863</c:v>
                </c:pt>
                <c:pt idx="110">
                  <c:v>0.60833333333333073</c:v>
                </c:pt>
                <c:pt idx="111">
                  <c:v>-0.50833333333333286</c:v>
                </c:pt>
                <c:pt idx="112">
                  <c:v>4.9999999999990052E-2</c:v>
                </c:pt>
                <c:pt idx="113">
                  <c:v>1.2083333333333357</c:v>
                </c:pt>
                <c:pt idx="114">
                  <c:v>0.46111111111111214</c:v>
                </c:pt>
                <c:pt idx="115">
                  <c:v>-0.44166666666665577</c:v>
                </c:pt>
                <c:pt idx="116">
                  <c:v>0.94166666666666288</c:v>
                </c:pt>
                <c:pt idx="117">
                  <c:v>2.3000000000000043</c:v>
                </c:pt>
                <c:pt idx="118">
                  <c:v>-1.8611111111111178</c:v>
                </c:pt>
                <c:pt idx="119">
                  <c:v>0.64166666666666927</c:v>
                </c:pt>
                <c:pt idx="120">
                  <c:v>-0.34166666666667567</c:v>
                </c:pt>
                <c:pt idx="121">
                  <c:v>0.83055555555556992</c:v>
                </c:pt>
                <c:pt idx="122">
                  <c:v>-0.76944444444444926</c:v>
                </c:pt>
                <c:pt idx="123">
                  <c:v>1.2888888888888772</c:v>
                </c:pt>
                <c:pt idx="124">
                  <c:v>-0.23888888888887294</c:v>
                </c:pt>
                <c:pt idx="125">
                  <c:v>1.1305555555555458</c:v>
                </c:pt>
                <c:pt idx="126">
                  <c:v>-9.9999999999997868E-2</c:v>
                </c:pt>
                <c:pt idx="127">
                  <c:v>-0.22222222222222143</c:v>
                </c:pt>
                <c:pt idx="128">
                  <c:v>0.79166666666667496</c:v>
                </c:pt>
                <c:pt idx="129">
                  <c:v>0.33888888888888857</c:v>
                </c:pt>
                <c:pt idx="130">
                  <c:v>-3.0555555555569214E-2</c:v>
                </c:pt>
                <c:pt idx="131">
                  <c:v>0.99999999999999645</c:v>
                </c:pt>
                <c:pt idx="132">
                  <c:v>1.5000000000000036</c:v>
                </c:pt>
                <c:pt idx="133">
                  <c:v>1.5722222222222193</c:v>
                </c:pt>
                <c:pt idx="134">
                  <c:v>1.8083333333333407</c:v>
                </c:pt>
                <c:pt idx="135">
                  <c:v>-2.0888888888888957</c:v>
                </c:pt>
                <c:pt idx="136">
                  <c:v>-0.21944444444443434</c:v>
                </c:pt>
                <c:pt idx="137">
                  <c:v>-1.4722222222222214</c:v>
                </c:pt>
                <c:pt idx="138">
                  <c:v>0.39999999999999147</c:v>
                </c:pt>
                <c:pt idx="139">
                  <c:v>-0.7277777777777672</c:v>
                </c:pt>
                <c:pt idx="140">
                  <c:v>-0.84166666666666501</c:v>
                </c:pt>
                <c:pt idx="141">
                  <c:v>-0.70833333333334636</c:v>
                </c:pt>
                <c:pt idx="142">
                  <c:v>-0.57222222222222285</c:v>
                </c:pt>
                <c:pt idx="143">
                  <c:v>1.0222222222222221</c:v>
                </c:pt>
                <c:pt idx="144">
                  <c:v>0.11944444444445423</c:v>
                </c:pt>
                <c:pt idx="145">
                  <c:v>-1.7305555555555507</c:v>
                </c:pt>
                <c:pt idx="146">
                  <c:v>-0.38888888888889639</c:v>
                </c:pt>
                <c:pt idx="147">
                  <c:v>1.4499999999999957</c:v>
                </c:pt>
                <c:pt idx="148">
                  <c:v>-0.19166666666666998</c:v>
                </c:pt>
                <c:pt idx="149">
                  <c:v>1.0305555555555657</c:v>
                </c:pt>
                <c:pt idx="150">
                  <c:v>0.71944444444444144</c:v>
                </c:pt>
                <c:pt idx="151">
                  <c:v>0.11944444444443647</c:v>
                </c:pt>
                <c:pt idx="152">
                  <c:v>-0.32777777777777573</c:v>
                </c:pt>
                <c:pt idx="153">
                  <c:v>-0.97222222222221433</c:v>
                </c:pt>
                <c:pt idx="154">
                  <c:v>1.4722222222222214</c:v>
                </c:pt>
                <c:pt idx="155">
                  <c:v>-1.2916666666666643</c:v>
                </c:pt>
                <c:pt idx="156">
                  <c:v>-0.20833333333333925</c:v>
                </c:pt>
                <c:pt idx="157">
                  <c:v>0.25000000000000355</c:v>
                </c:pt>
                <c:pt idx="158">
                  <c:v>1.3888888888888928</c:v>
                </c:pt>
                <c:pt idx="159">
                  <c:v>0.46944444444443789</c:v>
                </c:pt>
                <c:pt idx="160">
                  <c:v>8.0555555555559266E-2</c:v>
                </c:pt>
                <c:pt idx="161">
                  <c:v>1.2305555555555614</c:v>
                </c:pt>
                <c:pt idx="162">
                  <c:v>-0.84166666666668277</c:v>
                </c:pt>
                <c:pt idx="163">
                  <c:v>0.83055555555556992</c:v>
                </c:pt>
                <c:pt idx="164">
                  <c:v>0.73055555555555429</c:v>
                </c:pt>
                <c:pt idx="165">
                  <c:v>-1.6500000000000092</c:v>
                </c:pt>
                <c:pt idx="166">
                  <c:v>-0.38888888888887863</c:v>
                </c:pt>
                <c:pt idx="167">
                  <c:v>-0.2416666666666778</c:v>
                </c:pt>
                <c:pt idx="168">
                  <c:v>0.34166666666667567</c:v>
                </c:pt>
                <c:pt idx="169">
                  <c:v>-9.9999999999997868E-2</c:v>
                </c:pt>
                <c:pt idx="170">
                  <c:v>-1.6111111111111143</c:v>
                </c:pt>
                <c:pt idx="171">
                  <c:v>0.21111111111110858</c:v>
                </c:pt>
                <c:pt idx="172">
                  <c:v>-7.2222222222215748E-2</c:v>
                </c:pt>
                <c:pt idx="173">
                  <c:v>2.0500000000000007</c:v>
                </c:pt>
                <c:pt idx="174">
                  <c:v>0.86111111111110361</c:v>
                </c:pt>
                <c:pt idx="175">
                  <c:v>6.9444444444446418E-2</c:v>
                </c:pt>
                <c:pt idx="176">
                  <c:v>-2.3694444444444507</c:v>
                </c:pt>
                <c:pt idx="177">
                  <c:v>0.280555555555555</c:v>
                </c:pt>
                <c:pt idx="178">
                  <c:v>-0.43055555555554292</c:v>
                </c:pt>
                <c:pt idx="179">
                  <c:v>9.9999999999997868E-2</c:v>
                </c:pt>
                <c:pt idx="180">
                  <c:v>1.1111111111111072</c:v>
                </c:pt>
                <c:pt idx="181">
                  <c:v>3.8888888888894968E-2</c:v>
                </c:pt>
                <c:pt idx="182">
                  <c:v>1.4194444444444443</c:v>
                </c:pt>
                <c:pt idx="183">
                  <c:v>0.11111111111111072</c:v>
                </c:pt>
                <c:pt idx="184">
                  <c:v>1.6000000000000014</c:v>
                </c:pt>
                <c:pt idx="185">
                  <c:v>0.31944444444443221</c:v>
                </c:pt>
                <c:pt idx="186">
                  <c:v>-2.8805555555555529</c:v>
                </c:pt>
                <c:pt idx="187">
                  <c:v>-0.63055555555555642</c:v>
                </c:pt>
                <c:pt idx="188">
                  <c:v>2.8805555555555529</c:v>
                </c:pt>
                <c:pt idx="189">
                  <c:v>0.49166666666666359</c:v>
                </c:pt>
                <c:pt idx="190">
                  <c:v>-0.61111111111110006</c:v>
                </c:pt>
                <c:pt idx="191">
                  <c:v>-3.01111111111112</c:v>
                </c:pt>
                <c:pt idx="192">
                  <c:v>-2.6694444444444443</c:v>
                </c:pt>
                <c:pt idx="193">
                  <c:v>1.161111111111115</c:v>
                </c:pt>
                <c:pt idx="194">
                  <c:v>0.88055555555555998</c:v>
                </c:pt>
                <c:pt idx="195">
                  <c:v>-0.5222222222222328</c:v>
                </c:pt>
                <c:pt idx="196">
                  <c:v>-0.75833333333331865</c:v>
                </c:pt>
                <c:pt idx="197">
                  <c:v>-1.3916666666666799</c:v>
                </c:pt>
                <c:pt idx="198">
                  <c:v>-1.8083333333333229</c:v>
                </c:pt>
                <c:pt idx="199">
                  <c:v>-1.2000000000000099</c:v>
                </c:pt>
                <c:pt idx="200">
                  <c:v>-1.0499999999999865</c:v>
                </c:pt>
                <c:pt idx="201">
                  <c:v>0.19999999999999574</c:v>
                </c:pt>
                <c:pt idx="202">
                  <c:v>-0.30000000000001137</c:v>
                </c:pt>
                <c:pt idx="203">
                  <c:v>-2.8999999999999915</c:v>
                </c:pt>
                <c:pt idx="204">
                  <c:v>-0.969444444444445</c:v>
                </c:pt>
                <c:pt idx="205">
                  <c:v>2.0694444444444393</c:v>
                </c:pt>
                <c:pt idx="206">
                  <c:v>-0.41111111111110432</c:v>
                </c:pt>
                <c:pt idx="207">
                  <c:v>-0.88055555555555998</c:v>
                </c:pt>
                <c:pt idx="208">
                  <c:v>0.19166666666666998</c:v>
                </c:pt>
                <c:pt idx="209">
                  <c:v>0.23055555555554719</c:v>
                </c:pt>
                <c:pt idx="210">
                  <c:v>-1.3305555555555415</c:v>
                </c:pt>
                <c:pt idx="211">
                  <c:v>-1.9444444444456366E-2</c:v>
                </c:pt>
                <c:pt idx="212">
                  <c:v>0.20833333333333925</c:v>
                </c:pt>
                <c:pt idx="213">
                  <c:v>1.0416666666666607</c:v>
                </c:pt>
                <c:pt idx="214">
                  <c:v>-1.4305555555555571</c:v>
                </c:pt>
                <c:pt idx="215">
                  <c:v>-0.94166666666666288</c:v>
                </c:pt>
                <c:pt idx="216">
                  <c:v>0.27222222222222925</c:v>
                </c:pt>
                <c:pt idx="217">
                  <c:v>0.51944444444444571</c:v>
                </c:pt>
                <c:pt idx="218">
                  <c:v>-1.3916666666666799</c:v>
                </c:pt>
                <c:pt idx="219">
                  <c:v>-1.5194444444444422</c:v>
                </c:pt>
                <c:pt idx="220">
                  <c:v>-2.0500000000000007</c:v>
                </c:pt>
                <c:pt idx="221">
                  <c:v>-8.888888888888502E-2</c:v>
                </c:pt>
                <c:pt idx="222">
                  <c:v>-1.4499999999999957</c:v>
                </c:pt>
                <c:pt idx="223">
                  <c:v>-0.40000000000000924</c:v>
                </c:pt>
                <c:pt idx="224">
                  <c:v>1.6388888888888964</c:v>
                </c:pt>
                <c:pt idx="225">
                  <c:v>-0.73055555555555429</c:v>
                </c:pt>
                <c:pt idx="226">
                  <c:v>-0.95833333333333215</c:v>
                </c:pt>
                <c:pt idx="227">
                  <c:v>-0.51944444444444571</c:v>
                </c:pt>
                <c:pt idx="228">
                  <c:v>-1.6000000000000014</c:v>
                </c:pt>
                <c:pt idx="229">
                  <c:v>-0.78055555555556211</c:v>
                </c:pt>
                <c:pt idx="230">
                  <c:v>-0.48055555555555074</c:v>
                </c:pt>
                <c:pt idx="231">
                  <c:v>-1.7694444444444457</c:v>
                </c:pt>
                <c:pt idx="232">
                  <c:v>-0.11944444444443647</c:v>
                </c:pt>
                <c:pt idx="233">
                  <c:v>0.22777777777777786</c:v>
                </c:pt>
                <c:pt idx="234">
                  <c:v>-1.6888888888888864</c:v>
                </c:pt>
                <c:pt idx="235">
                  <c:v>1.2694444444444386</c:v>
                </c:pt>
                <c:pt idx="236">
                  <c:v>-3.055555555555145E-2</c:v>
                </c:pt>
                <c:pt idx="237">
                  <c:v>-0.75000000000001066</c:v>
                </c:pt>
                <c:pt idx="238">
                  <c:v>-8.3333333333257542E-3</c:v>
                </c:pt>
                <c:pt idx="239">
                  <c:v>-0.89999999999999858</c:v>
                </c:pt>
                <c:pt idx="240">
                  <c:v>-0.94166666666666288</c:v>
                </c:pt>
                <c:pt idx="241">
                  <c:v>1.4305555555555394</c:v>
                </c:pt>
                <c:pt idx="242">
                  <c:v>-1.3083333333333158</c:v>
                </c:pt>
                <c:pt idx="243">
                  <c:v>0.19999999999999574</c:v>
                </c:pt>
                <c:pt idx="244">
                  <c:v>0.20833333333332149</c:v>
                </c:pt>
                <c:pt idx="245">
                  <c:v>-1.2999999999999901</c:v>
                </c:pt>
                <c:pt idx="246">
                  <c:v>0.66944444444443363</c:v>
                </c:pt>
                <c:pt idx="247">
                  <c:v>-0.36944444444444002</c:v>
                </c:pt>
                <c:pt idx="248">
                  <c:v>-1.0083333333333222</c:v>
                </c:pt>
                <c:pt idx="249">
                  <c:v>-0.13055555555556708</c:v>
                </c:pt>
                <c:pt idx="250">
                  <c:v>-0.51111111111110219</c:v>
                </c:pt>
                <c:pt idx="251">
                  <c:v>-1.8888888888888999</c:v>
                </c:pt>
                <c:pt idx="252">
                  <c:v>0.93888888888889355</c:v>
                </c:pt>
                <c:pt idx="253">
                  <c:v>-3.8083333333333336</c:v>
                </c:pt>
                <c:pt idx="254">
                  <c:v>-0.49999999999998934</c:v>
                </c:pt>
                <c:pt idx="255">
                  <c:v>-1.0305555555555657</c:v>
                </c:pt>
                <c:pt idx="256">
                  <c:v>2.3888888888888893</c:v>
                </c:pt>
                <c:pt idx="257">
                  <c:v>-2.7083333333333393</c:v>
                </c:pt>
                <c:pt idx="258">
                  <c:v>0.31944444444444997</c:v>
                </c:pt>
                <c:pt idx="259">
                  <c:v>-0.98055555555555785</c:v>
                </c:pt>
                <c:pt idx="260">
                  <c:v>-1.9111111111111079</c:v>
                </c:pt>
                <c:pt idx="261">
                  <c:v>-1.05833333333333</c:v>
                </c:pt>
                <c:pt idx="262">
                  <c:v>2.6805555555555571</c:v>
                </c:pt>
                <c:pt idx="263">
                  <c:v>-4.63055555555556</c:v>
                </c:pt>
                <c:pt idx="264">
                  <c:v>-0.18055555555555713</c:v>
                </c:pt>
                <c:pt idx="265">
                  <c:v>2.5611111111111207</c:v>
                </c:pt>
                <c:pt idx="266">
                  <c:v>0.85833333333331652</c:v>
                </c:pt>
                <c:pt idx="267">
                  <c:v>-2.0194444444444315</c:v>
                </c:pt>
                <c:pt idx="268">
                  <c:v>-3.8694444444444542</c:v>
                </c:pt>
                <c:pt idx="269">
                  <c:v>-5.1416666666666622</c:v>
                </c:pt>
                <c:pt idx="270">
                  <c:v>11.241666666666674</c:v>
                </c:pt>
                <c:pt idx="271">
                  <c:v>8.3333333333257542E-3</c:v>
                </c:pt>
                <c:pt idx="272">
                  <c:v>9.9999999999997868E-2</c:v>
                </c:pt>
                <c:pt idx="273">
                  <c:v>-5.36944444444444</c:v>
                </c:pt>
                <c:pt idx="274">
                  <c:v>-1.4083333333333314</c:v>
                </c:pt>
                <c:pt idx="275">
                  <c:v>7.7777777777772172E-2</c:v>
                </c:pt>
                <c:pt idx="276">
                  <c:v>2.1499999999999986</c:v>
                </c:pt>
                <c:pt idx="277">
                  <c:v>1.6999999999999993</c:v>
                </c:pt>
                <c:pt idx="278">
                  <c:v>-1.2194444444444485</c:v>
                </c:pt>
                <c:pt idx="279">
                  <c:v>-1.2083333333333179</c:v>
                </c:pt>
                <c:pt idx="280">
                  <c:v>1.8083333333333229</c:v>
                </c:pt>
                <c:pt idx="281">
                  <c:v>0.91111111111112919</c:v>
                </c:pt>
                <c:pt idx="282">
                  <c:v>1.1083333333333378</c:v>
                </c:pt>
                <c:pt idx="283">
                  <c:v>-2.6500000000000234</c:v>
                </c:pt>
                <c:pt idx="284">
                  <c:v>1.0416666666666785</c:v>
                </c:pt>
                <c:pt idx="285">
                  <c:v>-0.91944444444445494</c:v>
                </c:pt>
                <c:pt idx="286">
                  <c:v>-2.8611111111111143</c:v>
                </c:pt>
                <c:pt idx="287">
                  <c:v>-1.8305555555555486</c:v>
                </c:pt>
                <c:pt idx="288">
                  <c:v>0.16111111111111853</c:v>
                </c:pt>
                <c:pt idx="289">
                  <c:v>-0.94166666666668064</c:v>
                </c:pt>
                <c:pt idx="290">
                  <c:v>-0.55833333333332291</c:v>
                </c:pt>
                <c:pt idx="291">
                  <c:v>1.4194444444444443</c:v>
                </c:pt>
                <c:pt idx="292">
                  <c:v>0.36944444444444002</c:v>
                </c:pt>
                <c:pt idx="293">
                  <c:v>0.16944444444444429</c:v>
                </c:pt>
                <c:pt idx="294">
                  <c:v>2.0500000000000007</c:v>
                </c:pt>
                <c:pt idx="295">
                  <c:v>6.0305555555555479</c:v>
                </c:pt>
                <c:pt idx="296">
                  <c:v>-1.1305555555555458</c:v>
                </c:pt>
                <c:pt idx="297">
                  <c:v>-4.3083333333333407</c:v>
                </c:pt>
                <c:pt idx="298">
                  <c:v>1.2083333333333357</c:v>
                </c:pt>
                <c:pt idx="299">
                  <c:v>2.1722222222222065</c:v>
                </c:pt>
                <c:pt idx="300">
                  <c:v>0.67777777777777715</c:v>
                </c:pt>
                <c:pt idx="301">
                  <c:v>1.8222222222222406</c:v>
                </c:pt>
                <c:pt idx="302">
                  <c:v>1.0888888888888815</c:v>
                </c:pt>
                <c:pt idx="303">
                  <c:v>0.11111111111111072</c:v>
                </c:pt>
                <c:pt idx="304">
                  <c:v>1.4694444444444521</c:v>
                </c:pt>
                <c:pt idx="305">
                  <c:v>1.8083333333333407</c:v>
                </c:pt>
                <c:pt idx="306">
                  <c:v>-1.0583333333333478</c:v>
                </c:pt>
                <c:pt idx="307">
                  <c:v>-2.6499999999999879</c:v>
                </c:pt>
                <c:pt idx="308">
                  <c:v>3.2694444444444315</c:v>
                </c:pt>
                <c:pt idx="309">
                  <c:v>2.1694444444444549</c:v>
                </c:pt>
                <c:pt idx="310">
                  <c:v>0.81111111111111356</c:v>
                </c:pt>
                <c:pt idx="311">
                  <c:v>1.6999999999999993</c:v>
                </c:pt>
                <c:pt idx="312">
                  <c:v>0.94999999999998863</c:v>
                </c:pt>
                <c:pt idx="313">
                  <c:v>2.1805555555555678</c:v>
                </c:pt>
                <c:pt idx="314">
                  <c:v>4.3777777777777693</c:v>
                </c:pt>
                <c:pt idx="315">
                  <c:v>-5.833333333333357E-2</c:v>
                </c:pt>
                <c:pt idx="316">
                  <c:v>-2.18055555555555</c:v>
                </c:pt>
                <c:pt idx="317">
                  <c:v>-1.8805555555555564</c:v>
                </c:pt>
                <c:pt idx="318">
                  <c:v>-0.80000000000000071</c:v>
                </c:pt>
                <c:pt idx="319">
                  <c:v>-0.969444444444445</c:v>
                </c:pt>
                <c:pt idx="320">
                  <c:v>8.0555555555559266E-2</c:v>
                </c:pt>
                <c:pt idx="321">
                  <c:v>-0.86111111111112137</c:v>
                </c:pt>
                <c:pt idx="322">
                  <c:v>1.1194444444444507</c:v>
                </c:pt>
                <c:pt idx="323">
                  <c:v>2.5111111111111128</c:v>
                </c:pt>
                <c:pt idx="324">
                  <c:v>0.91111111111111143</c:v>
                </c:pt>
                <c:pt idx="325">
                  <c:v>1.4194444444444443</c:v>
                </c:pt>
                <c:pt idx="326">
                  <c:v>0.56944444444443576</c:v>
                </c:pt>
                <c:pt idx="327">
                  <c:v>-1.1694444444444407</c:v>
                </c:pt>
                <c:pt idx="328">
                  <c:v>-0.16944444444444429</c:v>
                </c:pt>
                <c:pt idx="329">
                  <c:v>2.8777777777777835</c:v>
                </c:pt>
                <c:pt idx="330">
                  <c:v>0.67222222222222072</c:v>
                </c:pt>
                <c:pt idx="331">
                  <c:v>-1.2305555555555614</c:v>
                </c:pt>
                <c:pt idx="332">
                  <c:v>1.1583333333333456</c:v>
                </c:pt>
                <c:pt idx="333">
                  <c:v>1.4111111111111008</c:v>
                </c:pt>
                <c:pt idx="334">
                  <c:v>1.0388888888888914</c:v>
                </c:pt>
                <c:pt idx="335">
                  <c:v>1.5722222222222193</c:v>
                </c:pt>
                <c:pt idx="336">
                  <c:v>-0.11111111111111072</c:v>
                </c:pt>
                <c:pt idx="337">
                  <c:v>1.899999999999995</c:v>
                </c:pt>
                <c:pt idx="338">
                  <c:v>0.50000000000000711</c:v>
                </c:pt>
                <c:pt idx="339">
                  <c:v>-0.23055555555554719</c:v>
                </c:pt>
                <c:pt idx="340">
                  <c:v>-0.75000000000001066</c:v>
                </c:pt>
                <c:pt idx="341">
                  <c:v>0.13055555555556708</c:v>
                </c:pt>
                <c:pt idx="342">
                  <c:v>-1.0194444444444528</c:v>
                </c:pt>
                <c:pt idx="343">
                  <c:v>-1.7416666666666636</c:v>
                </c:pt>
                <c:pt idx="344">
                  <c:v>2.3805555555555458</c:v>
                </c:pt>
                <c:pt idx="345">
                  <c:v>-0.53888888888888431</c:v>
                </c:pt>
                <c:pt idx="346">
                  <c:v>-0.969444444444445</c:v>
                </c:pt>
                <c:pt idx="347">
                  <c:v>0.25000000000000355</c:v>
                </c:pt>
                <c:pt idx="348">
                  <c:v>1.9083333333333385</c:v>
                </c:pt>
                <c:pt idx="349">
                  <c:v>-0.2194444444444521</c:v>
                </c:pt>
                <c:pt idx="350">
                  <c:v>-0.2388888888888907</c:v>
                </c:pt>
                <c:pt idx="351">
                  <c:v>1.288888888888895</c:v>
                </c:pt>
                <c:pt idx="352">
                  <c:v>0.33055555555554506</c:v>
                </c:pt>
                <c:pt idx="353">
                  <c:v>-0.68055555555554648</c:v>
                </c:pt>
                <c:pt idx="354">
                  <c:v>0.53055555555555856</c:v>
                </c:pt>
                <c:pt idx="355">
                  <c:v>1.4583333333333215</c:v>
                </c:pt>
                <c:pt idx="356">
                  <c:v>2.1805555555555678</c:v>
                </c:pt>
                <c:pt idx="357">
                  <c:v>2.6499999999999879</c:v>
                </c:pt>
                <c:pt idx="358">
                  <c:v>-1.1999999999999922</c:v>
                </c:pt>
                <c:pt idx="359">
                  <c:v>-2.2000000000000064</c:v>
                </c:pt>
                <c:pt idx="360">
                  <c:v>-4.6999999999999886</c:v>
                </c:pt>
                <c:pt idx="361">
                  <c:v>-2.13055555555556</c:v>
                </c:pt>
                <c:pt idx="362">
                  <c:v>0.3416666666666579</c:v>
                </c:pt>
                <c:pt idx="363">
                  <c:v>0.88888888888890349</c:v>
                </c:pt>
                <c:pt idx="364">
                  <c:v>6.11111111111029E-2</c:v>
                </c:pt>
                <c:pt idx="365">
                  <c:v>0.16944444444444429</c:v>
                </c:pt>
                <c:pt idx="366">
                  <c:v>1.6388888888888964</c:v>
                </c:pt>
                <c:pt idx="367">
                  <c:v>0.37222222222220935</c:v>
                </c:pt>
                <c:pt idx="368">
                  <c:v>0.25833333333334707</c:v>
                </c:pt>
                <c:pt idx="369">
                  <c:v>-0.2000000000000135</c:v>
                </c:pt>
                <c:pt idx="370">
                  <c:v>-1.6305555555555529</c:v>
                </c:pt>
                <c:pt idx="371">
                  <c:v>-1.6694444444444478</c:v>
                </c:pt>
                <c:pt idx="372">
                  <c:v>0.65000000000001279</c:v>
                </c:pt>
                <c:pt idx="373">
                  <c:v>0.59999999999998721</c:v>
                </c:pt>
                <c:pt idx="374">
                  <c:v>2.4611111111111228</c:v>
                </c:pt>
                <c:pt idx="375">
                  <c:v>0.46944444444443789</c:v>
                </c:pt>
                <c:pt idx="376">
                  <c:v>-2.5611111111111029</c:v>
                </c:pt>
                <c:pt idx="377">
                  <c:v>-1.5388888888888985</c:v>
                </c:pt>
                <c:pt idx="378">
                  <c:v>0.61944444444444358</c:v>
                </c:pt>
                <c:pt idx="379">
                  <c:v>0.29166666666666785</c:v>
                </c:pt>
                <c:pt idx="380">
                  <c:v>-0.94166666666666288</c:v>
                </c:pt>
                <c:pt idx="381">
                  <c:v>0</c:v>
                </c:pt>
                <c:pt idx="382">
                  <c:v>0.73055555555555429</c:v>
                </c:pt>
                <c:pt idx="383">
                  <c:v>0.81944444444443931</c:v>
                </c:pt>
                <c:pt idx="384">
                  <c:v>0.11944444444445423</c:v>
                </c:pt>
                <c:pt idx="385">
                  <c:v>2.2416666666666707</c:v>
                </c:pt>
                <c:pt idx="386">
                  <c:v>2.1499999999999986</c:v>
                </c:pt>
                <c:pt idx="387">
                  <c:v>-0.50000000000000711</c:v>
                </c:pt>
                <c:pt idx="388">
                  <c:v>-1.2305555555555614</c:v>
                </c:pt>
                <c:pt idx="389">
                  <c:v>0.38888888888889639</c:v>
                </c:pt>
                <c:pt idx="390">
                  <c:v>-1.6083333333333272</c:v>
                </c:pt>
                <c:pt idx="391">
                  <c:v>0.53055555555554079</c:v>
                </c:pt>
                <c:pt idx="392">
                  <c:v>0.50000000000000711</c:v>
                </c:pt>
                <c:pt idx="393">
                  <c:v>5.0000000000007816E-2</c:v>
                </c:pt>
                <c:pt idx="394">
                  <c:v>-0.29166666666666785</c:v>
                </c:pt>
                <c:pt idx="395">
                  <c:v>-2.908333333333335</c:v>
                </c:pt>
                <c:pt idx="396">
                  <c:v>4.9999999999990052E-2</c:v>
                </c:pt>
                <c:pt idx="397">
                  <c:v>-0.47222222222222499</c:v>
                </c:pt>
                <c:pt idx="398">
                  <c:v>-2.1499999999999986</c:v>
                </c:pt>
                <c:pt idx="399">
                  <c:v>3.4305555555555678</c:v>
                </c:pt>
                <c:pt idx="400">
                  <c:v>2.9194444444444478</c:v>
                </c:pt>
                <c:pt idx="401">
                  <c:v>2.4305555555555536</c:v>
                </c:pt>
                <c:pt idx="402">
                  <c:v>1.8416666666666615</c:v>
                </c:pt>
                <c:pt idx="403">
                  <c:v>-0.22222222222222143</c:v>
                </c:pt>
                <c:pt idx="404">
                  <c:v>-0.95000000000000639</c:v>
                </c:pt>
                <c:pt idx="405">
                  <c:v>-0.44999999999999929</c:v>
                </c:pt>
                <c:pt idx="406">
                  <c:v>-1.98888888888888</c:v>
                </c:pt>
                <c:pt idx="407">
                  <c:v>-6.9444444444446418E-2</c:v>
                </c:pt>
                <c:pt idx="408">
                  <c:v>-2.6416666666666622</c:v>
                </c:pt>
                <c:pt idx="409">
                  <c:v>-0.83888888888889568</c:v>
                </c:pt>
                <c:pt idx="410">
                  <c:v>0.78888888888888786</c:v>
                </c:pt>
                <c:pt idx="411">
                  <c:v>-0.91944444444443718</c:v>
                </c:pt>
                <c:pt idx="412">
                  <c:v>-2.1499999999999986</c:v>
                </c:pt>
                <c:pt idx="413">
                  <c:v>0.94166666666666288</c:v>
                </c:pt>
                <c:pt idx="414">
                  <c:v>-1.0611111111111171</c:v>
                </c:pt>
                <c:pt idx="415">
                  <c:v>0</c:v>
                </c:pt>
                <c:pt idx="416">
                  <c:v>0.50000000000000711</c:v>
                </c:pt>
                <c:pt idx="417">
                  <c:v>-1.2611111111111128</c:v>
                </c:pt>
                <c:pt idx="418">
                  <c:v>-2.3388888888888992</c:v>
                </c:pt>
                <c:pt idx="419">
                  <c:v>-2.588888888888885</c:v>
                </c:pt>
                <c:pt idx="420">
                  <c:v>9.9999999999997868E-2</c:v>
                </c:pt>
                <c:pt idx="421">
                  <c:v>1.25</c:v>
                </c:pt>
                <c:pt idx="422">
                  <c:v>-0.27222222222221149</c:v>
                </c:pt>
                <c:pt idx="423">
                  <c:v>9.9999999999997868E-2</c:v>
                </c:pt>
                <c:pt idx="424">
                  <c:v>0.76111111111110574</c:v>
                </c:pt>
                <c:pt idx="425">
                  <c:v>-0.19999999999999574</c:v>
                </c:pt>
                <c:pt idx="426">
                  <c:v>1.1805555555555536</c:v>
                </c:pt>
                <c:pt idx="427">
                  <c:v>1.4083333333333314</c:v>
                </c:pt>
                <c:pt idx="428">
                  <c:v>5.0000000000007816E-2</c:v>
                </c:pt>
                <c:pt idx="429">
                  <c:v>-1.5277777777777857</c:v>
                </c:pt>
                <c:pt idx="430">
                  <c:v>-1.4499999999999957</c:v>
                </c:pt>
                <c:pt idx="431">
                  <c:v>-0.89166666666667282</c:v>
                </c:pt>
                <c:pt idx="432">
                  <c:v>-1.7194444444444379</c:v>
                </c:pt>
                <c:pt idx="433">
                  <c:v>6.9444444444446418E-2</c:v>
                </c:pt>
                <c:pt idx="434">
                  <c:v>0.56111111111111001</c:v>
                </c:pt>
                <c:pt idx="435">
                  <c:v>-4.1666666666664298E-2</c:v>
                </c:pt>
                <c:pt idx="436">
                  <c:v>1.8222222222222229</c:v>
                </c:pt>
                <c:pt idx="437">
                  <c:v>0.15833333333333144</c:v>
                </c:pt>
                <c:pt idx="438">
                  <c:v>-0.53055555555555856</c:v>
                </c:pt>
                <c:pt idx="439">
                  <c:v>0.37222222222222712</c:v>
                </c:pt>
                <c:pt idx="440">
                  <c:v>-1.2222222222222356</c:v>
                </c:pt>
                <c:pt idx="441">
                  <c:v>-1.2694444444444386</c:v>
                </c:pt>
                <c:pt idx="442">
                  <c:v>1.1416666666666586</c:v>
                </c:pt>
                <c:pt idx="443">
                  <c:v>1.0694444444444606</c:v>
                </c:pt>
                <c:pt idx="444">
                  <c:v>9.9999999999997868E-2</c:v>
                </c:pt>
                <c:pt idx="445">
                  <c:v>1.1888888888888793</c:v>
                </c:pt>
                <c:pt idx="446">
                  <c:v>0.46944444444445566</c:v>
                </c:pt>
                <c:pt idx="447">
                  <c:v>1.0111111111111093</c:v>
                </c:pt>
                <c:pt idx="448">
                  <c:v>1.9444444444438602E-2</c:v>
                </c:pt>
                <c:pt idx="449">
                  <c:v>-0.81944444444443931</c:v>
                </c:pt>
                <c:pt idx="450">
                  <c:v>0.11111111111111072</c:v>
                </c:pt>
                <c:pt idx="451">
                  <c:v>-0.87222222222223422</c:v>
                </c:pt>
                <c:pt idx="452">
                  <c:v>0.67222222222223849</c:v>
                </c:pt>
                <c:pt idx="453">
                  <c:v>-0.33055555555556282</c:v>
                </c:pt>
                <c:pt idx="454">
                  <c:v>0.93888888888889355</c:v>
                </c:pt>
                <c:pt idx="455">
                  <c:v>-0.2000000000000135</c:v>
                </c:pt>
                <c:pt idx="456">
                  <c:v>0.95000000000000639</c:v>
                </c:pt>
                <c:pt idx="457">
                  <c:v>0.13055555555554932</c:v>
                </c:pt>
                <c:pt idx="458">
                  <c:v>-6.9444444444428655E-2</c:v>
                </c:pt>
                <c:pt idx="459">
                  <c:v>-0.43055555555556069</c:v>
                </c:pt>
                <c:pt idx="460">
                  <c:v>0.11944444444443647</c:v>
                </c:pt>
                <c:pt idx="461">
                  <c:v>-1.6083333333333272</c:v>
                </c:pt>
                <c:pt idx="462">
                  <c:v>0.7083333333333286</c:v>
                </c:pt>
                <c:pt idx="463">
                  <c:v>0.99166666666667069</c:v>
                </c:pt>
                <c:pt idx="464">
                  <c:v>1.05833333333333</c:v>
                </c:pt>
                <c:pt idx="465">
                  <c:v>0.60000000000000497</c:v>
                </c:pt>
                <c:pt idx="466">
                  <c:v>0.73055555555555429</c:v>
                </c:pt>
                <c:pt idx="467">
                  <c:v>-0.18055555555555713</c:v>
                </c:pt>
                <c:pt idx="468">
                  <c:v>0.85000000000000853</c:v>
                </c:pt>
                <c:pt idx="469">
                  <c:v>-1.8583333333333485</c:v>
                </c:pt>
                <c:pt idx="470">
                  <c:v>-2.5999999999999979</c:v>
                </c:pt>
                <c:pt idx="471">
                  <c:v>-1.161111111111115</c:v>
                </c:pt>
                <c:pt idx="472">
                  <c:v>-0.26944444444444215</c:v>
                </c:pt>
                <c:pt idx="473">
                  <c:v>-0.54166666666665364</c:v>
                </c:pt>
                <c:pt idx="474">
                  <c:v>0.16111111111110077</c:v>
                </c:pt>
                <c:pt idx="475">
                  <c:v>0.54999999999999716</c:v>
                </c:pt>
                <c:pt idx="476">
                  <c:v>0.46944444444445566</c:v>
                </c:pt>
                <c:pt idx="477">
                  <c:v>-0.61944444444444358</c:v>
                </c:pt>
                <c:pt idx="478">
                  <c:v>-0.63888888888889994</c:v>
                </c:pt>
                <c:pt idx="479">
                  <c:v>5.833333333333357E-2</c:v>
                </c:pt>
                <c:pt idx="480">
                  <c:v>-1.8805555555555564</c:v>
                </c:pt>
                <c:pt idx="481">
                  <c:v>1.3111111111111207</c:v>
                </c:pt>
                <c:pt idx="482">
                  <c:v>0.83888888888887791</c:v>
                </c:pt>
                <c:pt idx="483">
                  <c:v>0.93055555555556779</c:v>
                </c:pt>
                <c:pt idx="484">
                  <c:v>0.46944444444443789</c:v>
                </c:pt>
                <c:pt idx="485">
                  <c:v>2.13055555555556</c:v>
                </c:pt>
                <c:pt idx="486">
                  <c:v>1.8805555555555564</c:v>
                </c:pt>
                <c:pt idx="487">
                  <c:v>0.9888888888888836</c:v>
                </c:pt>
                <c:pt idx="488">
                  <c:v>-3.6777777777777843</c:v>
                </c:pt>
                <c:pt idx="489">
                  <c:v>-2.2611111111111093</c:v>
                </c:pt>
                <c:pt idx="490">
                  <c:v>-0.78888888888888786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20-476F-98D6-89DC3315D092}"/>
            </c:ext>
          </c:extLst>
        </c:ser>
        <c:ser>
          <c:idx val="1"/>
          <c:order val="1"/>
          <c:tx>
            <c:v>Modified calculation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motion!$R$3:$R$493</c:f>
              <c:numCache>
                <c:formatCode>General</c:formatCode>
                <c:ptCount val="491"/>
                <c:pt idx="5" formatCode="0.0">
                  <c:v>0.40499999999999936</c:v>
                </c:pt>
                <c:pt idx="6" formatCode="0.0">
                  <c:v>0.33305555555555699</c:v>
                </c:pt>
                <c:pt idx="7" formatCode="0.0">
                  <c:v>0.35694444444444606</c:v>
                </c:pt>
                <c:pt idx="8" formatCode="0.0">
                  <c:v>0.3341666666666665</c:v>
                </c:pt>
                <c:pt idx="9" formatCode="0.0">
                  <c:v>0.35499999999999865</c:v>
                </c:pt>
                <c:pt idx="10" formatCode="0.0">
                  <c:v>0.36194444444444507</c:v>
                </c:pt>
                <c:pt idx="11" formatCode="0.0">
                  <c:v>0.4158333333333335</c:v>
                </c:pt>
                <c:pt idx="12" formatCode="0.0">
                  <c:v>0.47416666666666707</c:v>
                </c:pt>
                <c:pt idx="13" formatCode="0.0">
                  <c:v>0.49305555555555536</c:v>
                </c:pt>
                <c:pt idx="14" formatCode="0.0">
                  <c:v>0.443888888888889</c:v>
                </c:pt>
                <c:pt idx="15" formatCode="0.0">
                  <c:v>0.54222222222222349</c:v>
                </c:pt>
                <c:pt idx="16" formatCode="0.0">
                  <c:v>0.46305555555555422</c:v>
                </c:pt>
                <c:pt idx="17" formatCode="0.0">
                  <c:v>0.41416666666666657</c:v>
                </c:pt>
                <c:pt idx="18" formatCode="0.0">
                  <c:v>0.406944444444445</c:v>
                </c:pt>
                <c:pt idx="19" formatCode="0.0">
                  <c:v>0.36888888888888971</c:v>
                </c:pt>
                <c:pt idx="20" formatCode="0.0">
                  <c:v>0.35999999999999943</c:v>
                </c:pt>
                <c:pt idx="21" formatCode="0.0">
                  <c:v>0.33611111111111036</c:v>
                </c:pt>
                <c:pt idx="22" formatCode="0.0">
                  <c:v>0.29583333333333428</c:v>
                </c:pt>
                <c:pt idx="23" formatCode="0.0">
                  <c:v>0.38277777777777722</c:v>
                </c:pt>
                <c:pt idx="24" formatCode="0.0">
                  <c:v>0.41805555555555607</c:v>
                </c:pt>
                <c:pt idx="25" formatCode="0.0">
                  <c:v>0.40194444444444422</c:v>
                </c:pt>
                <c:pt idx="26" formatCode="0.0">
                  <c:v>0.46694444444444549</c:v>
                </c:pt>
                <c:pt idx="27" formatCode="0.0">
                  <c:v>0.34999999999999964</c:v>
                </c:pt>
                <c:pt idx="28" formatCode="0.0">
                  <c:v>0.29305555555555429</c:v>
                </c:pt>
                <c:pt idx="29" formatCode="0.0">
                  <c:v>0.35999999999999943</c:v>
                </c:pt>
                <c:pt idx="30" formatCode="0.0">
                  <c:v>0.28805555555555529</c:v>
                </c:pt>
                <c:pt idx="31" formatCode="0.0">
                  <c:v>0.23500000000000121</c:v>
                </c:pt>
                <c:pt idx="32" formatCode="0.0">
                  <c:v>0.2780555555555555</c:v>
                </c:pt>
                <c:pt idx="33" formatCode="0.0">
                  <c:v>0.28222222222222193</c:v>
                </c:pt>
                <c:pt idx="34" formatCode="0.0">
                  <c:v>0.23194444444444429</c:v>
                </c:pt>
                <c:pt idx="35" formatCode="0.0">
                  <c:v>0.12583333333333258</c:v>
                </c:pt>
                <c:pt idx="36" formatCode="0.0">
                  <c:v>0.24000000000000021</c:v>
                </c:pt>
                <c:pt idx="37" formatCode="0.0">
                  <c:v>0.33388888888888779</c:v>
                </c:pt>
                <c:pt idx="38" formatCode="0.0">
                  <c:v>0.18888888888888999</c:v>
                </c:pt>
                <c:pt idx="39" formatCode="0.0">
                  <c:v>0.10916666666666686</c:v>
                </c:pt>
                <c:pt idx="40" formatCode="0.0">
                  <c:v>9.5000000000000639E-2</c:v>
                </c:pt>
                <c:pt idx="41" formatCode="0.0">
                  <c:v>9.1944444444443718E-2</c:v>
                </c:pt>
                <c:pt idx="42" formatCode="0.0">
                  <c:v>0.19194444444444336</c:v>
                </c:pt>
                <c:pt idx="43" formatCode="0.0">
                  <c:v>-8.0555555555541503E-3</c:v>
                </c:pt>
                <c:pt idx="44" formatCode="0.0">
                  <c:v>-8.3888888888889568E-2</c:v>
                </c:pt>
                <c:pt idx="45" formatCode="0.0">
                  <c:v>7.6111111111112351E-2</c:v>
                </c:pt>
                <c:pt idx="46" formatCode="0.0">
                  <c:v>-0.12111111111111228</c:v>
                </c:pt>
                <c:pt idx="47" formatCode="0.0">
                  <c:v>-9.69444444444445E-2</c:v>
                </c:pt>
                <c:pt idx="48" formatCode="0.0">
                  <c:v>0.17305555555555507</c:v>
                </c:pt>
                <c:pt idx="49" formatCode="0.0">
                  <c:v>0.25500000000000078</c:v>
                </c:pt>
                <c:pt idx="50" formatCode="0.0">
                  <c:v>0.12416666666666565</c:v>
                </c:pt>
                <c:pt idx="51" formatCode="0.0">
                  <c:v>0.22000000000000064</c:v>
                </c:pt>
                <c:pt idx="52" formatCode="0.0">
                  <c:v>7.3055555555555429E-2</c:v>
                </c:pt>
                <c:pt idx="53" formatCode="0.0">
                  <c:v>0.10805555555555557</c:v>
                </c:pt>
                <c:pt idx="54" formatCode="0.0">
                  <c:v>0.16500000000000092</c:v>
                </c:pt>
                <c:pt idx="55" formatCode="0.0">
                  <c:v>4.1944444444443008E-2</c:v>
                </c:pt>
                <c:pt idx="56" formatCode="0.0">
                  <c:v>5.8055555555556637E-2</c:v>
                </c:pt>
                <c:pt idx="57" formatCode="0.0">
                  <c:v>-1.1111111111095084E-3</c:v>
                </c:pt>
                <c:pt idx="58" formatCode="0.0">
                  <c:v>-0.15805555555555628</c:v>
                </c:pt>
                <c:pt idx="59" formatCode="0.0">
                  <c:v>-0.16500000000000092</c:v>
                </c:pt>
                <c:pt idx="60" formatCode="0.0">
                  <c:v>-4.4166666666665577E-2</c:v>
                </c:pt>
                <c:pt idx="61" formatCode="0.0">
                  <c:v>-7.6111111111112351E-2</c:v>
                </c:pt>
                <c:pt idx="62" formatCode="0.0">
                  <c:v>-7.0000000000000284E-2</c:v>
                </c:pt>
                <c:pt idx="63" formatCode="0.0">
                  <c:v>-9.1111111111111143E-2</c:v>
                </c:pt>
                <c:pt idx="64" formatCode="0.0">
                  <c:v>0</c:v>
                </c:pt>
                <c:pt idx="65" formatCode="0.0">
                  <c:v>-8.3333333333257542E-4</c:v>
                </c:pt>
                <c:pt idx="66" formatCode="0.0">
                  <c:v>0.12611111111111128</c:v>
                </c:pt>
                <c:pt idx="67" formatCode="0.0">
                  <c:v>1.8055555555553937E-2</c:v>
                </c:pt>
                <c:pt idx="68" formatCode="0.0">
                  <c:v>-2.4999999999998579E-2</c:v>
                </c:pt>
                <c:pt idx="69" formatCode="0.0">
                  <c:v>-9.9166666666667069E-2</c:v>
                </c:pt>
                <c:pt idx="70" formatCode="0.0">
                  <c:v>-0.19694444444444414</c:v>
                </c:pt>
                <c:pt idx="71" formatCode="0.0">
                  <c:v>-0.28888888888888786</c:v>
                </c:pt>
                <c:pt idx="72" formatCode="0.0">
                  <c:v>-0.25083333333333258</c:v>
                </c:pt>
                <c:pt idx="73" formatCode="0.0">
                  <c:v>-0.23111111111111171</c:v>
                </c:pt>
                <c:pt idx="74" formatCode="0.0">
                  <c:v>-0.41416666666666657</c:v>
                </c:pt>
                <c:pt idx="75" formatCode="0.0">
                  <c:v>-0.306111111111111</c:v>
                </c:pt>
                <c:pt idx="76" formatCode="0.0">
                  <c:v>-0.38805555555555671</c:v>
                </c:pt>
                <c:pt idx="77" formatCode="0.0">
                  <c:v>-0.27888888888888808</c:v>
                </c:pt>
                <c:pt idx="78" formatCode="0.0">
                  <c:v>-0.20805555555555699</c:v>
                </c:pt>
                <c:pt idx="79" formatCode="0.0">
                  <c:v>-0.33694444444444294</c:v>
                </c:pt>
                <c:pt idx="80" formatCode="0.0">
                  <c:v>-0.2219444444444445</c:v>
                </c:pt>
                <c:pt idx="81" formatCode="0.0">
                  <c:v>-0.20000000000000107</c:v>
                </c:pt>
                <c:pt idx="82" formatCode="0.0">
                  <c:v>-0.18416666666666615</c:v>
                </c:pt>
                <c:pt idx="83" formatCode="0.0">
                  <c:v>-0.14777777777777779</c:v>
                </c:pt>
                <c:pt idx="84" formatCode="0.0">
                  <c:v>2.6111111111109864E-2</c:v>
                </c:pt>
                <c:pt idx="85" formatCode="0.0">
                  <c:v>1.9444444444438602E-3</c:v>
                </c:pt>
                <c:pt idx="86" formatCode="0.0">
                  <c:v>3.6944444444444002E-2</c:v>
                </c:pt>
                <c:pt idx="87" formatCode="0.0">
                  <c:v>0.14194444444444443</c:v>
                </c:pt>
                <c:pt idx="88" formatCode="0.0">
                  <c:v>-4.3888888888888644E-2</c:v>
                </c:pt>
                <c:pt idx="89" formatCode="0.0">
                  <c:v>0.14999999999999858</c:v>
                </c:pt>
                <c:pt idx="90" formatCode="0.0">
                  <c:v>0.12805555555555515</c:v>
                </c:pt>
                <c:pt idx="91" formatCode="0.0">
                  <c:v>5.1944444444444571E-2</c:v>
                </c:pt>
                <c:pt idx="92" formatCode="0.0">
                  <c:v>3.416666666666579E-2</c:v>
                </c:pt>
                <c:pt idx="93" formatCode="0.0">
                  <c:v>0</c:v>
                </c:pt>
                <c:pt idx="94" formatCode="0.0">
                  <c:v>7.0000000000000284E-2</c:v>
                </c:pt>
                <c:pt idx="95" formatCode="0.0">
                  <c:v>0.12111111111111228</c:v>
                </c:pt>
                <c:pt idx="96" formatCode="0.0">
                  <c:v>8.5000000000000853E-2</c:v>
                </c:pt>
                <c:pt idx="97" formatCode="0.0">
                  <c:v>2.9999999999999361E-2</c:v>
                </c:pt>
                <c:pt idx="98" formatCode="0.0">
                  <c:v>0.26888888888889007</c:v>
                </c:pt>
                <c:pt idx="99" formatCode="0.0">
                  <c:v>0.20000000000000107</c:v>
                </c:pt>
                <c:pt idx="100" formatCode="0.0">
                  <c:v>0.40083333333333293</c:v>
                </c:pt>
                <c:pt idx="101" formatCode="0.0">
                  <c:v>0.4350000000000005</c:v>
                </c:pt>
                <c:pt idx="102" formatCode="0.0">
                  <c:v>0.33888888888888857</c:v>
                </c:pt>
                <c:pt idx="103" formatCode="0.0">
                  <c:v>0.48388888888888815</c:v>
                </c:pt>
                <c:pt idx="104" formatCode="0.0">
                  <c:v>0.31805555555555642</c:v>
                </c:pt>
                <c:pt idx="105" formatCode="0.0">
                  <c:v>0.26888888888888829</c:v>
                </c:pt>
                <c:pt idx="106" formatCode="0.0">
                  <c:v>0.23416666666666686</c:v>
                </c:pt>
                <c:pt idx="107" formatCode="0.0">
                  <c:v>0.19805555555555543</c:v>
                </c:pt>
                <c:pt idx="108" formatCode="0.0">
                  <c:v>0.27499999999999858</c:v>
                </c:pt>
                <c:pt idx="109" formatCode="0.0">
                  <c:v>0.33611111111111036</c:v>
                </c:pt>
                <c:pt idx="110" formatCode="0.0">
                  <c:v>0.10194444444444528</c:v>
                </c:pt>
                <c:pt idx="111" formatCode="0.0">
                  <c:v>0.25111111111111128</c:v>
                </c:pt>
                <c:pt idx="112" formatCode="0.0">
                  <c:v>0.50305555555555692</c:v>
                </c:pt>
                <c:pt idx="113" formatCode="0.0">
                  <c:v>0.23694444444444507</c:v>
                </c:pt>
                <c:pt idx="114" formatCode="0.0">
                  <c:v>0.33999999999999986</c:v>
                </c:pt>
                <c:pt idx="115" formatCode="0.0">
                  <c:v>0.24499999999999922</c:v>
                </c:pt>
                <c:pt idx="116" formatCode="0.0">
                  <c:v>0.3788888888888895</c:v>
                </c:pt>
                <c:pt idx="117" formatCode="0.0">
                  <c:v>0.29694444444444557</c:v>
                </c:pt>
                <c:pt idx="118" formatCode="0.0">
                  <c:v>0.30499999999999972</c:v>
                </c:pt>
                <c:pt idx="119" formatCode="0.0">
                  <c:v>0.23500000000000121</c:v>
                </c:pt>
                <c:pt idx="120" formatCode="0.0">
                  <c:v>0.39222222222222136</c:v>
                </c:pt>
                <c:pt idx="121" formatCode="0.0">
                  <c:v>0.28805555555555529</c:v>
                </c:pt>
                <c:pt idx="122" formatCode="0.0">
                  <c:v>3.5833333333332718E-2</c:v>
                </c:pt>
                <c:pt idx="123" formatCode="0.0">
                  <c:v>0.301111111111112</c:v>
                </c:pt>
                <c:pt idx="124" formatCode="0.0">
                  <c:v>0.27083333333333393</c:v>
                </c:pt>
                <c:pt idx="125" formatCode="0.0">
                  <c:v>0.30194444444444457</c:v>
                </c:pt>
                <c:pt idx="126" formatCode="0.0">
                  <c:v>0.31888888888888722</c:v>
                </c:pt>
                <c:pt idx="127" formatCode="0.0">
                  <c:v>0.5458333333333325</c:v>
                </c:pt>
                <c:pt idx="128" formatCode="0.0">
                  <c:v>0.57416666666666671</c:v>
                </c:pt>
                <c:pt idx="129" formatCode="0.0">
                  <c:v>0.77888888888888808</c:v>
                </c:pt>
                <c:pt idx="130" formatCode="0.0">
                  <c:v>0.45694444444444393</c:v>
                </c:pt>
                <c:pt idx="131" formatCode="0.0">
                  <c:v>0.44500000000000028</c:v>
                </c:pt>
                <c:pt idx="132" formatCode="0.0">
                  <c:v>0.32000000000000028</c:v>
                </c:pt>
                <c:pt idx="133" formatCode="0.0">
                  <c:v>0.28083333333333194</c:v>
                </c:pt>
                <c:pt idx="134" formatCode="0.0">
                  <c:v>0.17416666666666636</c:v>
                </c:pt>
                <c:pt idx="135" formatCode="0.0">
                  <c:v>9.3055555555556779E-2</c:v>
                </c:pt>
                <c:pt idx="136" formatCode="0.0">
                  <c:v>-7.7777777777777501E-2</c:v>
                </c:pt>
                <c:pt idx="137" formatCode="0.0">
                  <c:v>-0.28500000000000014</c:v>
                </c:pt>
                <c:pt idx="138" formatCode="0.0">
                  <c:v>-0.33999999999999986</c:v>
                </c:pt>
                <c:pt idx="139" formatCode="0.0">
                  <c:v>-0.5088888888888885</c:v>
                </c:pt>
                <c:pt idx="140" formatCode="0.0">
                  <c:v>-0.47305555555555401</c:v>
                </c:pt>
                <c:pt idx="141" formatCode="0.0">
                  <c:v>-0.49000000000000021</c:v>
                </c:pt>
                <c:pt idx="142" formatCode="0.0">
                  <c:v>-0.1977777777777785</c:v>
                </c:pt>
                <c:pt idx="143" formatCode="0.0">
                  <c:v>-0.25694444444444464</c:v>
                </c:pt>
                <c:pt idx="144" formatCode="0.0">
                  <c:v>-8.1111111111111356E-2</c:v>
                </c:pt>
                <c:pt idx="145" formatCode="0.0">
                  <c:v>7.4999999999999289E-2</c:v>
                </c:pt>
                <c:pt idx="146" formatCode="0.0">
                  <c:v>0.15777777777777757</c:v>
                </c:pt>
                <c:pt idx="147" formatCode="0.0">
                  <c:v>0.18222222222222229</c:v>
                </c:pt>
                <c:pt idx="148" formatCode="0.0">
                  <c:v>-1.7222222222221362E-2</c:v>
                </c:pt>
                <c:pt idx="149" formatCode="0.0">
                  <c:v>0.11805555555555536</c:v>
                </c:pt>
                <c:pt idx="150" formatCode="0.0">
                  <c:v>0.161944444444444</c:v>
                </c:pt>
                <c:pt idx="151" formatCode="0.0">
                  <c:v>0.17999999999999972</c:v>
                </c:pt>
                <c:pt idx="152" formatCode="0.0">
                  <c:v>6.0000000000000497E-2</c:v>
                </c:pt>
                <c:pt idx="153" formatCode="0.0">
                  <c:v>0.21805555555555678</c:v>
                </c:pt>
                <c:pt idx="154" formatCode="0.0">
                  <c:v>0.161944444444444</c:v>
                </c:pt>
                <c:pt idx="155" formatCode="0.0">
                  <c:v>9.8055555555555785E-2</c:v>
                </c:pt>
                <c:pt idx="156" formatCode="0.0">
                  <c:v>0.20916666666666828</c:v>
                </c:pt>
                <c:pt idx="157" formatCode="0.0">
                  <c:v>0.15777777777777757</c:v>
                </c:pt>
                <c:pt idx="158" formatCode="0.0">
                  <c:v>0.338055555555556</c:v>
                </c:pt>
                <c:pt idx="159" formatCode="0.0">
                  <c:v>0.26388888888888928</c:v>
                </c:pt>
                <c:pt idx="160" formatCode="0.0">
                  <c:v>0.22805555555555479</c:v>
                </c:pt>
                <c:pt idx="161" formatCode="0.0">
                  <c:v>0.21000000000000085</c:v>
                </c:pt>
                <c:pt idx="162" formatCode="0.0">
                  <c:v>0.16083333333333272</c:v>
                </c:pt>
                <c:pt idx="163" formatCode="0.0">
                  <c:v>5.6111111111111001E-2</c:v>
                </c:pt>
                <c:pt idx="164" formatCode="0.0">
                  <c:v>-8.3333333333257542E-4</c:v>
                </c:pt>
                <c:pt idx="165" formatCode="0.0">
                  <c:v>-0.16999999999999993</c:v>
                </c:pt>
                <c:pt idx="166" formatCode="0.0">
                  <c:v>-0.27194444444444521</c:v>
                </c:pt>
                <c:pt idx="167" formatCode="0.0">
                  <c:v>-0.19499999999999851</c:v>
                </c:pt>
                <c:pt idx="168" formatCode="0.0">
                  <c:v>-7.3055555555555429E-2</c:v>
                </c:pt>
                <c:pt idx="169" formatCode="0.0">
                  <c:v>-6.0000000000000497E-2</c:v>
                </c:pt>
                <c:pt idx="170" formatCode="0.0">
                  <c:v>0.11194444444444507</c:v>
                </c:pt>
                <c:pt idx="171" formatCode="0.0">
                  <c:v>-8.6111111111112137E-2</c:v>
                </c:pt>
                <c:pt idx="172" formatCode="0.0">
                  <c:v>-3.3888888888888857E-2</c:v>
                </c:pt>
                <c:pt idx="173" formatCode="0.0">
                  <c:v>-0.11111111111111072</c:v>
                </c:pt>
                <c:pt idx="174" formatCode="0.0">
                  <c:v>-9.1111111111111143E-2</c:v>
                </c:pt>
                <c:pt idx="175" formatCode="0.0">
                  <c:v>0.181111111111111</c:v>
                </c:pt>
                <c:pt idx="176" formatCode="0.0">
                  <c:v>0.16388888888888964</c:v>
                </c:pt>
                <c:pt idx="177" formatCode="0.0">
                  <c:v>0.31305555555555564</c:v>
                </c:pt>
                <c:pt idx="178" formatCode="0.0">
                  <c:v>0.11916666666666664</c:v>
                </c:pt>
                <c:pt idx="179" formatCode="0.0">
                  <c:v>0.19305555555555642</c:v>
                </c:pt>
                <c:pt idx="180" formatCode="0.0">
                  <c:v>0.218055555555555</c:v>
                </c:pt>
                <c:pt idx="181" formatCode="0.0">
                  <c:v>0.16694444444444478</c:v>
                </c:pt>
                <c:pt idx="182" formatCode="0.0">
                  <c:v>7.5833333333333641E-2</c:v>
                </c:pt>
                <c:pt idx="183" formatCode="0.0">
                  <c:v>0.40694444444444322</c:v>
                </c:pt>
                <c:pt idx="184" formatCode="0.0">
                  <c:v>0.44611111111110979</c:v>
                </c:pt>
                <c:pt idx="185" formatCode="0.0">
                  <c:v>0.27388888888888907</c:v>
                </c:pt>
                <c:pt idx="186" formatCode="0.0">
                  <c:v>-3.1111111111112422E-2</c:v>
                </c:pt>
                <c:pt idx="187" formatCode="0.0">
                  <c:v>-0.44000000000000128</c:v>
                </c:pt>
                <c:pt idx="188" formatCode="0.0">
                  <c:v>-0.33500000000000085</c:v>
                </c:pt>
                <c:pt idx="189" formatCode="0.0">
                  <c:v>-0.406944444444445</c:v>
                </c:pt>
                <c:pt idx="190" formatCode="0.0">
                  <c:v>-0.4911111111111115</c:v>
                </c:pt>
                <c:pt idx="191" formatCode="0.0">
                  <c:v>-0.27888888888888808</c:v>
                </c:pt>
                <c:pt idx="192" formatCode="0.0">
                  <c:v>-0.35500000000000043</c:v>
                </c:pt>
                <c:pt idx="193" formatCode="0.0">
                  <c:v>-0.823888888888888</c:v>
                </c:pt>
                <c:pt idx="194" formatCode="0.0">
                  <c:v>-0.99305555555555536</c:v>
                </c:pt>
                <c:pt idx="195" formatCode="0.0">
                  <c:v>-1.036944444444444</c:v>
                </c:pt>
                <c:pt idx="196" formatCode="0.0">
                  <c:v>-0.71583333333333243</c:v>
                </c:pt>
                <c:pt idx="197" formatCode="0.0">
                  <c:v>-0.47888888888888914</c:v>
                </c:pt>
                <c:pt idx="198" formatCode="0.0">
                  <c:v>-0.88499999999999979</c:v>
                </c:pt>
                <c:pt idx="199" formatCode="0.0">
                  <c:v>-1.0700000000000003</c:v>
                </c:pt>
                <c:pt idx="200" formatCode="0.0">
                  <c:v>-0.81083333333333307</c:v>
                </c:pt>
                <c:pt idx="201" formatCode="0.0">
                  <c:v>-0.77611111111111164</c:v>
                </c:pt>
                <c:pt idx="202" formatCode="0.0">
                  <c:v>-0.72499999999999964</c:v>
                </c:pt>
                <c:pt idx="203" formatCode="0.0">
                  <c:v>-0.52500000000000036</c:v>
                </c:pt>
                <c:pt idx="204" formatCode="0.0">
                  <c:v>-0.38194444444444464</c:v>
                </c:pt>
                <c:pt idx="205" formatCode="0.0">
                  <c:v>-0.41000000000000014</c:v>
                </c:pt>
                <c:pt idx="206" formatCode="0.0">
                  <c:v>-0.43194444444444535</c:v>
                </c:pt>
                <c:pt idx="207" formatCode="0.0">
                  <c:v>-0.38111111111111029</c:v>
                </c:pt>
                <c:pt idx="208" formatCode="0.0">
                  <c:v>1.3055555555554932E-2</c:v>
                </c:pt>
                <c:pt idx="209" formatCode="0.0">
                  <c:v>-3.3055555555556282E-2</c:v>
                </c:pt>
                <c:pt idx="210" formatCode="0.0">
                  <c:v>-0.3341666666666665</c:v>
                </c:pt>
                <c:pt idx="211" formatCode="0.0">
                  <c:v>-0.26583333333333314</c:v>
                </c:pt>
                <c:pt idx="212" formatCode="0.0">
                  <c:v>-0.12583333333333258</c:v>
                </c:pt>
                <c:pt idx="213" formatCode="0.0">
                  <c:v>-0.28416666666666757</c:v>
                </c:pt>
                <c:pt idx="214" formatCode="0.0">
                  <c:v>-0.4591666666666665</c:v>
                </c:pt>
                <c:pt idx="215" formatCode="0.0">
                  <c:v>-0.53111111111111242</c:v>
                </c:pt>
                <c:pt idx="216" formatCode="0.0">
                  <c:v>-0.53805555555555529</c:v>
                </c:pt>
                <c:pt idx="217" formatCode="0.0">
                  <c:v>-0.70388888888888879</c:v>
                </c:pt>
                <c:pt idx="218" formatCode="0.0">
                  <c:v>-0.84805555555555578</c:v>
                </c:pt>
                <c:pt idx="219" formatCode="0.0">
                  <c:v>-0.54111111111111043</c:v>
                </c:pt>
                <c:pt idx="220" formatCode="0.0">
                  <c:v>-0.51999999999999957</c:v>
                </c:pt>
                <c:pt idx="221" formatCode="0.0">
                  <c:v>-0.64305555555555571</c:v>
                </c:pt>
                <c:pt idx="222" formatCode="0.0">
                  <c:v>-0.74694444444444485</c:v>
                </c:pt>
                <c:pt idx="223" formatCode="0.0">
                  <c:v>-0.767777777777777</c:v>
                </c:pt>
                <c:pt idx="224" formatCode="0.0">
                  <c:v>-0.693888888888889</c:v>
                </c:pt>
                <c:pt idx="225" formatCode="0.0">
                  <c:v>-0.536944444444444</c:v>
                </c:pt>
                <c:pt idx="226" formatCode="0.0">
                  <c:v>-0.70500000000000007</c:v>
                </c:pt>
                <c:pt idx="227" formatCode="0.0">
                  <c:v>-0.57194444444444414</c:v>
                </c:pt>
                <c:pt idx="228" formatCode="0.0">
                  <c:v>-0.50916666666666544</c:v>
                </c:pt>
                <c:pt idx="229" formatCode="0.0">
                  <c:v>-0.84194444444444372</c:v>
                </c:pt>
                <c:pt idx="230" formatCode="0.0">
                  <c:v>-0.64194444444444443</c:v>
                </c:pt>
                <c:pt idx="231" formatCode="0.0">
                  <c:v>-0.54916666666666636</c:v>
                </c:pt>
                <c:pt idx="232" formatCode="0.0">
                  <c:v>-0.57222222222222285</c:v>
                </c:pt>
                <c:pt idx="233" formatCode="0.0">
                  <c:v>-0.41305555555555529</c:v>
                </c:pt>
                <c:pt idx="234" formatCode="0.0">
                  <c:v>-0.42499999999999893</c:v>
                </c:pt>
                <c:pt idx="235" formatCode="0.0">
                  <c:v>-0.47111111111111015</c:v>
                </c:pt>
                <c:pt idx="236" formatCode="0.0">
                  <c:v>-0.15111111111111164</c:v>
                </c:pt>
                <c:pt idx="237" formatCode="0.0">
                  <c:v>-0.26999999999999957</c:v>
                </c:pt>
                <c:pt idx="238" formatCode="0.0">
                  <c:v>-0.27277777777777779</c:v>
                </c:pt>
                <c:pt idx="239" formatCode="0.0">
                  <c:v>-8.3055555555556992E-2</c:v>
                </c:pt>
                <c:pt idx="240" formatCode="0.0">
                  <c:v>-0.33999999999999986</c:v>
                </c:pt>
                <c:pt idx="241" formatCode="0.0">
                  <c:v>-0.27000000000000135</c:v>
                </c:pt>
                <c:pt idx="242" formatCode="0.0">
                  <c:v>-0.23194444444444429</c:v>
                </c:pt>
                <c:pt idx="243" formatCode="0.0">
                  <c:v>-0.33194444444444393</c:v>
                </c:pt>
                <c:pt idx="244" formatCode="0.0">
                  <c:v>-0.25500000000000078</c:v>
                </c:pt>
                <c:pt idx="245" formatCode="0.0">
                  <c:v>-0.21194444444444471</c:v>
                </c:pt>
                <c:pt idx="246" formatCode="0.0">
                  <c:v>-0.54388888888888864</c:v>
                </c:pt>
                <c:pt idx="247" formatCode="0.0">
                  <c:v>-0.31916666666666771</c:v>
                </c:pt>
                <c:pt idx="248" formatCode="0.0">
                  <c:v>-0.72000000000000064</c:v>
                </c:pt>
                <c:pt idx="249" formatCode="0.0">
                  <c:v>-0.79083333333333172</c:v>
                </c:pt>
                <c:pt idx="250" formatCode="0.0">
                  <c:v>-0.76388888888888928</c:v>
                </c:pt>
                <c:pt idx="251" formatCode="0.0">
                  <c:v>-0.59194444444444372</c:v>
                </c:pt>
                <c:pt idx="252" formatCode="0.0">
                  <c:v>-0.82583333333333364</c:v>
                </c:pt>
                <c:pt idx="253" formatCode="0.0">
                  <c:v>-0.69305555555555642</c:v>
                </c:pt>
                <c:pt idx="254" formatCode="0.0">
                  <c:v>-0.7780555555555555</c:v>
                </c:pt>
                <c:pt idx="255" formatCode="0.0">
                  <c:v>-0.91805555555555607</c:v>
                </c:pt>
                <c:pt idx="256" formatCode="0.0">
                  <c:v>-0.83499999999999908</c:v>
                </c:pt>
                <c:pt idx="257" formatCode="0.0">
                  <c:v>-0.66083333333333272</c:v>
                </c:pt>
                <c:pt idx="258" formatCode="0.0">
                  <c:v>-0.74305555555555536</c:v>
                </c:pt>
                <c:pt idx="259" formatCode="0.0">
                  <c:v>-0.71111111111111214</c:v>
                </c:pt>
                <c:pt idx="260" formatCode="0.0">
                  <c:v>-0.3519444444444435</c:v>
                </c:pt>
                <c:pt idx="261" formatCode="0.0">
                  <c:v>-0.50500000000000078</c:v>
                </c:pt>
                <c:pt idx="262" formatCode="0.0">
                  <c:v>-0.43611111111111001</c:v>
                </c:pt>
                <c:pt idx="263" formatCode="0.0">
                  <c:v>-0.85500000000000043</c:v>
                </c:pt>
                <c:pt idx="264" formatCode="0.0">
                  <c:v>-1.2711111111111109</c:v>
                </c:pt>
                <c:pt idx="265" formatCode="0.0">
                  <c:v>4.4166666666667354E-2</c:v>
                </c:pt>
                <c:pt idx="266" formatCode="0.0">
                  <c:v>0.15083333333333293</c:v>
                </c:pt>
                <c:pt idx="267" formatCode="0.0">
                  <c:v>-0.107222222222223</c:v>
                </c:pt>
                <c:pt idx="268" formatCode="0.0">
                  <c:v>-0.181111111111111</c:v>
                </c:pt>
                <c:pt idx="269" formatCode="0.0">
                  <c:v>-0.30388888888888843</c:v>
                </c:pt>
                <c:pt idx="270" formatCode="0.0">
                  <c:v>-0.55222222222222328</c:v>
                </c:pt>
                <c:pt idx="271" formatCode="0.0">
                  <c:v>-0.42305555555555507</c:v>
                </c:pt>
                <c:pt idx="272" formatCode="0.0">
                  <c:v>-5.1111111111111995E-2</c:v>
                </c:pt>
                <c:pt idx="273" formatCode="0.0">
                  <c:v>0.21388888888888857</c:v>
                </c:pt>
                <c:pt idx="274" formatCode="0.0">
                  <c:v>0.607222222222223</c:v>
                </c:pt>
                <c:pt idx="275" formatCode="0.0">
                  <c:v>-0.33611111111111214</c:v>
                </c:pt>
                <c:pt idx="276" formatCode="0.0">
                  <c:v>-0.24583333333333179</c:v>
                </c:pt>
                <c:pt idx="277" formatCode="0.0">
                  <c:v>-0.1449999999999978</c:v>
                </c:pt>
                <c:pt idx="278" formatCode="0.0">
                  <c:v>0.12694444444444386</c:v>
                </c:pt>
                <c:pt idx="279" formatCode="0.0">
                  <c:v>0.37194444444444485</c:v>
                </c:pt>
                <c:pt idx="280" formatCode="0.0">
                  <c:v>0.27222222222222214</c:v>
                </c:pt>
                <c:pt idx="281" formatCode="0.0">
                  <c:v>-0.22888888888888914</c:v>
                </c:pt>
                <c:pt idx="282" formatCode="0.0">
                  <c:v>-0.58194444444444393</c:v>
                </c:pt>
                <c:pt idx="283" formatCode="0.0">
                  <c:v>-0.44388888888888722</c:v>
                </c:pt>
                <c:pt idx="284" formatCode="0.0">
                  <c:v>-0.41722222222222349</c:v>
                </c:pt>
                <c:pt idx="285" formatCode="0.0">
                  <c:v>-0.65388888888888808</c:v>
                </c:pt>
                <c:pt idx="286" formatCode="0.0">
                  <c:v>-0.60305555555555657</c:v>
                </c:pt>
                <c:pt idx="287" formatCode="0.0">
                  <c:v>-0.67694444444444635</c:v>
                </c:pt>
                <c:pt idx="288" formatCode="0.0">
                  <c:v>-0.39499999999999957</c:v>
                </c:pt>
                <c:pt idx="289" formatCode="0.0">
                  <c:v>-0.29416666666666735</c:v>
                </c:pt>
                <c:pt idx="290" formatCode="0.0">
                  <c:v>0.40083333333333293</c:v>
                </c:pt>
                <c:pt idx="291" formatCode="0.0">
                  <c:v>0.57388888888888978</c:v>
                </c:pt>
                <c:pt idx="292" formatCode="0.0">
                  <c:v>0.32611111111111057</c:v>
                </c:pt>
                <c:pt idx="293" formatCode="0.0">
                  <c:v>0.43083333333333229</c:v>
                </c:pt>
                <c:pt idx="294" formatCode="0.0">
                  <c:v>0.74222222222222101</c:v>
                </c:pt>
                <c:pt idx="295" formatCode="0.0">
                  <c:v>0.86583333333333101</c:v>
                </c:pt>
                <c:pt idx="296" formatCode="0.0">
                  <c:v>0.90611111111111065</c:v>
                </c:pt>
                <c:pt idx="297" formatCode="0.0">
                  <c:v>0.97805555555555479</c:v>
                </c:pt>
                <c:pt idx="298" formatCode="0.0">
                  <c:v>0.97222222222222143</c:v>
                </c:pt>
                <c:pt idx="299" formatCode="0.0">
                  <c:v>0.91416666666666657</c:v>
                </c:pt>
                <c:pt idx="300" formatCode="0.0">
                  <c:v>0.49194444444444585</c:v>
                </c:pt>
                <c:pt idx="301" formatCode="0.0">
                  <c:v>0.49916666666666565</c:v>
                </c:pt>
                <c:pt idx="302" formatCode="0.0">
                  <c:v>0.66500000000000092</c:v>
                </c:pt>
                <c:pt idx="303" formatCode="0.0">
                  <c:v>0.8711111111111105</c:v>
                </c:pt>
                <c:pt idx="304" formatCode="0.0">
                  <c:v>0.87083333333333535</c:v>
                </c:pt>
                <c:pt idx="305" formatCode="0.0">
                  <c:v>0.88416666666666899</c:v>
                </c:pt>
                <c:pt idx="306" formatCode="0.0">
                  <c:v>0.87194444444444485</c:v>
                </c:pt>
                <c:pt idx="307" formatCode="0.0">
                  <c:v>0.85805555555555557</c:v>
                </c:pt>
                <c:pt idx="308" formatCode="0.0">
                  <c:v>1.0650000000000013</c:v>
                </c:pt>
                <c:pt idx="309" formatCode="0.0">
                  <c:v>1.355833333333333</c:v>
                </c:pt>
                <c:pt idx="310" formatCode="0.0">
                  <c:v>1.1691666666666656</c:v>
                </c:pt>
                <c:pt idx="311" formatCode="0.0">
                  <c:v>1.0569444444444454</c:v>
                </c:pt>
                <c:pt idx="312" formatCode="0.0">
                  <c:v>1.1338888888888885</c:v>
                </c:pt>
                <c:pt idx="313" formatCode="0.0">
                  <c:v>0.72694444444444528</c:v>
                </c:pt>
                <c:pt idx="314" formatCode="0.0">
                  <c:v>0.41305555555555529</c:v>
                </c:pt>
                <c:pt idx="315" formatCode="0.0">
                  <c:v>0.33999999999999986</c:v>
                </c:pt>
                <c:pt idx="316" formatCode="0.0">
                  <c:v>8.3888888888887791E-2</c:v>
                </c:pt>
                <c:pt idx="317" formatCode="0.0">
                  <c:v>0.100833333333334</c:v>
                </c:pt>
                <c:pt idx="318" formatCode="0.0">
                  <c:v>0.1338888888888885</c:v>
                </c:pt>
                <c:pt idx="319" formatCode="0.0">
                  <c:v>-0.21277777777777729</c:v>
                </c:pt>
                <c:pt idx="320" formatCode="0.0">
                  <c:v>-6.4999999999999503E-2</c:v>
                </c:pt>
                <c:pt idx="321" formatCode="0.0">
                  <c:v>0.20999999999999908</c:v>
                </c:pt>
                <c:pt idx="322" formatCode="0.0">
                  <c:v>0.28111111111111065</c:v>
                </c:pt>
                <c:pt idx="323" formatCode="0.0">
                  <c:v>0.34416666666666629</c:v>
                </c:pt>
                <c:pt idx="324" formatCode="0.0">
                  <c:v>0.72888888888888914</c:v>
                </c:pt>
                <c:pt idx="325" formatCode="0.0">
                  <c:v>0.78805555555555529</c:v>
                </c:pt>
                <c:pt idx="326" formatCode="0.0">
                  <c:v>0.75111111111111128</c:v>
                </c:pt>
                <c:pt idx="327" formatCode="0.0">
                  <c:v>0.75500000000000078</c:v>
                </c:pt>
                <c:pt idx="328" formatCode="0.0">
                  <c:v>0.64499999999999957</c:v>
                </c:pt>
                <c:pt idx="329" formatCode="0.0">
                  <c:v>0.65777777777777757</c:v>
                </c:pt>
                <c:pt idx="330" formatCode="0.0">
                  <c:v>0.67305555555555507</c:v>
                </c:pt>
                <c:pt idx="331" formatCode="0.0">
                  <c:v>0.60500000000000043</c:v>
                </c:pt>
                <c:pt idx="332" formatCode="0.0">
                  <c:v>0.911944444444444</c:v>
                </c:pt>
                <c:pt idx="333" formatCode="0.0">
                  <c:v>0.97888888888888914</c:v>
                </c:pt>
                <c:pt idx="334" formatCode="0.0">
                  <c:v>0.66805555555555607</c:v>
                </c:pt>
                <c:pt idx="335" formatCode="0.0">
                  <c:v>0.52583333333333293</c:v>
                </c:pt>
                <c:pt idx="336" formatCode="0.0">
                  <c:v>0.66194444444444578</c:v>
                </c:pt>
                <c:pt idx="337" formatCode="0.0">
                  <c:v>0.44416666666666593</c:v>
                </c:pt>
                <c:pt idx="338" formatCode="0.0">
                  <c:v>0.1288888888888895</c:v>
                </c:pt>
                <c:pt idx="339" formatCode="0.0">
                  <c:v>0.26305555555555493</c:v>
                </c:pt>
                <c:pt idx="340" formatCode="0.0">
                  <c:v>5.1944444444444571E-2</c:v>
                </c:pt>
                <c:pt idx="341" formatCode="0.0">
                  <c:v>-3.3888888888888857E-2</c:v>
                </c:pt>
                <c:pt idx="342" formatCode="0.0">
                  <c:v>-0.198888888888888</c:v>
                </c:pt>
                <c:pt idx="343" formatCode="0.0">
                  <c:v>-5.8055555555554861E-2</c:v>
                </c:pt>
                <c:pt idx="344" formatCode="0.0">
                  <c:v>-5.6944444444445352E-2</c:v>
                </c:pt>
                <c:pt idx="345" formatCode="0.0">
                  <c:v>-5.833333333333357E-3</c:v>
                </c:pt>
                <c:pt idx="346" formatCode="0.0">
                  <c:v>0.10999999999999943</c:v>
                </c:pt>
                <c:pt idx="347" formatCode="0.0">
                  <c:v>0.24499999999999922</c:v>
                </c:pt>
                <c:pt idx="348" formatCode="0.0">
                  <c:v>0.35111111111111093</c:v>
                </c:pt>
                <c:pt idx="349" formatCode="0.0">
                  <c:v>0.16611111111111221</c:v>
                </c:pt>
                <c:pt idx="350" formatCode="0.0">
                  <c:v>0.36583333333333279</c:v>
                </c:pt>
                <c:pt idx="351" formatCode="0.0">
                  <c:v>0.68083333333333407</c:v>
                </c:pt>
                <c:pt idx="352" formatCode="0.0">
                  <c:v>0.9208333333333325</c:v>
                </c:pt>
                <c:pt idx="353" formatCode="0.0">
                  <c:v>0.60999999999999943</c:v>
                </c:pt>
                <c:pt idx="354" formatCode="0.0">
                  <c:v>0.411944444444444</c:v>
                </c:pt>
                <c:pt idx="355" formatCode="0.0">
                  <c:v>-3.416666666666579E-2</c:v>
                </c:pt>
                <c:pt idx="356" formatCode="0.0">
                  <c:v>-0.37611111111111128</c:v>
                </c:pt>
                <c:pt idx="357" formatCode="0.0">
                  <c:v>-0.375</c:v>
                </c:pt>
                <c:pt idx="358" formatCode="0.0">
                  <c:v>-0.218055555555555</c:v>
                </c:pt>
                <c:pt idx="359" formatCode="0.0">
                  <c:v>-0.26500000000000057</c:v>
                </c:pt>
                <c:pt idx="360" formatCode="0.0">
                  <c:v>-0.39388888888888829</c:v>
                </c:pt>
                <c:pt idx="361" formatCode="0.0">
                  <c:v>-0.44805555555555543</c:v>
                </c:pt>
                <c:pt idx="362" formatCode="0.0">
                  <c:v>-0.67583333333333329</c:v>
                </c:pt>
                <c:pt idx="363" formatCode="0.0">
                  <c:v>-0.52999999999999936</c:v>
                </c:pt>
                <c:pt idx="364" formatCode="0.0">
                  <c:v>-0.33000000000000007</c:v>
                </c:pt>
                <c:pt idx="365" formatCode="0.0">
                  <c:v>-2.3055555555556495E-2</c:v>
                </c:pt>
                <c:pt idx="366" formatCode="0.0">
                  <c:v>2.3055555555554719E-2</c:v>
                </c:pt>
                <c:pt idx="367" formatCode="0.0">
                  <c:v>5.3888888888890207E-2</c:v>
                </c:pt>
                <c:pt idx="368" formatCode="0.0">
                  <c:v>2.4999999999998579E-2</c:v>
                </c:pt>
                <c:pt idx="369" formatCode="0.0">
                  <c:v>0.26500000000000057</c:v>
                </c:pt>
                <c:pt idx="370" formatCode="0.0">
                  <c:v>0.29499999999999993</c:v>
                </c:pt>
                <c:pt idx="371" formatCode="0.0">
                  <c:v>-0.125</c:v>
                </c:pt>
                <c:pt idx="372" formatCode="0.0">
                  <c:v>-0.31611111111111079</c:v>
                </c:pt>
                <c:pt idx="373" formatCode="0.0">
                  <c:v>-0.28000000000000114</c:v>
                </c:pt>
                <c:pt idx="374" formatCode="0.0">
                  <c:v>-0.230833333333333</c:v>
                </c:pt>
                <c:pt idx="375" formatCode="0.0">
                  <c:v>-0.161944444444444</c:v>
                </c:pt>
                <c:pt idx="376" formatCode="0.0">
                  <c:v>5.0000000000007816E-3</c:v>
                </c:pt>
                <c:pt idx="377" formatCode="0.0">
                  <c:v>1.3055555555554932E-2</c:v>
                </c:pt>
                <c:pt idx="378" formatCode="0.0">
                  <c:v>3.5000000000000142E-2</c:v>
                </c:pt>
                <c:pt idx="379" formatCode="0.0">
                  <c:v>-0.19916666666666671</c:v>
                </c:pt>
                <c:pt idx="380" formatCode="0.0">
                  <c:v>-2.1944444444443434E-2</c:v>
                </c:pt>
                <c:pt idx="381" formatCode="0.0">
                  <c:v>0.44916666666666671</c:v>
                </c:pt>
                <c:pt idx="382" formatCode="0.0">
                  <c:v>0.55305555555555586</c:v>
                </c:pt>
                <c:pt idx="383" formatCode="0.0">
                  <c:v>0.36805555555555536</c:v>
                </c:pt>
                <c:pt idx="384" formatCode="0.0">
                  <c:v>0.37777777777777821</c:v>
                </c:pt>
                <c:pt idx="385" formatCode="0.0">
                  <c:v>0.31111111111111178</c:v>
                </c:pt>
                <c:pt idx="386" formatCode="0.0">
                  <c:v>0.36416666666666586</c:v>
                </c:pt>
                <c:pt idx="387" formatCode="0.0">
                  <c:v>0.34111111111111114</c:v>
                </c:pt>
                <c:pt idx="388" formatCode="0.0">
                  <c:v>0.26416666666666799</c:v>
                </c:pt>
                <c:pt idx="389" formatCode="0.0">
                  <c:v>0.22305555555555578</c:v>
                </c:pt>
                <c:pt idx="390" formatCode="0.0">
                  <c:v>-0.29194444444444478</c:v>
                </c:pt>
                <c:pt idx="391" formatCode="0.0">
                  <c:v>-0.50194444444444564</c:v>
                </c:pt>
                <c:pt idx="392" formatCode="0.0">
                  <c:v>-0.49916666666666742</c:v>
                </c:pt>
                <c:pt idx="393" formatCode="0.0">
                  <c:v>-0.59111111111111114</c:v>
                </c:pt>
                <c:pt idx="394" formatCode="0.0">
                  <c:v>-0.286944444444444</c:v>
                </c:pt>
                <c:pt idx="395" formatCode="0.0">
                  <c:v>0.1658333333333335</c:v>
                </c:pt>
                <c:pt idx="396" formatCode="0.0">
                  <c:v>0.35583333333333478</c:v>
                </c:pt>
                <c:pt idx="397" formatCode="0.0">
                  <c:v>0.49000000000000021</c:v>
                </c:pt>
                <c:pt idx="398" formatCode="0.0">
                  <c:v>0.46277777777777729</c:v>
                </c:pt>
                <c:pt idx="399" formatCode="0.0">
                  <c:v>0.39694444444444343</c:v>
                </c:pt>
                <c:pt idx="400" formatCode="0.0">
                  <c:v>0.642777777777777</c:v>
                </c:pt>
                <c:pt idx="401" formatCode="0.0">
                  <c:v>0.43888888888888999</c:v>
                </c:pt>
                <c:pt idx="402" formatCode="0.0">
                  <c:v>0.47916666666666785</c:v>
                </c:pt>
                <c:pt idx="403" formatCode="0.0">
                  <c:v>0.43000000000000149</c:v>
                </c:pt>
                <c:pt idx="404" formatCode="0.0">
                  <c:v>3.055555555555145E-3</c:v>
                </c:pt>
                <c:pt idx="405" formatCode="0.0">
                  <c:v>-0.21000000000000085</c:v>
                </c:pt>
                <c:pt idx="406" formatCode="0.0">
                  <c:v>-0.54499999999999993</c:v>
                </c:pt>
                <c:pt idx="407" formatCode="0.0">
                  <c:v>-0.94416666666666593</c:v>
                </c:pt>
                <c:pt idx="408" formatCode="0.0">
                  <c:v>-0.8277777777777775</c:v>
                </c:pt>
                <c:pt idx="409" formatCode="0.0">
                  <c:v>-0.83888888888888857</c:v>
                </c:pt>
                <c:pt idx="410" formatCode="0.0">
                  <c:v>-0.79388888888888864</c:v>
                </c:pt>
                <c:pt idx="411" formatCode="0.0">
                  <c:v>-0.54499999999999993</c:v>
                </c:pt>
                <c:pt idx="412" formatCode="0.0">
                  <c:v>-0.66416666666666657</c:v>
                </c:pt>
                <c:pt idx="413" formatCode="0.0">
                  <c:v>-0.63388888888889028</c:v>
                </c:pt>
                <c:pt idx="414" formatCode="0.0">
                  <c:v>-0.80888888888888921</c:v>
                </c:pt>
                <c:pt idx="415" formatCode="0.0">
                  <c:v>-0.87777777777777821</c:v>
                </c:pt>
                <c:pt idx="416" formatCode="0.0">
                  <c:v>-0.66083333333333449</c:v>
                </c:pt>
                <c:pt idx="417" formatCode="0.0">
                  <c:v>-0.47305555555555578</c:v>
                </c:pt>
                <c:pt idx="418" formatCode="0.0">
                  <c:v>-0.55722222222222229</c:v>
                </c:pt>
                <c:pt idx="419" formatCode="0.0">
                  <c:v>-0.375</c:v>
                </c:pt>
                <c:pt idx="420" formatCode="0.0">
                  <c:v>-0.39499999999999957</c:v>
                </c:pt>
                <c:pt idx="421" formatCode="0.0">
                  <c:v>-0.32694444444444493</c:v>
                </c:pt>
                <c:pt idx="422" formatCode="0.0">
                  <c:v>-6.0000000000000497E-2</c:v>
                </c:pt>
                <c:pt idx="423" formatCode="0.0">
                  <c:v>0.17888888888889021</c:v>
                </c:pt>
                <c:pt idx="424" formatCode="0.0">
                  <c:v>0.28500000000000014</c:v>
                </c:pt>
                <c:pt idx="425" formatCode="0.0">
                  <c:v>0.13000000000000078</c:v>
                </c:pt>
                <c:pt idx="426" formatCode="0.0">
                  <c:v>-8.4166666666666501E-2</c:v>
                </c:pt>
                <c:pt idx="427" formatCode="0.0">
                  <c:v>-0.22888888888888914</c:v>
                </c:pt>
                <c:pt idx="428" formatCode="0.0">
                  <c:v>-0.23194444444444429</c:v>
                </c:pt>
                <c:pt idx="429" formatCode="0.0">
                  <c:v>-0.25194444444444386</c:v>
                </c:pt>
                <c:pt idx="430" formatCode="0.0">
                  <c:v>-0.23611111111111072</c:v>
                </c:pt>
                <c:pt idx="431" formatCode="0.0">
                  <c:v>-0.17194444444444379</c:v>
                </c:pt>
                <c:pt idx="432" formatCode="0.0">
                  <c:v>-0.29694444444444379</c:v>
                </c:pt>
                <c:pt idx="433" formatCode="0.0">
                  <c:v>-0.35500000000000043</c:v>
                </c:pt>
                <c:pt idx="434" formatCode="0.0">
                  <c:v>-0.16499999999999915</c:v>
                </c:pt>
                <c:pt idx="435" formatCode="0.0">
                  <c:v>-0.14222222222222314</c:v>
                </c:pt>
                <c:pt idx="436" formatCode="0.0">
                  <c:v>-0.17999999999999972</c:v>
                </c:pt>
                <c:pt idx="437" formatCode="0.0">
                  <c:v>0.10611111111110993</c:v>
                </c:pt>
                <c:pt idx="438" formatCode="0.0">
                  <c:v>0.20611111111111136</c:v>
                </c:pt>
                <c:pt idx="439" formatCode="0.0">
                  <c:v>0.16000000000000014</c:v>
                </c:pt>
                <c:pt idx="440" formatCode="0.0">
                  <c:v>0.28305555555555451</c:v>
                </c:pt>
                <c:pt idx="441" formatCode="0.0">
                  <c:v>0.14777777777777779</c:v>
                </c:pt>
                <c:pt idx="442" formatCode="0.0">
                  <c:v>0.23305555555555557</c:v>
                </c:pt>
                <c:pt idx="443" formatCode="0.0">
                  <c:v>0.28805555555555529</c:v>
                </c:pt>
                <c:pt idx="444" formatCode="0.0">
                  <c:v>0.16888888888888864</c:v>
                </c:pt>
                <c:pt idx="445" formatCode="0.0">
                  <c:v>0.30222222222222328</c:v>
                </c:pt>
                <c:pt idx="446" formatCode="0.0">
                  <c:v>0.34194444444444372</c:v>
                </c:pt>
                <c:pt idx="447" formatCode="0.0">
                  <c:v>0.29500000000000171</c:v>
                </c:pt>
                <c:pt idx="448" formatCode="0.0">
                  <c:v>0.15499999999999936</c:v>
                </c:pt>
                <c:pt idx="449" formatCode="0.0">
                  <c:v>0.23888888888888893</c:v>
                </c:pt>
                <c:pt idx="450" formatCode="0.0">
                  <c:v>9.9999999999999645E-2</c:v>
                </c:pt>
                <c:pt idx="451" formatCode="0.0">
                  <c:v>0.14805555555555472</c:v>
                </c:pt>
                <c:pt idx="452" formatCode="0.0">
                  <c:v>5.9999999999998721E-2</c:v>
                </c:pt>
                <c:pt idx="453" formatCode="0.0">
                  <c:v>5.1111111111111995E-2</c:v>
                </c:pt>
                <c:pt idx="454" formatCode="0.0">
                  <c:v>8.9999999999999858E-2</c:v>
                </c:pt>
                <c:pt idx="455" formatCode="0.0">
                  <c:v>9.0833333333332433E-2</c:v>
                </c:pt>
                <c:pt idx="456" formatCode="0.0">
                  <c:v>1.7222222222223138E-2</c:v>
                </c:pt>
                <c:pt idx="457" formatCode="0.0">
                  <c:v>2.0833333333332149E-2</c:v>
                </c:pt>
                <c:pt idx="458" formatCode="0.0">
                  <c:v>0.1530555555555555</c:v>
                </c:pt>
                <c:pt idx="459" formatCode="0.0">
                  <c:v>0.16499999999999915</c:v>
                </c:pt>
                <c:pt idx="460" formatCode="0.0">
                  <c:v>0.24500000000000099</c:v>
                </c:pt>
                <c:pt idx="461" formatCode="0.0">
                  <c:v>0.22305555555555578</c:v>
                </c:pt>
                <c:pt idx="462" formatCode="0.0">
                  <c:v>0.19194444444444514</c:v>
                </c:pt>
                <c:pt idx="463" formatCode="0.0">
                  <c:v>0.28388888888888886</c:v>
                </c:pt>
                <c:pt idx="464" formatCode="0.0">
                  <c:v>0.14111111111111008</c:v>
                </c:pt>
                <c:pt idx="465" formatCode="0.0">
                  <c:v>-0.13083333333333336</c:v>
                </c:pt>
                <c:pt idx="466" formatCode="0.0">
                  <c:v>-8.6111111111112137E-2</c:v>
                </c:pt>
                <c:pt idx="467" formatCode="0.0">
                  <c:v>-0.18388888888888921</c:v>
                </c:pt>
                <c:pt idx="468" formatCode="0.0">
                  <c:v>-0.33722222222222165</c:v>
                </c:pt>
                <c:pt idx="469" formatCode="0.0">
                  <c:v>-0.42694444444444457</c:v>
                </c:pt>
                <c:pt idx="470" formatCode="0.0">
                  <c:v>-0.43194444444444535</c:v>
                </c:pt>
                <c:pt idx="471" formatCode="0.0">
                  <c:v>-0.45805555555555522</c:v>
                </c:pt>
                <c:pt idx="472" formatCode="0.0">
                  <c:v>-0.50194444444444386</c:v>
                </c:pt>
                <c:pt idx="473" formatCode="0.0">
                  <c:v>-0.65083333333333471</c:v>
                </c:pt>
                <c:pt idx="474" formatCode="0.0">
                  <c:v>-0.4591666666666665</c:v>
                </c:pt>
                <c:pt idx="475" formatCode="0.0">
                  <c:v>-0.38722222222222236</c:v>
                </c:pt>
                <c:pt idx="476" formatCode="0.0">
                  <c:v>-0.13999999999999879</c:v>
                </c:pt>
                <c:pt idx="477" formatCode="0.0">
                  <c:v>-2.9166666666666785E-2</c:v>
                </c:pt>
                <c:pt idx="478" formatCode="0.0">
                  <c:v>0.11805555555555536</c:v>
                </c:pt>
                <c:pt idx="479" formatCode="0.0">
                  <c:v>0.14888888888888907</c:v>
                </c:pt>
                <c:pt idx="480" formatCode="0.0">
                  <c:v>0.30694444444444535</c:v>
                </c:pt>
                <c:pt idx="481" formatCode="0.0">
                  <c:v>0.44805555555555543</c:v>
                </c:pt>
                <c:pt idx="482" formatCode="0.0">
                  <c:v>0.60888888888888815</c:v>
                </c:pt>
                <c:pt idx="483" formatCode="0.0">
                  <c:v>0.30499999999999972</c:v>
                </c:pt>
                <c:pt idx="484" formatCode="0.0">
                  <c:v>7.3055555555555429E-2</c:v>
                </c:pt>
                <c:pt idx="485" formatCode="0.0">
                  <c:v>0.18222222222222229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20-476F-98D6-89DC3315D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(10Hz)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100"/>
        <c:noMultiLvlLbl val="0"/>
      </c:catAx>
      <c:valAx>
        <c:axId val="43578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Motion Mini - Comparing</a:t>
            </a:r>
            <a:r>
              <a:rPr lang="en-GB" baseline="0"/>
              <a:t> acceleration calculations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Existing calculation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motion!$Q$3:$Q$493</c:f>
              <c:numCache>
                <c:formatCode>0.0</c:formatCode>
                <c:ptCount val="491"/>
                <c:pt idx="1">
                  <c:v>0.93055555555555003</c:v>
                </c:pt>
                <c:pt idx="2">
                  <c:v>0.73055555555555429</c:v>
                </c:pt>
                <c:pt idx="3">
                  <c:v>0.81944444444445708</c:v>
                </c:pt>
                <c:pt idx="4">
                  <c:v>0.18055555555555713</c:v>
                </c:pt>
                <c:pt idx="5">
                  <c:v>0.91944444444443718</c:v>
                </c:pt>
                <c:pt idx="6">
                  <c:v>0.19166666666666998</c:v>
                </c:pt>
                <c:pt idx="7">
                  <c:v>0.17777777777777004</c:v>
                </c:pt>
                <c:pt idx="8">
                  <c:v>-0.10833333333332362</c:v>
                </c:pt>
                <c:pt idx="9">
                  <c:v>0.58055555555554861</c:v>
                </c:pt>
                <c:pt idx="10">
                  <c:v>-0.37222222222222712</c:v>
                </c:pt>
                <c:pt idx="11">
                  <c:v>0.21111111111112635</c:v>
                </c:pt>
                <c:pt idx="12">
                  <c:v>0.969444444444445</c:v>
                </c:pt>
                <c:pt idx="13">
                  <c:v>0.59166666666666146</c:v>
                </c:pt>
                <c:pt idx="14">
                  <c:v>0.38888888888887863</c:v>
                </c:pt>
                <c:pt idx="15">
                  <c:v>0.98888888888890136</c:v>
                </c:pt>
                <c:pt idx="16">
                  <c:v>0.73055555555555429</c:v>
                </c:pt>
                <c:pt idx="17">
                  <c:v>0.76111111111110574</c:v>
                </c:pt>
                <c:pt idx="18">
                  <c:v>8.0555555555559266E-2</c:v>
                </c:pt>
                <c:pt idx="19">
                  <c:v>8.888888888888502E-2</c:v>
                </c:pt>
                <c:pt idx="20">
                  <c:v>0.61111111111111782</c:v>
                </c:pt>
                <c:pt idx="21">
                  <c:v>-0.58055555555556637</c:v>
                </c:pt>
                <c:pt idx="22">
                  <c:v>0.4805555555555685</c:v>
                </c:pt>
                <c:pt idx="23">
                  <c:v>0.51944444444444571</c:v>
                </c:pt>
                <c:pt idx="24">
                  <c:v>8.3333333333257542E-3</c:v>
                </c:pt>
                <c:pt idx="25">
                  <c:v>0.89999999999999858</c:v>
                </c:pt>
                <c:pt idx="26">
                  <c:v>0.49166666666666359</c:v>
                </c:pt>
                <c:pt idx="27">
                  <c:v>0.35833333333334494</c:v>
                </c:pt>
                <c:pt idx="28">
                  <c:v>0.94999999999998863</c:v>
                </c:pt>
                <c:pt idx="29">
                  <c:v>0.44166666666667354</c:v>
                </c:pt>
                <c:pt idx="30">
                  <c:v>0.44999999999999929</c:v>
                </c:pt>
                <c:pt idx="31">
                  <c:v>6.9444444444446418E-2</c:v>
                </c:pt>
                <c:pt idx="32">
                  <c:v>-0.68888888888888999</c:v>
                </c:pt>
                <c:pt idx="33">
                  <c:v>-5.0000000000007816E-2</c:v>
                </c:pt>
                <c:pt idx="34">
                  <c:v>0.67777777777777715</c:v>
                </c:pt>
                <c:pt idx="35">
                  <c:v>0.18055555555555713</c:v>
                </c:pt>
                <c:pt idx="36">
                  <c:v>-3.8888888888877204E-2</c:v>
                </c:pt>
                <c:pt idx="37">
                  <c:v>0.78888888888888786</c:v>
                </c:pt>
                <c:pt idx="38">
                  <c:v>0.99166666666665293</c:v>
                </c:pt>
                <c:pt idx="39">
                  <c:v>-6.11111111111029E-2</c:v>
                </c:pt>
                <c:pt idx="40">
                  <c:v>-0.61111111111111782</c:v>
                </c:pt>
                <c:pt idx="41">
                  <c:v>1.2111111111111228</c:v>
                </c:pt>
                <c:pt idx="42">
                  <c:v>0.24999999999998579</c:v>
                </c:pt>
                <c:pt idx="43">
                  <c:v>-1.4999999999999858</c:v>
                </c:pt>
                <c:pt idx="44">
                  <c:v>-0.11944444444445423</c:v>
                </c:pt>
                <c:pt idx="45">
                  <c:v>3.8888888888894968E-2</c:v>
                </c:pt>
                <c:pt idx="46">
                  <c:v>-6.9444444444446418E-2</c:v>
                </c:pt>
                <c:pt idx="47">
                  <c:v>1.7888888888888843</c:v>
                </c:pt>
                <c:pt idx="48">
                  <c:v>-1.0083333333333222</c:v>
                </c:pt>
                <c:pt idx="49">
                  <c:v>-0.81944444444445708</c:v>
                </c:pt>
                <c:pt idx="50">
                  <c:v>0.98888888888890136</c:v>
                </c:pt>
                <c:pt idx="51">
                  <c:v>-0.76111111111112351</c:v>
                </c:pt>
                <c:pt idx="52">
                  <c:v>0.49166666666666359</c:v>
                </c:pt>
                <c:pt idx="53">
                  <c:v>1.2000000000000099</c:v>
                </c:pt>
                <c:pt idx="54">
                  <c:v>0.70000000000000284</c:v>
                </c:pt>
                <c:pt idx="55">
                  <c:v>-1.2694444444444564</c:v>
                </c:pt>
                <c:pt idx="56">
                  <c:v>0.88888888888890349</c:v>
                </c:pt>
                <c:pt idx="57">
                  <c:v>0.31944444444443221</c:v>
                </c:pt>
                <c:pt idx="58">
                  <c:v>-0.65833333333332078</c:v>
                </c:pt>
                <c:pt idx="59">
                  <c:v>-0.25000000000000355</c:v>
                </c:pt>
                <c:pt idx="60">
                  <c:v>-0.2416666666666778</c:v>
                </c:pt>
                <c:pt idx="61">
                  <c:v>-0.59999999999998721</c:v>
                </c:pt>
                <c:pt idx="62">
                  <c:v>-9.9999999999997868E-2</c:v>
                </c:pt>
                <c:pt idx="63">
                  <c:v>-0.36944444444445779</c:v>
                </c:pt>
                <c:pt idx="64">
                  <c:v>0.63055555555555642</c:v>
                </c:pt>
                <c:pt idx="65">
                  <c:v>-6.11111111111029E-2</c:v>
                </c:pt>
                <c:pt idx="66">
                  <c:v>0.56944444444443576</c:v>
                </c:pt>
                <c:pt idx="67">
                  <c:v>0.38055555555555287</c:v>
                </c:pt>
                <c:pt idx="68">
                  <c:v>-0.86944444444442937</c:v>
                </c:pt>
                <c:pt idx="69">
                  <c:v>0.66111111111110787</c:v>
                </c:pt>
                <c:pt idx="70">
                  <c:v>-0.25000000000000355</c:v>
                </c:pt>
                <c:pt idx="71">
                  <c:v>0.66944444444445139</c:v>
                </c:pt>
                <c:pt idx="72">
                  <c:v>-1.1805555555555713</c:v>
                </c:pt>
                <c:pt idx="73">
                  <c:v>-0.79999999999998295</c:v>
                </c:pt>
                <c:pt idx="74">
                  <c:v>-0.11111111111112848</c:v>
                </c:pt>
                <c:pt idx="75">
                  <c:v>-1.0388888888888737</c:v>
                </c:pt>
                <c:pt idx="76">
                  <c:v>-0.35000000000000142</c:v>
                </c:pt>
                <c:pt idx="77">
                  <c:v>0.76111111111110574</c:v>
                </c:pt>
                <c:pt idx="78">
                  <c:v>-0.67222222222222072</c:v>
                </c:pt>
                <c:pt idx="79">
                  <c:v>-1.1694444444444407</c:v>
                </c:pt>
                <c:pt idx="80">
                  <c:v>0.83055555555555216</c:v>
                </c:pt>
                <c:pt idx="81">
                  <c:v>-0.15000000000000568</c:v>
                </c:pt>
                <c:pt idx="82">
                  <c:v>-8.888888888888502E-2</c:v>
                </c:pt>
                <c:pt idx="83">
                  <c:v>-9.1666666666672114E-2</c:v>
                </c:pt>
                <c:pt idx="84">
                  <c:v>-1.3999999999999879</c:v>
                </c:pt>
                <c:pt idx="85">
                  <c:v>0.11111111111111072</c:v>
                </c:pt>
                <c:pt idx="86">
                  <c:v>-0.13055555555556708</c:v>
                </c:pt>
                <c:pt idx="87">
                  <c:v>0.91944444444445494</c:v>
                </c:pt>
                <c:pt idx="88">
                  <c:v>-0.30833333333333712</c:v>
                </c:pt>
                <c:pt idx="89">
                  <c:v>0.56944444444443576</c:v>
                </c:pt>
                <c:pt idx="90">
                  <c:v>0.58888888888889213</c:v>
                </c:pt>
                <c:pt idx="91">
                  <c:v>0.19999999999999574</c:v>
                </c:pt>
                <c:pt idx="92">
                  <c:v>0.96111111111111924</c:v>
                </c:pt>
                <c:pt idx="93">
                  <c:v>-1.9500000000000028</c:v>
                </c:pt>
                <c:pt idx="94">
                  <c:v>0.53888888888888431</c:v>
                </c:pt>
                <c:pt idx="95">
                  <c:v>-0.10833333333332362</c:v>
                </c:pt>
                <c:pt idx="96">
                  <c:v>-0.89166666666667282</c:v>
                </c:pt>
                <c:pt idx="97">
                  <c:v>0.74166666666666714</c:v>
                </c:pt>
                <c:pt idx="98">
                  <c:v>-0.64999999999999503</c:v>
                </c:pt>
                <c:pt idx="99">
                  <c:v>1.2694444444444386</c:v>
                </c:pt>
                <c:pt idx="100">
                  <c:v>1.1000000000000121</c:v>
                </c:pt>
                <c:pt idx="101">
                  <c:v>-0.16111111111111853</c:v>
                </c:pt>
                <c:pt idx="102">
                  <c:v>0.41111111111110432</c:v>
                </c:pt>
                <c:pt idx="103">
                  <c:v>0.43888888888890421</c:v>
                </c:pt>
                <c:pt idx="104">
                  <c:v>-0.15000000000000568</c:v>
                </c:pt>
                <c:pt idx="105">
                  <c:v>1.899999999999995</c:v>
                </c:pt>
                <c:pt idx="106">
                  <c:v>-0.54999999999999716</c:v>
                </c:pt>
                <c:pt idx="107">
                  <c:v>-0.2194444444444521</c:v>
                </c:pt>
                <c:pt idx="108">
                  <c:v>0.80000000000000071</c:v>
                </c:pt>
                <c:pt idx="109">
                  <c:v>-0.38888888888887863</c:v>
                </c:pt>
                <c:pt idx="110">
                  <c:v>0.60833333333333073</c:v>
                </c:pt>
                <c:pt idx="111">
                  <c:v>-0.50833333333333286</c:v>
                </c:pt>
                <c:pt idx="112">
                  <c:v>4.9999999999990052E-2</c:v>
                </c:pt>
                <c:pt idx="113">
                  <c:v>1.2083333333333357</c:v>
                </c:pt>
                <c:pt idx="114">
                  <c:v>0.46111111111111214</c:v>
                </c:pt>
                <c:pt idx="115">
                  <c:v>-0.44166666666665577</c:v>
                </c:pt>
                <c:pt idx="116">
                  <c:v>0.94166666666666288</c:v>
                </c:pt>
                <c:pt idx="117">
                  <c:v>2.3000000000000043</c:v>
                </c:pt>
                <c:pt idx="118">
                  <c:v>-1.8611111111111178</c:v>
                </c:pt>
                <c:pt idx="119">
                  <c:v>0.64166666666666927</c:v>
                </c:pt>
                <c:pt idx="120">
                  <c:v>-0.34166666666667567</c:v>
                </c:pt>
                <c:pt idx="121">
                  <c:v>0.83055555555556992</c:v>
                </c:pt>
                <c:pt idx="122">
                  <c:v>-0.76944444444444926</c:v>
                </c:pt>
                <c:pt idx="123">
                  <c:v>1.2888888888888772</c:v>
                </c:pt>
                <c:pt idx="124">
                  <c:v>-0.23888888888887294</c:v>
                </c:pt>
                <c:pt idx="125">
                  <c:v>1.1305555555555458</c:v>
                </c:pt>
                <c:pt idx="126">
                  <c:v>-9.9999999999997868E-2</c:v>
                </c:pt>
                <c:pt idx="127">
                  <c:v>-0.22222222222222143</c:v>
                </c:pt>
                <c:pt idx="128">
                  <c:v>0.79166666666667496</c:v>
                </c:pt>
                <c:pt idx="129">
                  <c:v>0.33888888888888857</c:v>
                </c:pt>
                <c:pt idx="130">
                  <c:v>-3.0555555555569214E-2</c:v>
                </c:pt>
                <c:pt idx="131">
                  <c:v>0.99999999999999645</c:v>
                </c:pt>
                <c:pt idx="132">
                  <c:v>1.5000000000000036</c:v>
                </c:pt>
                <c:pt idx="133">
                  <c:v>1.5722222222222193</c:v>
                </c:pt>
                <c:pt idx="134">
                  <c:v>1.8083333333333407</c:v>
                </c:pt>
                <c:pt idx="135">
                  <c:v>-2.0888888888888957</c:v>
                </c:pt>
                <c:pt idx="136">
                  <c:v>-0.21944444444443434</c:v>
                </c:pt>
                <c:pt idx="137">
                  <c:v>-1.4722222222222214</c:v>
                </c:pt>
                <c:pt idx="138">
                  <c:v>0.39999999999999147</c:v>
                </c:pt>
                <c:pt idx="139">
                  <c:v>-0.7277777777777672</c:v>
                </c:pt>
                <c:pt idx="140">
                  <c:v>-0.84166666666666501</c:v>
                </c:pt>
                <c:pt idx="141">
                  <c:v>-0.70833333333334636</c:v>
                </c:pt>
                <c:pt idx="142">
                  <c:v>-0.57222222222222285</c:v>
                </c:pt>
                <c:pt idx="143">
                  <c:v>1.0222222222222221</c:v>
                </c:pt>
                <c:pt idx="144">
                  <c:v>0.11944444444445423</c:v>
                </c:pt>
                <c:pt idx="145">
                  <c:v>-1.7305555555555507</c:v>
                </c:pt>
                <c:pt idx="146">
                  <c:v>-0.38888888888889639</c:v>
                </c:pt>
                <c:pt idx="147">
                  <c:v>1.4499999999999957</c:v>
                </c:pt>
                <c:pt idx="148">
                  <c:v>-0.19166666666666998</c:v>
                </c:pt>
                <c:pt idx="149">
                  <c:v>1.0305555555555657</c:v>
                </c:pt>
                <c:pt idx="150">
                  <c:v>0.71944444444444144</c:v>
                </c:pt>
                <c:pt idx="151">
                  <c:v>0.11944444444443647</c:v>
                </c:pt>
                <c:pt idx="152">
                  <c:v>-0.32777777777777573</c:v>
                </c:pt>
                <c:pt idx="153">
                  <c:v>-0.97222222222221433</c:v>
                </c:pt>
                <c:pt idx="154">
                  <c:v>1.4722222222222214</c:v>
                </c:pt>
                <c:pt idx="155">
                  <c:v>-1.2916666666666643</c:v>
                </c:pt>
                <c:pt idx="156">
                  <c:v>-0.20833333333333925</c:v>
                </c:pt>
                <c:pt idx="157">
                  <c:v>0.25000000000000355</c:v>
                </c:pt>
                <c:pt idx="158">
                  <c:v>1.3888888888888928</c:v>
                </c:pt>
                <c:pt idx="159">
                  <c:v>0.46944444444443789</c:v>
                </c:pt>
                <c:pt idx="160">
                  <c:v>8.0555555555559266E-2</c:v>
                </c:pt>
                <c:pt idx="161">
                  <c:v>1.2305555555555614</c:v>
                </c:pt>
                <c:pt idx="162">
                  <c:v>-0.84166666666668277</c:v>
                </c:pt>
                <c:pt idx="163">
                  <c:v>0.83055555555556992</c:v>
                </c:pt>
                <c:pt idx="164">
                  <c:v>0.73055555555555429</c:v>
                </c:pt>
                <c:pt idx="165">
                  <c:v>-1.6500000000000092</c:v>
                </c:pt>
                <c:pt idx="166">
                  <c:v>-0.38888888888887863</c:v>
                </c:pt>
                <c:pt idx="167">
                  <c:v>-0.2416666666666778</c:v>
                </c:pt>
                <c:pt idx="168">
                  <c:v>0.34166666666667567</c:v>
                </c:pt>
                <c:pt idx="169">
                  <c:v>-9.9999999999997868E-2</c:v>
                </c:pt>
                <c:pt idx="170">
                  <c:v>-1.6111111111111143</c:v>
                </c:pt>
                <c:pt idx="171">
                  <c:v>0.21111111111110858</c:v>
                </c:pt>
                <c:pt idx="172">
                  <c:v>-7.2222222222215748E-2</c:v>
                </c:pt>
                <c:pt idx="173">
                  <c:v>2.0500000000000007</c:v>
                </c:pt>
                <c:pt idx="174">
                  <c:v>0.86111111111110361</c:v>
                </c:pt>
                <c:pt idx="175">
                  <c:v>6.9444444444446418E-2</c:v>
                </c:pt>
                <c:pt idx="176">
                  <c:v>-2.3694444444444507</c:v>
                </c:pt>
                <c:pt idx="177">
                  <c:v>0.280555555555555</c:v>
                </c:pt>
                <c:pt idx="178">
                  <c:v>-0.43055555555554292</c:v>
                </c:pt>
                <c:pt idx="179">
                  <c:v>9.9999999999997868E-2</c:v>
                </c:pt>
                <c:pt idx="180">
                  <c:v>1.1111111111111072</c:v>
                </c:pt>
                <c:pt idx="181">
                  <c:v>3.8888888888894968E-2</c:v>
                </c:pt>
                <c:pt idx="182">
                  <c:v>1.4194444444444443</c:v>
                </c:pt>
                <c:pt idx="183">
                  <c:v>0.11111111111111072</c:v>
                </c:pt>
                <c:pt idx="184">
                  <c:v>1.6000000000000014</c:v>
                </c:pt>
                <c:pt idx="185">
                  <c:v>0.31944444444443221</c:v>
                </c:pt>
                <c:pt idx="186">
                  <c:v>-2.8805555555555529</c:v>
                </c:pt>
                <c:pt idx="187">
                  <c:v>-0.63055555555555642</c:v>
                </c:pt>
                <c:pt idx="188">
                  <c:v>2.8805555555555529</c:v>
                </c:pt>
                <c:pt idx="189">
                  <c:v>0.49166666666666359</c:v>
                </c:pt>
                <c:pt idx="190">
                  <c:v>-0.61111111111110006</c:v>
                </c:pt>
                <c:pt idx="191">
                  <c:v>-3.01111111111112</c:v>
                </c:pt>
                <c:pt idx="192">
                  <c:v>-2.6694444444444443</c:v>
                </c:pt>
                <c:pt idx="193">
                  <c:v>1.161111111111115</c:v>
                </c:pt>
                <c:pt idx="194">
                  <c:v>0.88055555555555998</c:v>
                </c:pt>
                <c:pt idx="195">
                  <c:v>-0.5222222222222328</c:v>
                </c:pt>
                <c:pt idx="196">
                  <c:v>-0.75833333333331865</c:v>
                </c:pt>
                <c:pt idx="197">
                  <c:v>-1.3916666666666799</c:v>
                </c:pt>
                <c:pt idx="198">
                  <c:v>-1.8083333333333229</c:v>
                </c:pt>
                <c:pt idx="199">
                  <c:v>-1.2000000000000099</c:v>
                </c:pt>
                <c:pt idx="200">
                  <c:v>-1.0499999999999865</c:v>
                </c:pt>
                <c:pt idx="201">
                  <c:v>0.19999999999999574</c:v>
                </c:pt>
                <c:pt idx="202">
                  <c:v>-0.30000000000001137</c:v>
                </c:pt>
                <c:pt idx="203">
                  <c:v>-2.8999999999999915</c:v>
                </c:pt>
                <c:pt idx="204">
                  <c:v>-0.969444444444445</c:v>
                </c:pt>
                <c:pt idx="205">
                  <c:v>2.0694444444444393</c:v>
                </c:pt>
                <c:pt idx="206">
                  <c:v>-0.41111111111110432</c:v>
                </c:pt>
                <c:pt idx="207">
                  <c:v>-0.88055555555555998</c:v>
                </c:pt>
                <c:pt idx="208">
                  <c:v>0.19166666666666998</c:v>
                </c:pt>
                <c:pt idx="209">
                  <c:v>0.23055555555554719</c:v>
                </c:pt>
                <c:pt idx="210">
                  <c:v>-1.3305555555555415</c:v>
                </c:pt>
                <c:pt idx="211">
                  <c:v>-1.9444444444456366E-2</c:v>
                </c:pt>
                <c:pt idx="212">
                  <c:v>0.20833333333333925</c:v>
                </c:pt>
                <c:pt idx="213">
                  <c:v>1.0416666666666607</c:v>
                </c:pt>
                <c:pt idx="214">
                  <c:v>-1.4305555555555571</c:v>
                </c:pt>
                <c:pt idx="215">
                  <c:v>-0.94166666666666288</c:v>
                </c:pt>
                <c:pt idx="216">
                  <c:v>0.27222222222222925</c:v>
                </c:pt>
                <c:pt idx="217">
                  <c:v>0.51944444444444571</c:v>
                </c:pt>
                <c:pt idx="218">
                  <c:v>-1.3916666666666799</c:v>
                </c:pt>
                <c:pt idx="219">
                  <c:v>-1.5194444444444422</c:v>
                </c:pt>
                <c:pt idx="220">
                  <c:v>-2.0500000000000007</c:v>
                </c:pt>
                <c:pt idx="221">
                  <c:v>-8.888888888888502E-2</c:v>
                </c:pt>
                <c:pt idx="222">
                  <c:v>-1.4499999999999957</c:v>
                </c:pt>
                <c:pt idx="223">
                  <c:v>-0.40000000000000924</c:v>
                </c:pt>
                <c:pt idx="224">
                  <c:v>1.6388888888888964</c:v>
                </c:pt>
                <c:pt idx="225">
                  <c:v>-0.73055555555555429</c:v>
                </c:pt>
                <c:pt idx="226">
                  <c:v>-0.95833333333333215</c:v>
                </c:pt>
                <c:pt idx="227">
                  <c:v>-0.51944444444444571</c:v>
                </c:pt>
                <c:pt idx="228">
                  <c:v>-1.6000000000000014</c:v>
                </c:pt>
                <c:pt idx="229">
                  <c:v>-0.78055555555556211</c:v>
                </c:pt>
                <c:pt idx="230">
                  <c:v>-0.48055555555555074</c:v>
                </c:pt>
                <c:pt idx="231">
                  <c:v>-1.7694444444444457</c:v>
                </c:pt>
                <c:pt idx="232">
                  <c:v>-0.11944444444443647</c:v>
                </c:pt>
                <c:pt idx="233">
                  <c:v>0.22777777777777786</c:v>
                </c:pt>
                <c:pt idx="234">
                  <c:v>-1.6888888888888864</c:v>
                </c:pt>
                <c:pt idx="235">
                  <c:v>1.2694444444444386</c:v>
                </c:pt>
                <c:pt idx="236">
                  <c:v>-3.055555555555145E-2</c:v>
                </c:pt>
                <c:pt idx="237">
                  <c:v>-0.75000000000001066</c:v>
                </c:pt>
                <c:pt idx="238">
                  <c:v>-8.3333333333257542E-3</c:v>
                </c:pt>
                <c:pt idx="239">
                  <c:v>-0.89999999999999858</c:v>
                </c:pt>
                <c:pt idx="240">
                  <c:v>-0.94166666666666288</c:v>
                </c:pt>
                <c:pt idx="241">
                  <c:v>1.4305555555555394</c:v>
                </c:pt>
                <c:pt idx="242">
                  <c:v>-1.3083333333333158</c:v>
                </c:pt>
                <c:pt idx="243">
                  <c:v>0.19999999999999574</c:v>
                </c:pt>
                <c:pt idx="244">
                  <c:v>0.20833333333332149</c:v>
                </c:pt>
                <c:pt idx="245">
                  <c:v>-1.2999999999999901</c:v>
                </c:pt>
                <c:pt idx="246">
                  <c:v>0.66944444444443363</c:v>
                </c:pt>
                <c:pt idx="247">
                  <c:v>-0.36944444444444002</c:v>
                </c:pt>
                <c:pt idx="248">
                  <c:v>-1.0083333333333222</c:v>
                </c:pt>
                <c:pt idx="249">
                  <c:v>-0.13055555555556708</c:v>
                </c:pt>
                <c:pt idx="250">
                  <c:v>-0.51111111111110219</c:v>
                </c:pt>
                <c:pt idx="251">
                  <c:v>-1.8888888888888999</c:v>
                </c:pt>
                <c:pt idx="252">
                  <c:v>0.93888888888889355</c:v>
                </c:pt>
                <c:pt idx="253">
                  <c:v>-3.8083333333333336</c:v>
                </c:pt>
                <c:pt idx="254">
                  <c:v>-0.49999999999998934</c:v>
                </c:pt>
                <c:pt idx="255">
                  <c:v>-1.0305555555555657</c:v>
                </c:pt>
                <c:pt idx="256">
                  <c:v>2.3888888888888893</c:v>
                </c:pt>
                <c:pt idx="257">
                  <c:v>-2.7083333333333393</c:v>
                </c:pt>
                <c:pt idx="258">
                  <c:v>0.31944444444444997</c:v>
                </c:pt>
                <c:pt idx="259">
                  <c:v>-0.98055555555555785</c:v>
                </c:pt>
                <c:pt idx="260">
                  <c:v>-1.9111111111111079</c:v>
                </c:pt>
                <c:pt idx="261">
                  <c:v>-1.05833333333333</c:v>
                </c:pt>
                <c:pt idx="262">
                  <c:v>2.6805555555555571</c:v>
                </c:pt>
                <c:pt idx="263">
                  <c:v>-4.63055555555556</c:v>
                </c:pt>
                <c:pt idx="264">
                  <c:v>-0.18055555555555713</c:v>
                </c:pt>
                <c:pt idx="265">
                  <c:v>2.5611111111111207</c:v>
                </c:pt>
                <c:pt idx="266">
                  <c:v>0.85833333333331652</c:v>
                </c:pt>
                <c:pt idx="267">
                  <c:v>-2.0194444444444315</c:v>
                </c:pt>
                <c:pt idx="268">
                  <c:v>-3.8694444444444542</c:v>
                </c:pt>
                <c:pt idx="269">
                  <c:v>-5.1416666666666622</c:v>
                </c:pt>
                <c:pt idx="270">
                  <c:v>11.241666666666674</c:v>
                </c:pt>
                <c:pt idx="271">
                  <c:v>8.3333333333257542E-3</c:v>
                </c:pt>
                <c:pt idx="272">
                  <c:v>9.9999999999997868E-2</c:v>
                </c:pt>
                <c:pt idx="273">
                  <c:v>-5.36944444444444</c:v>
                </c:pt>
                <c:pt idx="274">
                  <c:v>-1.4083333333333314</c:v>
                </c:pt>
                <c:pt idx="275">
                  <c:v>7.7777777777772172E-2</c:v>
                </c:pt>
                <c:pt idx="276">
                  <c:v>2.1499999999999986</c:v>
                </c:pt>
                <c:pt idx="277">
                  <c:v>1.6999999999999993</c:v>
                </c:pt>
                <c:pt idx="278">
                  <c:v>-1.2194444444444485</c:v>
                </c:pt>
                <c:pt idx="279">
                  <c:v>-1.2083333333333179</c:v>
                </c:pt>
                <c:pt idx="280">
                  <c:v>1.8083333333333229</c:v>
                </c:pt>
                <c:pt idx="281">
                  <c:v>0.91111111111112919</c:v>
                </c:pt>
                <c:pt idx="282">
                  <c:v>1.1083333333333378</c:v>
                </c:pt>
                <c:pt idx="283">
                  <c:v>-2.6500000000000234</c:v>
                </c:pt>
                <c:pt idx="284">
                  <c:v>1.0416666666666785</c:v>
                </c:pt>
                <c:pt idx="285">
                  <c:v>-0.91944444444445494</c:v>
                </c:pt>
                <c:pt idx="286">
                  <c:v>-2.8611111111111143</c:v>
                </c:pt>
                <c:pt idx="287">
                  <c:v>-1.8305555555555486</c:v>
                </c:pt>
                <c:pt idx="288">
                  <c:v>0.16111111111111853</c:v>
                </c:pt>
                <c:pt idx="289">
                  <c:v>-0.94166666666668064</c:v>
                </c:pt>
                <c:pt idx="290">
                  <c:v>-0.55833333333332291</c:v>
                </c:pt>
                <c:pt idx="291">
                  <c:v>1.4194444444444443</c:v>
                </c:pt>
                <c:pt idx="292">
                  <c:v>0.36944444444444002</c:v>
                </c:pt>
                <c:pt idx="293">
                  <c:v>0.16944444444444429</c:v>
                </c:pt>
                <c:pt idx="294">
                  <c:v>2.0500000000000007</c:v>
                </c:pt>
                <c:pt idx="295">
                  <c:v>6.0305555555555479</c:v>
                </c:pt>
                <c:pt idx="296">
                  <c:v>-1.1305555555555458</c:v>
                </c:pt>
                <c:pt idx="297">
                  <c:v>-4.3083333333333407</c:v>
                </c:pt>
                <c:pt idx="298">
                  <c:v>1.2083333333333357</c:v>
                </c:pt>
                <c:pt idx="299">
                  <c:v>2.1722222222222065</c:v>
                </c:pt>
                <c:pt idx="300">
                  <c:v>0.67777777777777715</c:v>
                </c:pt>
                <c:pt idx="301">
                  <c:v>1.8222222222222406</c:v>
                </c:pt>
                <c:pt idx="302">
                  <c:v>1.0888888888888815</c:v>
                </c:pt>
                <c:pt idx="303">
                  <c:v>0.11111111111111072</c:v>
                </c:pt>
                <c:pt idx="304">
                  <c:v>1.4694444444444521</c:v>
                </c:pt>
                <c:pt idx="305">
                  <c:v>1.8083333333333407</c:v>
                </c:pt>
                <c:pt idx="306">
                  <c:v>-1.0583333333333478</c:v>
                </c:pt>
                <c:pt idx="307">
                  <c:v>-2.6499999999999879</c:v>
                </c:pt>
                <c:pt idx="308">
                  <c:v>3.2694444444444315</c:v>
                </c:pt>
                <c:pt idx="309">
                  <c:v>2.1694444444444549</c:v>
                </c:pt>
                <c:pt idx="310">
                  <c:v>0.81111111111111356</c:v>
                </c:pt>
                <c:pt idx="311">
                  <c:v>1.6999999999999993</c:v>
                </c:pt>
                <c:pt idx="312">
                  <c:v>0.94999999999998863</c:v>
                </c:pt>
                <c:pt idx="313">
                  <c:v>2.1805555555555678</c:v>
                </c:pt>
                <c:pt idx="314">
                  <c:v>4.3777777777777693</c:v>
                </c:pt>
                <c:pt idx="315">
                  <c:v>-5.833333333333357E-2</c:v>
                </c:pt>
                <c:pt idx="316">
                  <c:v>-2.18055555555555</c:v>
                </c:pt>
                <c:pt idx="317">
                  <c:v>-1.8805555555555564</c:v>
                </c:pt>
                <c:pt idx="318">
                  <c:v>-0.80000000000000071</c:v>
                </c:pt>
                <c:pt idx="319">
                  <c:v>-0.969444444444445</c:v>
                </c:pt>
                <c:pt idx="320">
                  <c:v>8.0555555555559266E-2</c:v>
                </c:pt>
                <c:pt idx="321">
                  <c:v>-0.86111111111112137</c:v>
                </c:pt>
                <c:pt idx="322">
                  <c:v>1.1194444444444507</c:v>
                </c:pt>
                <c:pt idx="323">
                  <c:v>2.5111111111111128</c:v>
                </c:pt>
                <c:pt idx="324">
                  <c:v>0.91111111111111143</c:v>
                </c:pt>
                <c:pt idx="325">
                  <c:v>1.4194444444444443</c:v>
                </c:pt>
                <c:pt idx="326">
                  <c:v>0.56944444444443576</c:v>
                </c:pt>
                <c:pt idx="327">
                  <c:v>-1.1694444444444407</c:v>
                </c:pt>
                <c:pt idx="328">
                  <c:v>-0.16944444444444429</c:v>
                </c:pt>
                <c:pt idx="329">
                  <c:v>2.8777777777777835</c:v>
                </c:pt>
                <c:pt idx="330">
                  <c:v>0.67222222222222072</c:v>
                </c:pt>
                <c:pt idx="331">
                  <c:v>-1.2305555555555614</c:v>
                </c:pt>
                <c:pt idx="332">
                  <c:v>1.1583333333333456</c:v>
                </c:pt>
                <c:pt idx="333">
                  <c:v>1.4111111111111008</c:v>
                </c:pt>
                <c:pt idx="334">
                  <c:v>1.0388888888888914</c:v>
                </c:pt>
                <c:pt idx="335">
                  <c:v>1.5722222222222193</c:v>
                </c:pt>
                <c:pt idx="336">
                  <c:v>-0.11111111111111072</c:v>
                </c:pt>
                <c:pt idx="337">
                  <c:v>1.899999999999995</c:v>
                </c:pt>
                <c:pt idx="338">
                  <c:v>0.50000000000000711</c:v>
                </c:pt>
                <c:pt idx="339">
                  <c:v>-0.23055555555554719</c:v>
                </c:pt>
                <c:pt idx="340">
                  <c:v>-0.75000000000001066</c:v>
                </c:pt>
                <c:pt idx="341">
                  <c:v>0.13055555555556708</c:v>
                </c:pt>
                <c:pt idx="342">
                  <c:v>-1.0194444444444528</c:v>
                </c:pt>
                <c:pt idx="343">
                  <c:v>-1.7416666666666636</c:v>
                </c:pt>
                <c:pt idx="344">
                  <c:v>2.3805555555555458</c:v>
                </c:pt>
                <c:pt idx="345">
                  <c:v>-0.53888888888888431</c:v>
                </c:pt>
                <c:pt idx="346">
                  <c:v>-0.969444444444445</c:v>
                </c:pt>
                <c:pt idx="347">
                  <c:v>0.25000000000000355</c:v>
                </c:pt>
                <c:pt idx="348">
                  <c:v>1.9083333333333385</c:v>
                </c:pt>
                <c:pt idx="349">
                  <c:v>-0.2194444444444521</c:v>
                </c:pt>
                <c:pt idx="350">
                  <c:v>-0.2388888888888907</c:v>
                </c:pt>
                <c:pt idx="351">
                  <c:v>1.288888888888895</c:v>
                </c:pt>
                <c:pt idx="352">
                  <c:v>0.33055555555554506</c:v>
                </c:pt>
                <c:pt idx="353">
                  <c:v>-0.68055555555554648</c:v>
                </c:pt>
                <c:pt idx="354">
                  <c:v>0.53055555555555856</c:v>
                </c:pt>
                <c:pt idx="355">
                  <c:v>1.4583333333333215</c:v>
                </c:pt>
                <c:pt idx="356">
                  <c:v>2.1805555555555678</c:v>
                </c:pt>
                <c:pt idx="357">
                  <c:v>2.6499999999999879</c:v>
                </c:pt>
                <c:pt idx="358">
                  <c:v>-1.1999999999999922</c:v>
                </c:pt>
                <c:pt idx="359">
                  <c:v>-2.2000000000000064</c:v>
                </c:pt>
                <c:pt idx="360">
                  <c:v>-4.6999999999999886</c:v>
                </c:pt>
                <c:pt idx="361">
                  <c:v>-2.13055555555556</c:v>
                </c:pt>
                <c:pt idx="362">
                  <c:v>0.3416666666666579</c:v>
                </c:pt>
                <c:pt idx="363">
                  <c:v>0.88888888888890349</c:v>
                </c:pt>
                <c:pt idx="364">
                  <c:v>6.11111111111029E-2</c:v>
                </c:pt>
                <c:pt idx="365">
                  <c:v>0.16944444444444429</c:v>
                </c:pt>
                <c:pt idx="366">
                  <c:v>1.6388888888888964</c:v>
                </c:pt>
                <c:pt idx="367">
                  <c:v>0.37222222222220935</c:v>
                </c:pt>
                <c:pt idx="368">
                  <c:v>0.25833333333334707</c:v>
                </c:pt>
                <c:pt idx="369">
                  <c:v>-0.2000000000000135</c:v>
                </c:pt>
                <c:pt idx="370">
                  <c:v>-1.6305555555555529</c:v>
                </c:pt>
                <c:pt idx="371">
                  <c:v>-1.6694444444444478</c:v>
                </c:pt>
                <c:pt idx="372">
                  <c:v>0.65000000000001279</c:v>
                </c:pt>
                <c:pt idx="373">
                  <c:v>0.59999999999998721</c:v>
                </c:pt>
                <c:pt idx="374">
                  <c:v>2.4611111111111228</c:v>
                </c:pt>
                <c:pt idx="375">
                  <c:v>0.46944444444443789</c:v>
                </c:pt>
                <c:pt idx="376">
                  <c:v>-2.5611111111111029</c:v>
                </c:pt>
                <c:pt idx="377">
                  <c:v>-1.5388888888888985</c:v>
                </c:pt>
                <c:pt idx="378">
                  <c:v>0.61944444444444358</c:v>
                </c:pt>
                <c:pt idx="379">
                  <c:v>0.29166666666666785</c:v>
                </c:pt>
                <c:pt idx="380">
                  <c:v>-0.94166666666666288</c:v>
                </c:pt>
                <c:pt idx="381">
                  <c:v>0</c:v>
                </c:pt>
                <c:pt idx="382">
                  <c:v>0.73055555555555429</c:v>
                </c:pt>
                <c:pt idx="383">
                  <c:v>0.81944444444443931</c:v>
                </c:pt>
                <c:pt idx="384">
                  <c:v>0.11944444444445423</c:v>
                </c:pt>
                <c:pt idx="385">
                  <c:v>2.2416666666666707</c:v>
                </c:pt>
                <c:pt idx="386">
                  <c:v>2.1499999999999986</c:v>
                </c:pt>
                <c:pt idx="387">
                  <c:v>-0.50000000000000711</c:v>
                </c:pt>
                <c:pt idx="388">
                  <c:v>-1.2305555555555614</c:v>
                </c:pt>
                <c:pt idx="389">
                  <c:v>0.38888888888889639</c:v>
                </c:pt>
                <c:pt idx="390">
                  <c:v>-1.6083333333333272</c:v>
                </c:pt>
                <c:pt idx="391">
                  <c:v>0.53055555555554079</c:v>
                </c:pt>
                <c:pt idx="392">
                  <c:v>0.50000000000000711</c:v>
                </c:pt>
                <c:pt idx="393">
                  <c:v>5.0000000000007816E-2</c:v>
                </c:pt>
                <c:pt idx="394">
                  <c:v>-0.29166666666666785</c:v>
                </c:pt>
                <c:pt idx="395">
                  <c:v>-2.908333333333335</c:v>
                </c:pt>
                <c:pt idx="396">
                  <c:v>4.9999999999990052E-2</c:v>
                </c:pt>
                <c:pt idx="397">
                  <c:v>-0.47222222222222499</c:v>
                </c:pt>
                <c:pt idx="398">
                  <c:v>-2.1499999999999986</c:v>
                </c:pt>
                <c:pt idx="399">
                  <c:v>3.4305555555555678</c:v>
                </c:pt>
                <c:pt idx="400">
                  <c:v>2.9194444444444478</c:v>
                </c:pt>
                <c:pt idx="401">
                  <c:v>2.4305555555555536</c:v>
                </c:pt>
                <c:pt idx="402">
                  <c:v>1.8416666666666615</c:v>
                </c:pt>
                <c:pt idx="403">
                  <c:v>-0.22222222222222143</c:v>
                </c:pt>
                <c:pt idx="404">
                  <c:v>-0.95000000000000639</c:v>
                </c:pt>
                <c:pt idx="405">
                  <c:v>-0.44999999999999929</c:v>
                </c:pt>
                <c:pt idx="406">
                  <c:v>-1.98888888888888</c:v>
                </c:pt>
                <c:pt idx="407">
                  <c:v>-6.9444444444446418E-2</c:v>
                </c:pt>
                <c:pt idx="408">
                  <c:v>-2.6416666666666622</c:v>
                </c:pt>
                <c:pt idx="409">
                  <c:v>-0.83888888888889568</c:v>
                </c:pt>
                <c:pt idx="410">
                  <c:v>0.78888888888888786</c:v>
                </c:pt>
                <c:pt idx="411">
                  <c:v>-0.91944444444443718</c:v>
                </c:pt>
                <c:pt idx="412">
                  <c:v>-2.1499999999999986</c:v>
                </c:pt>
                <c:pt idx="413">
                  <c:v>0.94166666666666288</c:v>
                </c:pt>
                <c:pt idx="414">
                  <c:v>-1.0611111111111171</c:v>
                </c:pt>
                <c:pt idx="415">
                  <c:v>0</c:v>
                </c:pt>
                <c:pt idx="416">
                  <c:v>0.50000000000000711</c:v>
                </c:pt>
                <c:pt idx="417">
                  <c:v>-1.2611111111111128</c:v>
                </c:pt>
                <c:pt idx="418">
                  <c:v>-2.3388888888888992</c:v>
                </c:pt>
                <c:pt idx="419">
                  <c:v>-2.588888888888885</c:v>
                </c:pt>
                <c:pt idx="420">
                  <c:v>9.9999999999997868E-2</c:v>
                </c:pt>
                <c:pt idx="421">
                  <c:v>1.25</c:v>
                </c:pt>
                <c:pt idx="422">
                  <c:v>-0.27222222222221149</c:v>
                </c:pt>
                <c:pt idx="423">
                  <c:v>9.9999999999997868E-2</c:v>
                </c:pt>
                <c:pt idx="424">
                  <c:v>0.76111111111110574</c:v>
                </c:pt>
                <c:pt idx="425">
                  <c:v>-0.19999999999999574</c:v>
                </c:pt>
                <c:pt idx="426">
                  <c:v>1.1805555555555536</c:v>
                </c:pt>
                <c:pt idx="427">
                  <c:v>1.4083333333333314</c:v>
                </c:pt>
                <c:pt idx="428">
                  <c:v>5.0000000000007816E-2</c:v>
                </c:pt>
                <c:pt idx="429">
                  <c:v>-1.5277777777777857</c:v>
                </c:pt>
                <c:pt idx="430">
                  <c:v>-1.4499999999999957</c:v>
                </c:pt>
                <c:pt idx="431">
                  <c:v>-0.89166666666667282</c:v>
                </c:pt>
                <c:pt idx="432">
                  <c:v>-1.7194444444444379</c:v>
                </c:pt>
                <c:pt idx="433">
                  <c:v>6.9444444444446418E-2</c:v>
                </c:pt>
                <c:pt idx="434">
                  <c:v>0.56111111111111001</c:v>
                </c:pt>
                <c:pt idx="435">
                  <c:v>-4.1666666666664298E-2</c:v>
                </c:pt>
                <c:pt idx="436">
                  <c:v>1.8222222222222229</c:v>
                </c:pt>
                <c:pt idx="437">
                  <c:v>0.15833333333333144</c:v>
                </c:pt>
                <c:pt idx="438">
                  <c:v>-0.53055555555555856</c:v>
                </c:pt>
                <c:pt idx="439">
                  <c:v>0.37222222222222712</c:v>
                </c:pt>
                <c:pt idx="440">
                  <c:v>-1.2222222222222356</c:v>
                </c:pt>
                <c:pt idx="441">
                  <c:v>-1.2694444444444386</c:v>
                </c:pt>
                <c:pt idx="442">
                  <c:v>1.1416666666666586</c:v>
                </c:pt>
                <c:pt idx="443">
                  <c:v>1.0694444444444606</c:v>
                </c:pt>
                <c:pt idx="444">
                  <c:v>9.9999999999997868E-2</c:v>
                </c:pt>
                <c:pt idx="445">
                  <c:v>1.1888888888888793</c:v>
                </c:pt>
                <c:pt idx="446">
                  <c:v>0.46944444444445566</c:v>
                </c:pt>
                <c:pt idx="447">
                  <c:v>1.0111111111111093</c:v>
                </c:pt>
                <c:pt idx="448">
                  <c:v>1.9444444444438602E-2</c:v>
                </c:pt>
                <c:pt idx="449">
                  <c:v>-0.81944444444443931</c:v>
                </c:pt>
                <c:pt idx="450">
                  <c:v>0.11111111111111072</c:v>
                </c:pt>
                <c:pt idx="451">
                  <c:v>-0.87222222222223422</c:v>
                </c:pt>
                <c:pt idx="452">
                  <c:v>0.67222222222223849</c:v>
                </c:pt>
                <c:pt idx="453">
                  <c:v>-0.33055555555556282</c:v>
                </c:pt>
                <c:pt idx="454">
                  <c:v>0.93888888888889355</c:v>
                </c:pt>
                <c:pt idx="455">
                  <c:v>-0.2000000000000135</c:v>
                </c:pt>
                <c:pt idx="456">
                  <c:v>0.95000000000000639</c:v>
                </c:pt>
                <c:pt idx="457">
                  <c:v>0.13055555555554932</c:v>
                </c:pt>
                <c:pt idx="458">
                  <c:v>-6.9444444444428655E-2</c:v>
                </c:pt>
                <c:pt idx="459">
                  <c:v>-0.43055555555556069</c:v>
                </c:pt>
                <c:pt idx="460">
                  <c:v>0.11944444444443647</c:v>
                </c:pt>
                <c:pt idx="461">
                  <c:v>-1.6083333333333272</c:v>
                </c:pt>
                <c:pt idx="462">
                  <c:v>0.7083333333333286</c:v>
                </c:pt>
                <c:pt idx="463">
                  <c:v>0.99166666666667069</c:v>
                </c:pt>
                <c:pt idx="464">
                  <c:v>1.05833333333333</c:v>
                </c:pt>
                <c:pt idx="465">
                  <c:v>0.60000000000000497</c:v>
                </c:pt>
                <c:pt idx="466">
                  <c:v>0.73055555555555429</c:v>
                </c:pt>
                <c:pt idx="467">
                  <c:v>-0.18055555555555713</c:v>
                </c:pt>
                <c:pt idx="468">
                  <c:v>0.85000000000000853</c:v>
                </c:pt>
                <c:pt idx="469">
                  <c:v>-1.8583333333333485</c:v>
                </c:pt>
                <c:pt idx="470">
                  <c:v>-2.5999999999999979</c:v>
                </c:pt>
                <c:pt idx="471">
                  <c:v>-1.161111111111115</c:v>
                </c:pt>
                <c:pt idx="472">
                  <c:v>-0.26944444444444215</c:v>
                </c:pt>
                <c:pt idx="473">
                  <c:v>-0.54166666666665364</c:v>
                </c:pt>
                <c:pt idx="474">
                  <c:v>0.16111111111110077</c:v>
                </c:pt>
                <c:pt idx="475">
                  <c:v>0.54999999999999716</c:v>
                </c:pt>
                <c:pt idx="476">
                  <c:v>0.46944444444445566</c:v>
                </c:pt>
                <c:pt idx="477">
                  <c:v>-0.61944444444444358</c:v>
                </c:pt>
                <c:pt idx="478">
                  <c:v>-0.63888888888889994</c:v>
                </c:pt>
                <c:pt idx="479">
                  <c:v>5.833333333333357E-2</c:v>
                </c:pt>
                <c:pt idx="480">
                  <c:v>-1.8805555555555564</c:v>
                </c:pt>
                <c:pt idx="481">
                  <c:v>1.3111111111111207</c:v>
                </c:pt>
                <c:pt idx="482">
                  <c:v>0.83888888888887791</c:v>
                </c:pt>
                <c:pt idx="483">
                  <c:v>0.93055555555556779</c:v>
                </c:pt>
                <c:pt idx="484">
                  <c:v>0.46944444444443789</c:v>
                </c:pt>
                <c:pt idx="485">
                  <c:v>2.13055555555556</c:v>
                </c:pt>
                <c:pt idx="486">
                  <c:v>1.8805555555555564</c:v>
                </c:pt>
                <c:pt idx="487">
                  <c:v>0.9888888888888836</c:v>
                </c:pt>
                <c:pt idx="488">
                  <c:v>-3.6777777777777843</c:v>
                </c:pt>
                <c:pt idx="489">
                  <c:v>-2.2611111111111093</c:v>
                </c:pt>
                <c:pt idx="490">
                  <c:v>-0.78888888888888786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6-4C50-9913-641AE917A2B4}"/>
            </c:ext>
          </c:extLst>
        </c:ser>
        <c:ser>
          <c:idx val="1"/>
          <c:order val="1"/>
          <c:tx>
            <c:v>Modified calculation + averaging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motion!$S$3:$S$493</c:f>
              <c:numCache>
                <c:formatCode>0.000</c:formatCode>
                <c:ptCount val="491"/>
                <c:pt idx="10" formatCode="0.0">
                  <c:v>0.41047979797979828</c:v>
                </c:pt>
                <c:pt idx="11" formatCode="0.0">
                  <c:v>0.41575757575757599</c:v>
                </c:pt>
                <c:pt idx="12" formatCode="0.0">
                  <c:v>0.42313131313131325</c:v>
                </c:pt>
                <c:pt idx="13" formatCode="0.0">
                  <c:v>0.42767676767676766</c:v>
                </c:pt>
                <c:pt idx="14" formatCode="0.0">
                  <c:v>0.4308333333333334</c:v>
                </c:pt>
                <c:pt idx="15" formatCode="0.0">
                  <c:v>0.43128787878787894</c:v>
                </c:pt>
                <c:pt idx="16" formatCode="0.0">
                  <c:v>0.42893939393939395</c:v>
                </c:pt>
                <c:pt idx="17" formatCode="0.0">
                  <c:v>0.41803030303030314</c:v>
                </c:pt>
                <c:pt idx="18" formatCode="0.0">
                  <c:v>0.40972222222222227</c:v>
                </c:pt>
                <c:pt idx="19" formatCode="0.0">
                  <c:v>0.40290404040404049</c:v>
                </c:pt>
                <c:pt idx="20" formatCode="0.0">
                  <c:v>0.39909090909090916</c:v>
                </c:pt>
                <c:pt idx="21" formatCode="0.0">
                  <c:v>0.39224747474747479</c:v>
                </c:pt>
                <c:pt idx="22" formatCode="0.0">
                  <c:v>0.38196969696969707</c:v>
                </c:pt>
                <c:pt idx="23" formatCode="0.0">
                  <c:v>0.37095959595959599</c:v>
                </c:pt>
                <c:pt idx="24" formatCode="0.0">
                  <c:v>0.36669191919191912</c:v>
                </c:pt>
                <c:pt idx="25" formatCode="0.0">
                  <c:v>0.35934343434343413</c:v>
                </c:pt>
                <c:pt idx="26" formatCode="0.0">
                  <c:v>0.34797979797979794</c:v>
                </c:pt>
                <c:pt idx="27" formatCode="0.0">
                  <c:v>0.34270202020202023</c:v>
                </c:pt>
                <c:pt idx="28" formatCode="0.0">
                  <c:v>0.34146464646464642</c:v>
                </c:pt>
                <c:pt idx="29" formatCode="0.0">
                  <c:v>0.32775252525252524</c:v>
                </c:pt>
                <c:pt idx="30" formatCode="0.0">
                  <c:v>0.30118686868686856</c:v>
                </c:pt>
                <c:pt idx="31" formatCode="0.0">
                  <c:v>0.28646464646464637</c:v>
                </c:pt>
                <c:pt idx="32" formatCode="0.0">
                  <c:v>0.27436868686868654</c:v>
                </c:pt>
                <c:pt idx="33" formatCode="0.0">
                  <c:v>0.25972222222222202</c:v>
                </c:pt>
                <c:pt idx="34" formatCode="0.0">
                  <c:v>0.24300505050505047</c:v>
                </c:pt>
                <c:pt idx="35" formatCode="0.0">
                  <c:v>0.21891414141414148</c:v>
                </c:pt>
                <c:pt idx="36" formatCode="0.0">
                  <c:v>0.20108585858585862</c:v>
                </c:pt>
                <c:pt idx="37" formatCode="0.0">
                  <c:v>0.197171717171717</c:v>
                </c:pt>
                <c:pt idx="38" formatCode="0.0">
                  <c:v>0.1711616161616161</c:v>
                </c:pt>
                <c:pt idx="39" formatCode="0.0">
                  <c:v>0.1378787878787878</c:v>
                </c:pt>
                <c:pt idx="40" formatCode="0.0">
                  <c:v>0.12371212121212126</c:v>
                </c:pt>
                <c:pt idx="41" formatCode="0.0">
                  <c:v>0.10126262626262626</c:v>
                </c:pt>
                <c:pt idx="42" formatCode="0.0">
                  <c:v>7.0631313131313114E-2</c:v>
                </c:pt>
                <c:pt idx="43" formatCode="0.0">
                  <c:v>5.6010101010101045E-2</c:v>
                </c:pt>
                <c:pt idx="44" formatCode="0.0">
                  <c:v>6.2020202020202024E-2</c:v>
                </c:pt>
                <c:pt idx="45" formatCode="0.0">
                  <c:v>6.3383838383838279E-2</c:v>
                </c:pt>
                <c:pt idx="46" formatCode="0.0">
                  <c:v>7.4747474747474646E-2</c:v>
                </c:pt>
                <c:pt idx="47" formatCode="0.0">
                  <c:v>7.3030303030302987E-2</c:v>
                </c:pt>
                <c:pt idx="48" formatCode="0.0">
                  <c:v>6.540404040404045E-2</c:v>
                </c:pt>
                <c:pt idx="49" formatCode="0.0">
                  <c:v>8.1136363636363645E-2</c:v>
                </c:pt>
                <c:pt idx="50" formatCode="0.0">
                  <c:v>9.257575757575752E-2</c:v>
                </c:pt>
                <c:pt idx="51" formatCode="0.0">
                  <c:v>9.0934343434343354E-2</c:v>
                </c:pt>
                <c:pt idx="52" formatCode="0.0">
                  <c:v>0.10184343434343451</c:v>
                </c:pt>
                <c:pt idx="53" formatCode="0.0">
                  <c:v>9.6287878787878908E-2</c:v>
                </c:pt>
                <c:pt idx="54" formatCode="0.0">
                  <c:v>6.5555555555555631E-2</c:v>
                </c:pt>
                <c:pt idx="55" formatCode="0.0">
                  <c:v>3.835858585858596E-2</c:v>
                </c:pt>
                <c:pt idx="56" formatCode="0.0">
                  <c:v>2.0151515151515233E-2</c:v>
                </c:pt>
                <c:pt idx="57" formatCode="0.0">
                  <c:v>-6.212121212121214E-3</c:v>
                </c:pt>
                <c:pt idx="58" formatCode="0.0">
                  <c:v>-2.113636363636363E-2</c:v>
                </c:pt>
                <c:pt idx="59" formatCode="0.0">
                  <c:v>-3.0959595959595954E-2</c:v>
                </c:pt>
                <c:pt idx="60" formatCode="0.0">
                  <c:v>-4.6035353535353547E-2</c:v>
                </c:pt>
                <c:pt idx="61" formatCode="0.0">
                  <c:v>-3.8383838383838249E-2</c:v>
                </c:pt>
                <c:pt idx="62" formatCode="0.0">
                  <c:v>-4.2020202020202131E-2</c:v>
                </c:pt>
                <c:pt idx="63" formatCode="0.0">
                  <c:v>-4.4191919191919317E-2</c:v>
                </c:pt>
                <c:pt idx="64" formatCode="0.0">
                  <c:v>-3.8838383838383936E-2</c:v>
                </c:pt>
                <c:pt idx="65" formatCode="0.0">
                  <c:v>-4.1742424242424227E-2</c:v>
                </c:pt>
                <c:pt idx="66" formatCode="0.0">
                  <c:v>-6.3989898989898986E-2</c:v>
                </c:pt>
                <c:pt idx="67" formatCode="0.0">
                  <c:v>-7.987373737373718E-2</c:v>
                </c:pt>
                <c:pt idx="68" formatCode="0.0">
                  <c:v>-9.4520202020201852E-2</c:v>
                </c:pt>
                <c:pt idx="69" formatCode="0.0">
                  <c:v>-0.12388888888888872</c:v>
                </c:pt>
                <c:pt idx="70" formatCode="0.0">
                  <c:v>-0.15171717171717153</c:v>
                </c:pt>
                <c:pt idx="71" formatCode="0.0">
                  <c:v>-0.1869191919191919</c:v>
                </c:pt>
                <c:pt idx="72" formatCode="0.0">
                  <c:v>-0.22373737373737368</c:v>
                </c:pt>
                <c:pt idx="73" formatCode="0.0">
                  <c:v>-0.2442929292929292</c:v>
                </c:pt>
                <c:pt idx="74" formatCode="0.0">
                  <c:v>-0.27265151515151503</c:v>
                </c:pt>
                <c:pt idx="75" formatCode="0.0">
                  <c:v>-0.28381313131313118</c:v>
                </c:pt>
                <c:pt idx="76" formatCode="0.0">
                  <c:v>-0.28409090909090912</c:v>
                </c:pt>
                <c:pt idx="77" formatCode="0.0">
                  <c:v>-0.27457070707070713</c:v>
                </c:pt>
                <c:pt idx="78" formatCode="0.0">
                  <c:v>-0.26520202020202033</c:v>
                </c:pt>
                <c:pt idx="79" formatCode="0.0">
                  <c:v>-0.24181818181818199</c:v>
                </c:pt>
                <c:pt idx="80" formatCode="0.0">
                  <c:v>-0.20398989898989922</c:v>
                </c:pt>
                <c:pt idx="81" formatCode="0.0">
                  <c:v>-0.1728030303030306</c:v>
                </c:pt>
                <c:pt idx="82" formatCode="0.0">
                  <c:v>-0.1246212121212123</c:v>
                </c:pt>
                <c:pt idx="83" formatCode="0.0">
                  <c:v>-0.10325757575757599</c:v>
                </c:pt>
                <c:pt idx="84" formatCode="0.0">
                  <c:v>-7.070707070707094E-2</c:v>
                </c:pt>
                <c:pt idx="85" formatCode="0.0">
                  <c:v>-2.8434343434343843E-2</c:v>
                </c:pt>
                <c:pt idx="86" formatCode="0.0">
                  <c:v>-3.5353535353539263E-3</c:v>
                </c:pt>
                <c:pt idx="87" formatCode="0.0">
                  <c:v>1.7752525252524878E-2</c:v>
                </c:pt>
                <c:pt idx="88" formatCode="0.0">
                  <c:v>3.4494949494949072E-2</c:v>
                </c:pt>
                <c:pt idx="89" formatCode="0.0">
                  <c:v>5.42929292929289E-2</c:v>
                </c:pt>
                <c:pt idx="90" formatCode="0.0">
                  <c:v>6.2929292929292752E-2</c:v>
                </c:pt>
                <c:pt idx="91" formatCode="0.0">
                  <c:v>7.0479797979797934E-2</c:v>
                </c:pt>
                <c:pt idx="92" formatCode="0.0">
                  <c:v>6.9848484848484785E-2</c:v>
                </c:pt>
                <c:pt idx="93" formatCode="0.0">
                  <c:v>8.1388888888888941E-2</c:v>
                </c:pt>
                <c:pt idx="94" formatCode="0.0">
                  <c:v>0.10356060606060619</c:v>
                </c:pt>
                <c:pt idx="95" formatCode="0.0">
                  <c:v>0.12636363636363657</c:v>
                </c:pt>
                <c:pt idx="96" formatCode="0.0">
                  <c:v>0.15426767676767705</c:v>
                </c:pt>
                <c:pt idx="97" formatCode="0.0">
                  <c:v>0.1803535353535356</c:v>
                </c:pt>
                <c:pt idx="98" formatCode="0.0">
                  <c:v>0.22123737373737401</c:v>
                </c:pt>
                <c:pt idx="99" formatCode="0.0">
                  <c:v>0.25015151515151551</c:v>
                </c:pt>
                <c:pt idx="100" formatCode="0.0">
                  <c:v>0.26823232323232349</c:v>
                </c:pt>
                <c:pt idx="101" formatCode="0.0">
                  <c:v>0.27851010101010121</c:v>
                </c:pt>
                <c:pt idx="102" formatCode="0.0">
                  <c:v>0.28878787878787887</c:v>
                </c:pt>
                <c:pt idx="103" formatCode="0.0">
                  <c:v>0.31106060606060609</c:v>
                </c:pt>
                <c:pt idx="104" formatCode="0.0">
                  <c:v>0.31717171717171699</c:v>
                </c:pt>
                <c:pt idx="105" formatCode="0.0">
                  <c:v>0.30825757575757556</c:v>
                </c:pt>
                <c:pt idx="106" formatCode="0.0">
                  <c:v>0.29464646464646455</c:v>
                </c:pt>
                <c:pt idx="107" formatCode="0.0">
                  <c:v>0.30083333333333329</c:v>
                </c:pt>
                <c:pt idx="108" formatCode="0.0">
                  <c:v>0.29156565656565658</c:v>
                </c:pt>
                <c:pt idx="109" formatCode="0.0">
                  <c:v>0.27848484848484856</c:v>
                </c:pt>
                <c:pt idx="110" formatCode="0.0">
                  <c:v>0.27184343434343428</c:v>
                </c:pt>
                <c:pt idx="111" formatCode="0.0">
                  <c:v>0.2818434343434344</c:v>
                </c:pt>
                <c:pt idx="112" formatCode="0.0">
                  <c:v>0.28755050505050517</c:v>
                </c:pt>
                <c:pt idx="113" formatCode="0.0">
                  <c:v>0.29727272727272741</c:v>
                </c:pt>
                <c:pt idx="114" formatCode="0.0">
                  <c:v>0.29363636363636397</c:v>
                </c:pt>
                <c:pt idx="115" formatCode="0.0">
                  <c:v>0.29873737373737408</c:v>
                </c:pt>
                <c:pt idx="116" formatCode="0.0">
                  <c:v>0.31565656565656591</c:v>
                </c:pt>
                <c:pt idx="117" formatCode="0.0">
                  <c:v>0.29608585858585879</c:v>
                </c:pt>
                <c:pt idx="118" formatCode="0.0">
                  <c:v>0.27772727272727288</c:v>
                </c:pt>
                <c:pt idx="119" formatCode="0.0">
                  <c:v>0.28080808080808095</c:v>
                </c:pt>
                <c:pt idx="120" formatCode="0.0">
                  <c:v>0.27734848484848501</c:v>
                </c:pt>
                <c:pt idx="121" formatCode="0.0">
                  <c:v>0.28406565656565663</c:v>
                </c:pt>
                <c:pt idx="122" formatCode="0.0">
                  <c:v>0.2992424242424242</c:v>
                </c:pt>
                <c:pt idx="123" formatCode="0.0">
                  <c:v>0.32444444444444431</c:v>
                </c:pt>
                <c:pt idx="124" formatCode="0.0">
                  <c:v>0.36752525252525231</c:v>
                </c:pt>
                <c:pt idx="125" formatCode="0.0">
                  <c:v>0.38770202020201983</c:v>
                </c:pt>
                <c:pt idx="126" formatCode="0.0">
                  <c:v>0.39249999999999974</c:v>
                </c:pt>
                <c:pt idx="127" formatCode="0.0">
                  <c:v>0.3954040404040402</c:v>
                </c:pt>
                <c:pt idx="128" formatCode="0.0">
                  <c:v>0.41767676767676742</c:v>
                </c:pt>
                <c:pt idx="129" formatCode="0.0">
                  <c:v>0.40613636363636324</c:v>
                </c:pt>
                <c:pt idx="130" formatCode="0.0">
                  <c:v>0.38997474747474714</c:v>
                </c:pt>
                <c:pt idx="131" formatCode="0.0">
                  <c:v>0.35545454545454513</c:v>
                </c:pt>
                <c:pt idx="132" formatCode="0.0">
                  <c:v>0.30055555555555541</c:v>
                </c:pt>
                <c:pt idx="133" formatCode="0.0">
                  <c:v>0.22002525252525243</c:v>
                </c:pt>
                <c:pt idx="134" formatCode="0.0">
                  <c:v>0.12156565656565652</c:v>
                </c:pt>
                <c:pt idx="135" formatCode="0.0">
                  <c:v>7.7525252525254143E-3</c:v>
                </c:pt>
                <c:pt idx="136" formatCode="0.0">
                  <c:v>-7.8333333333333144E-2</c:v>
                </c:pt>
                <c:pt idx="137" formatCode="0.0">
                  <c:v>-0.13676767676767668</c:v>
                </c:pt>
                <c:pt idx="138" formatCode="0.0">
                  <c:v>-0.18921717171717167</c:v>
                </c:pt>
                <c:pt idx="139" formatCode="0.0">
                  <c:v>-0.22212121212121197</c:v>
                </c:pt>
                <c:pt idx="140" formatCode="0.0">
                  <c:v>-0.2311363636363635</c:v>
                </c:pt>
                <c:pt idx="141" formatCode="0.0">
                  <c:v>-0.22525252525252526</c:v>
                </c:pt>
                <c:pt idx="142" formatCode="0.0">
                  <c:v>-0.20161616161616164</c:v>
                </c:pt>
                <c:pt idx="143" formatCode="0.0">
                  <c:v>-0.17727272727272722</c:v>
                </c:pt>
                <c:pt idx="144" formatCode="0.0">
                  <c:v>-0.1356313131313131</c:v>
                </c:pt>
                <c:pt idx="145" formatCode="0.0">
                  <c:v>-7.4646464646464683E-2</c:v>
                </c:pt>
                <c:pt idx="146" formatCode="0.0">
                  <c:v>-1.5277777777777985E-2</c:v>
                </c:pt>
                <c:pt idx="147" formatCode="0.0">
                  <c:v>3.4722222222222078E-2</c:v>
                </c:pt>
                <c:pt idx="148" formatCode="0.0">
                  <c:v>7.2525252525252562E-2</c:v>
                </c:pt>
                <c:pt idx="149" formatCode="0.0">
                  <c:v>0.11060606060606061</c:v>
                </c:pt>
                <c:pt idx="150" formatCode="0.0">
                  <c:v>0.12689393939393945</c:v>
                </c:pt>
                <c:pt idx="151" formatCode="0.0">
                  <c:v>0.13909090909090935</c:v>
                </c:pt>
                <c:pt idx="152" formatCode="0.0">
                  <c:v>0.13909090909090935</c:v>
                </c:pt>
                <c:pt idx="153" formatCode="0.0">
                  <c:v>0.15325757575757606</c:v>
                </c:pt>
                <c:pt idx="154" formatCode="0.0">
                  <c:v>0.17881313131313156</c:v>
                </c:pt>
                <c:pt idx="155" formatCode="0.0">
                  <c:v>0.18881313131313152</c:v>
                </c:pt>
                <c:pt idx="156" formatCode="0.0">
                  <c:v>0.19318181818181851</c:v>
                </c:pt>
                <c:pt idx="157" formatCode="0.0">
                  <c:v>0.19143939393939424</c:v>
                </c:pt>
                <c:pt idx="158" formatCode="0.0">
                  <c:v>0.19108585858585883</c:v>
                </c:pt>
                <c:pt idx="159" formatCode="0.0">
                  <c:v>0.17118686868686889</c:v>
                </c:pt>
                <c:pt idx="160" formatCode="0.0">
                  <c:v>0.14101010101010125</c:v>
                </c:pt>
                <c:pt idx="161" formatCode="0.0">
                  <c:v>0.10737373737373752</c:v>
                </c:pt>
                <c:pt idx="162" formatCode="0.0">
                  <c:v>7.0631313131313267E-2</c:v>
                </c:pt>
                <c:pt idx="163" formatCode="0.0">
                  <c:v>4.964646464646482E-2</c:v>
                </c:pt>
                <c:pt idx="164" formatCode="0.0">
                  <c:v>1.3459595959596045E-2</c:v>
                </c:pt>
                <c:pt idx="165" formatCode="0.0">
                  <c:v>-3.5353535353524734E-4</c:v>
                </c:pt>
                <c:pt idx="166" formatCode="0.0">
                  <c:v>-2.8914141414141333E-2</c:v>
                </c:pt>
                <c:pt idx="167" formatCode="0.0">
                  <c:v>-5.1085858585858575E-2</c:v>
                </c:pt>
                <c:pt idx="168" formatCode="0.0">
                  <c:v>-7.5808080808080713E-2</c:v>
                </c:pt>
                <c:pt idx="169" formatCode="0.0">
                  <c:v>-8.9191919191919086E-2</c:v>
                </c:pt>
                <c:pt idx="170" formatCode="0.0">
                  <c:v>-7.265151515151512E-2</c:v>
                </c:pt>
                <c:pt idx="171" formatCode="0.0">
                  <c:v>-4.229797979797971E-2</c:v>
                </c:pt>
                <c:pt idx="172" formatCode="0.0">
                  <c:v>1.0883838383838551E-2</c:v>
                </c:pt>
                <c:pt idx="173" formatCode="0.0">
                  <c:v>3.9444444444444476E-2</c:v>
                </c:pt>
                <c:pt idx="174" formatCode="0.0">
                  <c:v>6.3636363636363727E-2</c:v>
                </c:pt>
                <c:pt idx="175" formatCode="0.0">
                  <c:v>8.8914141414141501E-2</c:v>
                </c:pt>
                <c:pt idx="176" formatCode="0.0">
                  <c:v>9.3914141414141478E-2</c:v>
                </c:pt>
                <c:pt idx="177" formatCode="0.0">
                  <c:v>0.10863636363636382</c:v>
                </c:pt>
                <c:pt idx="178" formatCode="0.0">
                  <c:v>0.1487121212121213</c:v>
                </c:pt>
                <c:pt idx="179" formatCode="0.0">
                  <c:v>0.19936868686868678</c:v>
                </c:pt>
                <c:pt idx="180" formatCode="0.0">
                  <c:v>0.23255050505050498</c:v>
                </c:pt>
                <c:pt idx="181" formatCode="0.0">
                  <c:v>0.21325757575757559</c:v>
                </c:pt>
                <c:pt idx="182" formatCode="0.0">
                  <c:v>0.1583585858585855</c:v>
                </c:pt>
                <c:pt idx="183" formatCode="0.0">
                  <c:v>9.9444444444444002E-2</c:v>
                </c:pt>
                <c:pt idx="184" formatCode="0.0">
                  <c:v>5.1616161616161123E-2</c:v>
                </c:pt>
                <c:pt idx="185" formatCode="0.0">
                  <c:v>-1.0580808080808685E-2</c:v>
                </c:pt>
                <c:pt idx="186" formatCode="0.0">
                  <c:v>-5.5757575757576235E-2</c:v>
                </c:pt>
                <c:pt idx="187" formatCode="0.0">
                  <c:v>-0.10320707070707126</c:v>
                </c:pt>
                <c:pt idx="188" formatCode="0.0">
                  <c:v>-0.1850000000000005</c:v>
                </c:pt>
                <c:pt idx="189" formatCode="0.0">
                  <c:v>-0.31227272727272765</c:v>
                </c:pt>
                <c:pt idx="190" formatCode="0.0">
                  <c:v>-0.44709595959595982</c:v>
                </c:pt>
                <c:pt idx="191" formatCode="0.0">
                  <c:v>-0.53707070707070725</c:v>
                </c:pt>
                <c:pt idx="192" formatCode="0.0">
                  <c:v>-0.57777777777777783</c:v>
                </c:pt>
                <c:pt idx="193" formatCode="0.0">
                  <c:v>-0.61823232323232313</c:v>
                </c:pt>
                <c:pt idx="194" formatCode="0.0">
                  <c:v>-0.68505050505050491</c:v>
                </c:pt>
                <c:pt idx="195" formatCode="0.0">
                  <c:v>-0.7217676767676765</c:v>
                </c:pt>
                <c:pt idx="196" formatCode="0.0">
                  <c:v>-0.7476767676767675</c:v>
                </c:pt>
                <c:pt idx="197" formatCode="0.0">
                  <c:v>-0.78823232323232306</c:v>
                </c:pt>
                <c:pt idx="198" formatCode="0.0">
                  <c:v>-0.80368686868686856</c:v>
                </c:pt>
                <c:pt idx="199" formatCode="0.0">
                  <c:v>-0.76351010101010097</c:v>
                </c:pt>
                <c:pt idx="200" formatCode="0.0">
                  <c:v>-0.71050505050505042</c:v>
                </c:pt>
                <c:pt idx="201" formatCode="0.0">
                  <c:v>-0.65550505050505059</c:v>
                </c:pt>
                <c:pt idx="202" formatCode="0.0">
                  <c:v>-0.62507575757575762</c:v>
                </c:pt>
                <c:pt idx="203" formatCode="0.0">
                  <c:v>-0.58035353535353551</c:v>
                </c:pt>
                <c:pt idx="204" formatCode="0.0">
                  <c:v>-0.50290404040404058</c:v>
                </c:pt>
                <c:pt idx="205" formatCode="0.0">
                  <c:v>-0.43601010101010118</c:v>
                </c:pt>
                <c:pt idx="206" formatCode="0.0">
                  <c:v>-0.38646464646464662</c:v>
                </c:pt>
                <c:pt idx="207" formatCode="0.0">
                  <c:v>-0.32734848484848489</c:v>
                </c:pt>
                <c:pt idx="208" formatCode="0.0">
                  <c:v>-0.28727272727272746</c:v>
                </c:pt>
                <c:pt idx="209" formatCode="0.0">
                  <c:v>-0.28128787878787892</c:v>
                </c:pt>
                <c:pt idx="210" formatCode="0.0">
                  <c:v>-0.29484848484848508</c:v>
                </c:pt>
                <c:pt idx="211" formatCode="0.0">
                  <c:v>-0.3064898989898992</c:v>
                </c:pt>
                <c:pt idx="212" formatCode="0.0">
                  <c:v>-0.33121212121212129</c:v>
                </c:pt>
                <c:pt idx="213" formatCode="0.0">
                  <c:v>-0.37366161616161636</c:v>
                </c:pt>
                <c:pt idx="214" formatCode="0.0">
                  <c:v>-0.42404040404040411</c:v>
                </c:pt>
                <c:pt idx="215" formatCode="0.0">
                  <c:v>-0.46830808080808078</c:v>
                </c:pt>
                <c:pt idx="216" formatCode="0.0">
                  <c:v>-0.49638888888888888</c:v>
                </c:pt>
                <c:pt idx="217" formatCode="0.0">
                  <c:v>-0.54012626262626273</c:v>
                </c:pt>
                <c:pt idx="218" formatCode="0.0">
                  <c:v>-0.59848484848484851</c:v>
                </c:pt>
                <c:pt idx="219" formatCode="0.0">
                  <c:v>-0.6357323232323232</c:v>
                </c:pt>
                <c:pt idx="220" formatCode="0.0">
                  <c:v>-0.64280303030303021</c:v>
                </c:pt>
                <c:pt idx="221" formatCode="0.0">
                  <c:v>-0.65861111111111093</c:v>
                </c:pt>
                <c:pt idx="222" formatCode="0.0">
                  <c:v>-0.66169191919191905</c:v>
                </c:pt>
                <c:pt idx="223" formatCode="0.0">
                  <c:v>-0.64398989898989878</c:v>
                </c:pt>
                <c:pt idx="224" formatCode="0.0">
                  <c:v>-0.64343434343434314</c:v>
                </c:pt>
                <c:pt idx="225" formatCode="0.0">
                  <c:v>-0.65260101010100979</c:v>
                </c:pt>
                <c:pt idx="226" formatCode="0.0">
                  <c:v>-0.65525252525252498</c:v>
                </c:pt>
                <c:pt idx="227" formatCode="0.0">
                  <c:v>-0.64881313131313112</c:v>
                </c:pt>
                <c:pt idx="228" formatCode="0.0">
                  <c:v>-0.61845959595959565</c:v>
                </c:pt>
                <c:pt idx="229" formatCode="0.0">
                  <c:v>-0.58729797979797949</c:v>
                </c:pt>
                <c:pt idx="230" formatCode="0.0">
                  <c:v>-0.56704545454545408</c:v>
                </c:pt>
                <c:pt idx="231" formatCode="0.0">
                  <c:v>-0.53196969696969665</c:v>
                </c:pt>
                <c:pt idx="232" formatCode="0.0">
                  <c:v>-0.49242424242424204</c:v>
                </c:pt>
                <c:pt idx="233" formatCode="0.0">
                  <c:v>-0.46522727272727238</c:v>
                </c:pt>
                <c:pt idx="234" formatCode="0.0">
                  <c:v>-0.42648989898989886</c:v>
                </c:pt>
                <c:pt idx="235" formatCode="0.0">
                  <c:v>-0.38085858585858579</c:v>
                </c:pt>
                <c:pt idx="236" formatCode="0.0">
                  <c:v>-0.3470454545454546</c:v>
                </c:pt>
                <c:pt idx="237" formatCode="0.0">
                  <c:v>-0.31820707070707077</c:v>
                </c:pt>
                <c:pt idx="238" formatCode="0.0">
                  <c:v>-0.29636363636363633</c:v>
                </c:pt>
                <c:pt idx="239" formatCode="0.0">
                  <c:v>-0.28199494949494958</c:v>
                </c:pt>
                <c:pt idx="240" formatCode="0.0">
                  <c:v>-0.26262626262626282</c:v>
                </c:pt>
                <c:pt idx="241" formatCode="0.0">
                  <c:v>-0.26924242424242451</c:v>
                </c:pt>
                <c:pt idx="242" formatCode="0.0">
                  <c:v>-0.28452020202020234</c:v>
                </c:pt>
                <c:pt idx="243" formatCode="0.0">
                  <c:v>-0.32542929292929335</c:v>
                </c:pt>
                <c:pt idx="244" formatCode="0.0">
                  <c:v>-0.37252525252525276</c:v>
                </c:pt>
                <c:pt idx="245" formatCode="0.0">
                  <c:v>-0.43441919191919209</c:v>
                </c:pt>
                <c:pt idx="246" formatCode="0.0">
                  <c:v>-0.45732323232323241</c:v>
                </c:pt>
                <c:pt idx="247" formatCode="0.0">
                  <c:v>-0.50785353535353539</c:v>
                </c:pt>
                <c:pt idx="248" formatCode="0.0">
                  <c:v>-0.54977272727272741</c:v>
                </c:pt>
                <c:pt idx="249" formatCode="0.0">
                  <c:v>-0.59032828282828298</c:v>
                </c:pt>
                <c:pt idx="250" formatCode="0.0">
                  <c:v>-0.65060606060606074</c:v>
                </c:pt>
                <c:pt idx="251" formatCode="0.0">
                  <c:v>-0.70724747474747474</c:v>
                </c:pt>
                <c:pt idx="252" formatCode="0.0">
                  <c:v>-0.71787878787878789</c:v>
                </c:pt>
                <c:pt idx="253" formatCode="0.0">
                  <c:v>-0.75641414141414132</c:v>
                </c:pt>
                <c:pt idx="254" formatCode="0.0">
                  <c:v>-0.7556060606060605</c:v>
                </c:pt>
                <c:pt idx="255" formatCode="0.0">
                  <c:v>-0.71570707070707063</c:v>
                </c:pt>
                <c:pt idx="256" formatCode="0.0">
                  <c:v>-0.69217171717171722</c:v>
                </c:pt>
                <c:pt idx="257" formatCode="0.0">
                  <c:v>-0.67800505050505044</c:v>
                </c:pt>
                <c:pt idx="258" formatCode="0.0">
                  <c:v>-0.68065656565656563</c:v>
                </c:pt>
                <c:pt idx="259" formatCode="0.0">
                  <c:v>-0.73320707070707059</c:v>
                </c:pt>
                <c:pt idx="260" formatCode="0.0">
                  <c:v>-0.6584595959595958</c:v>
                </c:pt>
                <c:pt idx="261" formatCode="0.0">
                  <c:v>-0.56128787878787856</c:v>
                </c:pt>
                <c:pt idx="262" formatCode="0.0">
                  <c:v>-0.49512626262626258</c:v>
                </c:pt>
                <c:pt idx="263" formatCode="0.0">
                  <c:v>-0.45151515151515154</c:v>
                </c:pt>
                <c:pt idx="264" formatCode="0.0">
                  <c:v>-0.41159090909090906</c:v>
                </c:pt>
                <c:pt idx="265" formatCode="0.0">
                  <c:v>-0.39714646464646464</c:v>
                </c:pt>
                <c:pt idx="266" formatCode="0.0">
                  <c:v>-0.40361111111111114</c:v>
                </c:pt>
                <c:pt idx="267" formatCode="0.0">
                  <c:v>-0.36234848484848486</c:v>
                </c:pt>
                <c:pt idx="268" formatCode="0.0">
                  <c:v>-0.30325757575757595</c:v>
                </c:pt>
                <c:pt idx="269" formatCode="0.0">
                  <c:v>-0.17032828282828288</c:v>
                </c:pt>
                <c:pt idx="270" formatCode="0.0">
                  <c:v>-8.5328282828283003E-2</c:v>
                </c:pt>
                <c:pt idx="271" formatCode="0.0">
                  <c:v>-0.11169191919191929</c:v>
                </c:pt>
                <c:pt idx="272" formatCode="0.0">
                  <c:v>-0.13858585858585845</c:v>
                </c:pt>
                <c:pt idx="273" formatCode="0.0">
                  <c:v>-0.11729797979797964</c:v>
                </c:pt>
                <c:pt idx="274" formatCode="0.0">
                  <c:v>-6.7020202020201841E-2</c:v>
                </c:pt>
                <c:pt idx="275" formatCode="0.0">
                  <c:v>-1.4646464646464514E-2</c:v>
                </c:pt>
                <c:pt idx="276" formatCode="0.0">
                  <c:v>1.4747474747474953E-2</c:v>
                </c:pt>
                <c:pt idx="277" formatCode="0.0">
                  <c:v>3.030303030305119E-4</c:v>
                </c:pt>
                <c:pt idx="278" formatCode="0.0">
                  <c:v>-3.5404040404039966E-2</c:v>
                </c:pt>
                <c:pt idx="279" formatCode="0.0">
                  <c:v>-9.2777777777777418E-2</c:v>
                </c:pt>
                <c:pt idx="280" formatCode="0.0">
                  <c:v>-0.20742424242424207</c:v>
                </c:pt>
                <c:pt idx="281" formatCode="0.0">
                  <c:v>-0.23169191919191884</c:v>
                </c:pt>
                <c:pt idx="282" formatCode="0.0">
                  <c:v>-0.27088383838383834</c:v>
                </c:pt>
                <c:pt idx="283" formatCode="0.0">
                  <c:v>-0.29361111111111121</c:v>
                </c:pt>
                <c:pt idx="284" formatCode="0.0">
                  <c:v>-0.33189393939393952</c:v>
                </c:pt>
                <c:pt idx="285" formatCode="0.0">
                  <c:v>-0.32926767676767699</c:v>
                </c:pt>
                <c:pt idx="286" formatCode="0.0">
                  <c:v>-0.30184343434343447</c:v>
                </c:pt>
                <c:pt idx="287" formatCode="0.0">
                  <c:v>-0.25138888888888905</c:v>
                </c:pt>
                <c:pt idx="288" formatCode="0.0">
                  <c:v>-0.15931818181818211</c:v>
                </c:pt>
                <c:pt idx="289" formatCode="0.0">
                  <c:v>-5.148989898989953E-2</c:v>
                </c:pt>
                <c:pt idx="290" formatCode="0.0">
                  <c:v>6.5151515151514516E-2</c:v>
                </c:pt>
                <c:pt idx="291" formatCode="0.0">
                  <c:v>0.20696969696969622</c:v>
                </c:pt>
                <c:pt idx="292" formatCode="0.0">
                  <c:v>0.35070707070706997</c:v>
                </c:pt>
                <c:pt idx="293" formatCode="0.0">
                  <c:v>0.50063131313131248</c:v>
                </c:pt>
                <c:pt idx="294" formatCode="0.0">
                  <c:v>0.619646464646464</c:v>
                </c:pt>
                <c:pt idx="295" formatCode="0.0">
                  <c:v>0.69111111111111068</c:v>
                </c:pt>
                <c:pt idx="296" formatCode="0.0">
                  <c:v>0.70005050505050448</c:v>
                </c:pt>
                <c:pt idx="297" formatCode="0.0">
                  <c:v>0.70833333333333282</c:v>
                </c:pt>
                <c:pt idx="298" formatCode="0.0">
                  <c:v>0.75787878787878737</c:v>
                </c:pt>
                <c:pt idx="299" formatCode="0.0">
                  <c:v>0.79787878787878763</c:v>
                </c:pt>
                <c:pt idx="300" formatCode="0.0">
                  <c:v>0.81078282828282833</c:v>
                </c:pt>
                <c:pt idx="301" formatCode="0.0">
                  <c:v>0.81133838383838419</c:v>
                </c:pt>
                <c:pt idx="302" formatCode="0.0">
                  <c:v>0.80696969696969734</c:v>
                </c:pt>
                <c:pt idx="303" formatCode="0.0">
                  <c:v>0.81487373737373792</c:v>
                </c:pt>
                <c:pt idx="304" formatCode="0.0">
                  <c:v>0.84974747474747536</c:v>
                </c:pt>
                <c:pt idx="305" formatCode="0.0">
                  <c:v>0.87292929292929344</c:v>
                </c:pt>
                <c:pt idx="306" formatCode="0.0">
                  <c:v>0.92429292929292972</c:v>
                </c:pt>
                <c:pt idx="307" formatCode="0.0">
                  <c:v>0.98199494949495003</c:v>
                </c:pt>
                <c:pt idx="308" formatCode="0.0">
                  <c:v>0.98762626262626307</c:v>
                </c:pt>
                <c:pt idx="309" formatCode="0.0">
                  <c:v>0.94598484848484898</c:v>
                </c:pt>
                <c:pt idx="310" formatCode="0.0">
                  <c:v>0.89772727272727304</c:v>
                </c:pt>
                <c:pt idx="311" formatCode="0.0">
                  <c:v>0.82497474747474753</c:v>
                </c:pt>
                <c:pt idx="312" formatCode="0.0">
                  <c:v>0.75487373737373742</c:v>
                </c:pt>
                <c:pt idx="313" formatCode="0.0">
                  <c:v>0.68904040404040401</c:v>
                </c:pt>
                <c:pt idx="314" formatCode="0.0">
                  <c:v>0.57287878787878777</c:v>
                </c:pt>
                <c:pt idx="315" formatCode="0.0">
                  <c:v>0.44371212121212122</c:v>
                </c:pt>
                <c:pt idx="316" formatCode="0.0">
                  <c:v>0.35651515151515151</c:v>
                </c:pt>
                <c:pt idx="317" formatCode="0.0">
                  <c:v>0.2859848484848484</c:v>
                </c:pt>
                <c:pt idx="318" formatCode="0.0">
                  <c:v>0.21419191919191907</c:v>
                </c:pt>
                <c:pt idx="319" formatCode="0.0">
                  <c:v>0.21436868686868671</c:v>
                </c:pt>
                <c:pt idx="320" formatCode="0.0">
                  <c:v>0.2484595959595958</c:v>
                </c:pt>
                <c:pt idx="321" formatCode="0.0">
                  <c:v>0.28583333333333322</c:v>
                </c:pt>
                <c:pt idx="322" formatCode="0.0">
                  <c:v>0.3468434343434344</c:v>
                </c:pt>
                <c:pt idx="323" formatCode="0.0">
                  <c:v>0.39631313131313123</c:v>
                </c:pt>
                <c:pt idx="324" formatCode="0.0">
                  <c:v>0.44393939393939391</c:v>
                </c:pt>
                <c:pt idx="325" formatCode="0.0">
                  <c:v>0.52446969696969681</c:v>
                </c:pt>
                <c:pt idx="326" formatCode="0.0">
                  <c:v>0.58537878787878772</c:v>
                </c:pt>
                <c:pt idx="327" formatCode="0.0">
                  <c:v>0.6491919191919191</c:v>
                </c:pt>
                <c:pt idx="328" formatCode="0.0">
                  <c:v>0.71262626262626261</c:v>
                </c:pt>
                <c:pt idx="329" formatCode="0.0">
                  <c:v>0.7420707070707071</c:v>
                </c:pt>
                <c:pt idx="330" formatCode="0.0">
                  <c:v>0.72361111111111109</c:v>
                </c:pt>
                <c:pt idx="331" formatCode="0.0">
                  <c:v>0.71214646464646481</c:v>
                </c:pt>
                <c:pt idx="332" formatCode="0.0">
                  <c:v>0.68424242424242432</c:v>
                </c:pt>
                <c:pt idx="333" formatCode="0.0">
                  <c:v>0.62732323232323239</c:v>
                </c:pt>
                <c:pt idx="334" formatCode="0.0">
                  <c:v>0.59260101010101007</c:v>
                </c:pt>
                <c:pt idx="335" formatCode="0.0">
                  <c:v>0.53752525252525263</c:v>
                </c:pt>
                <c:pt idx="336" formatCode="0.0">
                  <c:v>0.47325757575757588</c:v>
                </c:pt>
                <c:pt idx="337" formatCode="0.0">
                  <c:v>0.4001767676767678</c:v>
                </c:pt>
                <c:pt idx="338" formatCode="0.0">
                  <c:v>0.31199494949494971</c:v>
                </c:pt>
                <c:pt idx="339" formatCode="0.0">
                  <c:v>0.21782828282828295</c:v>
                </c:pt>
                <c:pt idx="340" formatCode="0.0">
                  <c:v>0.15656565656565666</c:v>
                </c:pt>
                <c:pt idx="341" formatCode="0.0">
                  <c:v>0.11876262626262633</c:v>
                </c:pt>
                <c:pt idx="342" formatCode="0.0">
                  <c:v>8.0858585858585741E-2</c:v>
                </c:pt>
                <c:pt idx="343" formatCode="0.0">
                  <c:v>7.2398989898989838E-2</c:v>
                </c:pt>
                <c:pt idx="344" formatCode="0.0">
                  <c:v>7.5782828282828257E-2</c:v>
                </c:pt>
                <c:pt idx="345" formatCode="0.0">
                  <c:v>8.5126262626262605E-2</c:v>
                </c:pt>
                <c:pt idx="346" formatCode="0.0">
                  <c:v>0.14229797979797984</c:v>
                </c:pt>
                <c:pt idx="347" formatCode="0.0">
                  <c:v>0.22909090909090904</c:v>
                </c:pt>
                <c:pt idx="348" formatCode="0.0">
                  <c:v>0.30262626262626247</c:v>
                </c:pt>
                <c:pt idx="349" formatCode="0.0">
                  <c:v>0.34535353535353508</c:v>
                </c:pt>
                <c:pt idx="350" formatCode="0.0">
                  <c:v>0.3474242424242423</c:v>
                </c:pt>
                <c:pt idx="351" formatCode="0.0">
                  <c:v>0.31376262626262613</c:v>
                </c:pt>
                <c:pt idx="352" formatCode="0.0">
                  <c:v>0.26967171717171712</c:v>
                </c:pt>
                <c:pt idx="353" formatCode="0.0">
                  <c:v>0.22757575757575763</c:v>
                </c:pt>
                <c:pt idx="354" formatCode="0.0">
                  <c:v>0.17156565656565659</c:v>
                </c:pt>
                <c:pt idx="355" formatCode="0.0">
                  <c:v>0.12065656565656563</c:v>
                </c:pt>
                <c:pt idx="356" formatCode="0.0">
                  <c:v>4.6666666666666697E-2</c:v>
                </c:pt>
                <c:pt idx="357" formatCode="0.0">
                  <c:v>-7.6666666666666702E-2</c:v>
                </c:pt>
                <c:pt idx="358" formatCode="0.0">
                  <c:v>-0.20856060606060597</c:v>
                </c:pt>
                <c:pt idx="359" formatCode="0.0">
                  <c:v>-0.2940151515151514</c:v>
                </c:pt>
                <c:pt idx="360" formatCode="0.0">
                  <c:v>-0.33356060606060595</c:v>
                </c:pt>
                <c:pt idx="361" formatCode="0.0">
                  <c:v>-0.32835858585858591</c:v>
                </c:pt>
                <c:pt idx="362" formatCode="0.0">
                  <c:v>-0.28926767676767667</c:v>
                </c:pt>
                <c:pt idx="363" formatCode="0.0">
                  <c:v>-0.25290404040404046</c:v>
                </c:pt>
                <c:pt idx="364" formatCode="0.0">
                  <c:v>-0.20898989898989903</c:v>
                </c:pt>
                <c:pt idx="365" formatCode="0.0">
                  <c:v>-0.15808080808080807</c:v>
                </c:pt>
                <c:pt idx="366" formatCode="0.0">
                  <c:v>-0.13363636363636369</c:v>
                </c:pt>
                <c:pt idx="367" formatCode="0.0">
                  <c:v>-0.12164141414141418</c:v>
                </c:pt>
                <c:pt idx="368" formatCode="0.0">
                  <c:v>-8.5656565656565806E-2</c:v>
                </c:pt>
                <c:pt idx="369" formatCode="0.0">
                  <c:v>-5.8459595959596135E-2</c:v>
                </c:pt>
                <c:pt idx="370" formatCode="0.0">
                  <c:v>-4.3181818181818314E-2</c:v>
                </c:pt>
                <c:pt idx="371" formatCode="0.0">
                  <c:v>-4.0631313131313102E-2</c:v>
                </c:pt>
                <c:pt idx="372" formatCode="0.0">
                  <c:v>-4.1540404040403996E-2</c:v>
                </c:pt>
                <c:pt idx="373" formatCode="0.0">
                  <c:v>-4.3257575757575821E-2</c:v>
                </c:pt>
                <c:pt idx="374" formatCode="0.0">
                  <c:v>-6.3636363636363574E-2</c:v>
                </c:pt>
                <c:pt idx="375" formatCode="0.0">
                  <c:v>-8.972222222222212E-2</c:v>
                </c:pt>
                <c:pt idx="376" formatCode="0.0">
                  <c:v>-7.5707070707070598E-2</c:v>
                </c:pt>
                <c:pt idx="377" formatCode="0.0">
                  <c:v>-1.4065656565656422E-2</c:v>
                </c:pt>
                <c:pt idx="378" formatCode="0.0">
                  <c:v>4.8131313131313226E-2</c:v>
                </c:pt>
                <c:pt idx="379" formatCode="0.0">
                  <c:v>0.10792929292929317</c:v>
                </c:pt>
                <c:pt idx="380" formatCode="0.0">
                  <c:v>0.15719696969696997</c:v>
                </c:pt>
                <c:pt idx="381" formatCode="0.0">
                  <c:v>0.20502525252525269</c:v>
                </c:pt>
                <c:pt idx="382" formatCode="0.0">
                  <c:v>0.23558080808080817</c:v>
                </c:pt>
                <c:pt idx="383" formatCode="0.0">
                  <c:v>0.2584090909090912</c:v>
                </c:pt>
                <c:pt idx="384" formatCode="0.0">
                  <c:v>0.27550505050505075</c:v>
                </c:pt>
                <c:pt idx="385" formatCode="0.0">
                  <c:v>0.26707070707070729</c:v>
                </c:pt>
                <c:pt idx="386" formatCode="0.0">
                  <c:v>0.22343434343434349</c:v>
                </c:pt>
                <c:pt idx="387" formatCode="0.0">
                  <c:v>0.13722222222222219</c:v>
                </c:pt>
                <c:pt idx="388" formatCode="0.0">
                  <c:v>3.320707070707065E-2</c:v>
                </c:pt>
                <c:pt idx="389" formatCode="0.0">
                  <c:v>-2.6338383838383838E-2</c:v>
                </c:pt>
                <c:pt idx="390" formatCode="0.0">
                  <c:v>-4.5606060606060629E-2</c:v>
                </c:pt>
                <c:pt idx="391" formatCode="0.0">
                  <c:v>-4.1540404040403996E-2</c:v>
                </c:pt>
                <c:pt idx="392" formatCode="0.0">
                  <c:v>-3.0101010101009962E-2</c:v>
                </c:pt>
                <c:pt idx="393" formatCode="0.0">
                  <c:v>-1.9040404040403948E-2</c:v>
                </c:pt>
                <c:pt idx="394" formatCode="0.0">
                  <c:v>-6.96969696969709E-3</c:v>
                </c:pt>
                <c:pt idx="395" formatCode="0.0">
                  <c:v>3.1186868686868475E-2</c:v>
                </c:pt>
                <c:pt idx="396" formatCode="0.0">
                  <c:v>9.7626262626262547E-2</c:v>
                </c:pt>
                <c:pt idx="397" formatCode="0.0">
                  <c:v>0.18681818181818197</c:v>
                </c:pt>
                <c:pt idx="398" formatCode="0.0">
                  <c:v>0.27128787878787913</c:v>
                </c:pt>
                <c:pt idx="399" formatCode="0.0">
                  <c:v>0.32530303030303059</c:v>
                </c:pt>
                <c:pt idx="400" formatCode="0.0">
                  <c:v>0.33229797979797998</c:v>
                </c:pt>
                <c:pt idx="401" formatCode="0.0">
                  <c:v>0.26767676767676785</c:v>
                </c:pt>
                <c:pt idx="402" formatCode="0.0">
                  <c:v>0.1494949494949496</c:v>
                </c:pt>
                <c:pt idx="403" formatCode="0.0">
                  <c:v>2.9696969696969819E-2</c:v>
                </c:pt>
                <c:pt idx="404" formatCode="0.0">
                  <c:v>-8.8636363636363444E-2</c:v>
                </c:pt>
                <c:pt idx="405" formatCode="0.0">
                  <c:v>-0.19689393939393909</c:v>
                </c:pt>
                <c:pt idx="406" formatCode="0.0">
                  <c:v>-0.30487373737373696</c:v>
                </c:pt>
                <c:pt idx="407" formatCode="0.0">
                  <c:v>-0.40515151515151487</c:v>
                </c:pt>
                <c:pt idx="408" formatCode="0.0">
                  <c:v>-0.50633838383838381</c:v>
                </c:pt>
                <c:pt idx="409" formatCode="0.0">
                  <c:v>-0.61896464646464655</c:v>
                </c:pt>
                <c:pt idx="410" formatCode="0.0">
                  <c:v>-0.69904040404040413</c:v>
                </c:pt>
                <c:pt idx="411" formatCode="0.0">
                  <c:v>-0.74002525252525264</c:v>
                </c:pt>
                <c:pt idx="412" formatCode="0.0">
                  <c:v>-0.73348484848484863</c:v>
                </c:pt>
                <c:pt idx="413" formatCode="0.0">
                  <c:v>-0.69830808080808104</c:v>
                </c:pt>
                <c:pt idx="414" formatCode="0.0">
                  <c:v>-0.65714646464646487</c:v>
                </c:pt>
                <c:pt idx="415" formatCode="0.0">
                  <c:v>-0.6167929292929295</c:v>
                </c:pt>
                <c:pt idx="416" formatCode="0.0">
                  <c:v>-0.57434343434343471</c:v>
                </c:pt>
                <c:pt idx="417" formatCode="0.0">
                  <c:v>-0.53025252525252564</c:v>
                </c:pt>
                <c:pt idx="418" formatCode="0.0">
                  <c:v>-0.45361111111111135</c:v>
                </c:pt>
                <c:pt idx="419" formatCode="0.0">
                  <c:v>-0.37007575757575767</c:v>
                </c:pt>
                <c:pt idx="420" formatCode="0.0">
                  <c:v>-0.28472222222222227</c:v>
                </c:pt>
                <c:pt idx="421" formatCode="0.0">
                  <c:v>-0.21257575757575753</c:v>
                </c:pt>
                <c:pt idx="422" formatCode="0.0">
                  <c:v>-0.17330808080808069</c:v>
                </c:pt>
                <c:pt idx="423" formatCode="0.0">
                  <c:v>-0.15138888888888874</c:v>
                </c:pt>
                <c:pt idx="424" formatCode="0.0">
                  <c:v>-0.12363636363636342</c:v>
                </c:pt>
                <c:pt idx="425" formatCode="0.0">
                  <c:v>-0.11101010101010077</c:v>
                </c:pt>
                <c:pt idx="426" formatCode="0.0">
                  <c:v>-9.0732323232322956E-2</c:v>
                </c:pt>
                <c:pt idx="427" formatCode="0.0">
                  <c:v>-8.8005050505050128E-2</c:v>
                </c:pt>
                <c:pt idx="428" formatCode="0.0">
                  <c:v>-0.11482323232323194</c:v>
                </c:pt>
                <c:pt idx="429" formatCode="0.0">
                  <c:v>-0.14608585858585824</c:v>
                </c:pt>
                <c:pt idx="430" formatCode="0.0">
                  <c:v>-0.18492424242424219</c:v>
                </c:pt>
                <c:pt idx="431" formatCode="0.0">
                  <c:v>-0.21310606060606041</c:v>
                </c:pt>
                <c:pt idx="432" formatCode="0.0">
                  <c:v>-0.19580808080808074</c:v>
                </c:pt>
                <c:pt idx="433" formatCode="0.0">
                  <c:v>-0.15626262626262613</c:v>
                </c:pt>
                <c:pt idx="434" formatCode="0.0">
                  <c:v>-0.12063131313131302</c:v>
                </c:pt>
                <c:pt idx="435" formatCode="0.0">
                  <c:v>-7.1994949494949528E-2</c:v>
                </c:pt>
                <c:pt idx="436" formatCode="0.0">
                  <c:v>-3.7095959595959661E-2</c:v>
                </c:pt>
                <c:pt idx="437" formatCode="0.0">
                  <c:v>-2.7777777777790192E-4</c:v>
                </c:pt>
                <c:pt idx="438" formatCode="0.0">
                  <c:v>5.2904040404040197E-2</c:v>
                </c:pt>
                <c:pt idx="439" formatCode="0.0">
                  <c:v>0.10053030303030284</c:v>
                </c:pt>
                <c:pt idx="440" formatCode="0.0">
                  <c:v>0.14300505050505033</c:v>
                </c:pt>
                <c:pt idx="441" formatCode="0.0">
                  <c:v>0.18702020202020186</c:v>
                </c:pt>
                <c:pt idx="442" formatCode="0.0">
                  <c:v>0.23020202020202019</c:v>
                </c:pt>
                <c:pt idx="443" formatCode="0.0">
                  <c:v>0.23464646464646466</c:v>
                </c:pt>
                <c:pt idx="444" formatCode="0.0">
                  <c:v>0.23762626262626263</c:v>
                </c:pt>
                <c:pt idx="445" formatCode="0.0">
                  <c:v>0.23217171717171714</c:v>
                </c:pt>
                <c:pt idx="446" formatCode="0.0">
                  <c:v>0.21989898989898987</c:v>
                </c:pt>
                <c:pt idx="447" formatCode="0.0">
                  <c:v>0.21191919191919179</c:v>
                </c:pt>
                <c:pt idx="448" formatCode="0.0">
                  <c:v>0.19537878787878782</c:v>
                </c:pt>
                <c:pt idx="449" formatCode="0.0">
                  <c:v>0.17737373737373732</c:v>
                </c:pt>
                <c:pt idx="450" formatCode="0.0">
                  <c:v>0.17027777777777767</c:v>
                </c:pt>
                <c:pt idx="451" formatCode="0.0">
                  <c:v>0.14436868686868676</c:v>
                </c:pt>
                <c:pt idx="452" formatCode="0.0">
                  <c:v>0.11517676767676752</c:v>
                </c:pt>
                <c:pt idx="453" formatCode="0.0">
                  <c:v>0.10227272727272695</c:v>
                </c:pt>
                <c:pt idx="454" formatCode="0.0">
                  <c:v>0.10318181818181783</c:v>
                </c:pt>
                <c:pt idx="455" formatCode="0.0">
                  <c:v>0.10373737373737348</c:v>
                </c:pt>
                <c:pt idx="456" formatCode="0.0">
                  <c:v>0.11492424242424222</c:v>
                </c:pt>
                <c:pt idx="457" formatCode="0.0">
                  <c:v>0.11891414141414135</c:v>
                </c:pt>
                <c:pt idx="458" formatCode="0.0">
                  <c:v>0.13926767676767682</c:v>
                </c:pt>
                <c:pt idx="459" formatCode="0.0">
                  <c:v>0.14744949494949483</c:v>
                </c:pt>
                <c:pt idx="460" formatCode="0.0">
                  <c:v>0.12737373737373725</c:v>
                </c:pt>
                <c:pt idx="461" formatCode="0.0">
                  <c:v>0.11128787878787866</c:v>
                </c:pt>
                <c:pt idx="462" formatCode="0.0">
                  <c:v>9.3005050505050271E-2</c:v>
                </c:pt>
                <c:pt idx="463" formatCode="0.0">
                  <c:v>6.0454545454545379E-2</c:v>
                </c:pt>
                <c:pt idx="464" formatCode="0.0">
                  <c:v>7.7272727272726435E-3</c:v>
                </c:pt>
                <c:pt idx="465" formatCode="0.0">
                  <c:v>-4.6540404040404132E-2</c:v>
                </c:pt>
                <c:pt idx="466" formatCode="0.0">
                  <c:v>-0.1104545454545456</c:v>
                </c:pt>
                <c:pt idx="467" formatCode="0.0">
                  <c:v>-0.17636363636363647</c:v>
                </c:pt>
                <c:pt idx="468" formatCode="0.0">
                  <c:v>-0.2529797979797983</c:v>
                </c:pt>
                <c:pt idx="469" formatCode="0.0">
                  <c:v>-0.32053030303030333</c:v>
                </c:pt>
                <c:pt idx="470" formatCode="0.0">
                  <c:v>-0.36856060606060626</c:v>
                </c:pt>
                <c:pt idx="471" formatCode="0.0">
                  <c:v>-0.3693939393939395</c:v>
                </c:pt>
                <c:pt idx="472" formatCode="0.0">
                  <c:v>-0.36421717171717172</c:v>
                </c:pt>
                <c:pt idx="473" formatCode="0.0">
                  <c:v>-0.33676767676767677</c:v>
                </c:pt>
                <c:pt idx="474" formatCode="0.0">
                  <c:v>-0.2925757575757576</c:v>
                </c:pt>
                <c:pt idx="475" formatCode="0.0">
                  <c:v>-0.22585858585858579</c:v>
                </c:pt>
                <c:pt idx="476" formatCode="0.0">
                  <c:v>-0.14585858585858572</c:v>
                </c:pt>
                <c:pt idx="477" formatCode="0.0">
                  <c:v>-4.8863636363636331E-2</c:v>
                </c:pt>
                <c:pt idx="478" formatCode="0.0">
                  <c:v>2.4494949494949448E-2</c:v>
                </c:pt>
                <c:pt idx="479" formatCode="0.0">
                  <c:v>9.0303030303030371E-2</c:v>
                </c:pt>
                <c:pt idx="480" formatCode="0.0">
                  <c:v>0.14861111111111117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6-4C50-9913-641AE917A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(10Hz)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100"/>
        <c:noMultiLvlLbl val="0"/>
      </c:catAx>
      <c:valAx>
        <c:axId val="43578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Motion Mini @ 10Hz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Modified calculation + averaging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motion!$W$3:$W$493</c:f>
              <c:numCache>
                <c:formatCode>0.000</c:formatCode>
                <c:ptCount val="491"/>
                <c:pt idx="15" formatCode="0.0">
                  <c:v>0.41798668503214065</c:v>
                </c:pt>
                <c:pt idx="16" formatCode="0.0">
                  <c:v>0.41632920110192972</c:v>
                </c:pt>
                <c:pt idx="17" formatCode="0.0">
                  <c:v>0.41325757575757732</c:v>
                </c:pt>
                <c:pt idx="18" formatCode="0.0">
                  <c:v>0.4085146923783301</c:v>
                </c:pt>
                <c:pt idx="19" formatCode="0.0">
                  <c:v>0.4029706152433436</c:v>
                </c:pt>
                <c:pt idx="20" formatCode="0.0">
                  <c:v>0.39647153351698916</c:v>
                </c:pt>
                <c:pt idx="21" formatCode="0.0">
                  <c:v>0.38889807162534512</c:v>
                </c:pt>
                <c:pt idx="22" formatCode="0.0">
                  <c:v>0.38105831037649263</c:v>
                </c:pt>
                <c:pt idx="23" formatCode="0.0">
                  <c:v>0.37409779614325117</c:v>
                </c:pt>
                <c:pt idx="24" formatCode="0.0">
                  <c:v>0.36664600550964221</c:v>
                </c:pt>
                <c:pt idx="25" formatCode="0.0">
                  <c:v>0.35739898989898999</c:v>
                </c:pt>
                <c:pt idx="26" formatCode="0.0">
                  <c:v>0.34716023875114793</c:v>
                </c:pt>
                <c:pt idx="27" formatCode="0.0">
                  <c:v>0.33644398530762115</c:v>
                </c:pt>
                <c:pt idx="28" formatCode="0.0">
                  <c:v>0.325330578512396</c:v>
                </c:pt>
                <c:pt idx="29" formatCode="0.0">
                  <c:v>0.31369834710743744</c:v>
                </c:pt>
                <c:pt idx="30" formatCode="0.0">
                  <c:v>0.3002640036730938</c:v>
                </c:pt>
                <c:pt idx="31" formatCode="0.0">
                  <c:v>0.28587695133149604</c:v>
                </c:pt>
                <c:pt idx="32" formatCode="0.0">
                  <c:v>0.27216712580348895</c:v>
                </c:pt>
                <c:pt idx="33" formatCode="0.0">
                  <c:v>0.25657254361799742</c:v>
                </c:pt>
                <c:pt idx="34" formatCode="0.0">
                  <c:v>0.23806473829201008</c:v>
                </c:pt>
                <c:pt idx="35" formatCode="0.0">
                  <c:v>0.21951561065197353</c:v>
                </c:pt>
                <c:pt idx="36" formatCode="0.0">
                  <c:v>0.20134067952249685</c:v>
                </c:pt>
                <c:pt idx="37" formatCode="0.0">
                  <c:v>0.18171946740128514</c:v>
                </c:pt>
                <c:pt idx="38" formatCode="0.0">
                  <c:v>0.16186868686868683</c:v>
                </c:pt>
                <c:pt idx="39" formatCode="0.0">
                  <c:v>0.14389577594123021</c:v>
                </c:pt>
                <c:pt idx="40" formatCode="0.0">
                  <c:v>0.12756657483930198</c:v>
                </c:pt>
                <c:pt idx="41" formatCode="0.0">
                  <c:v>0.11446051423324134</c:v>
                </c:pt>
                <c:pt idx="42" formatCode="0.0">
                  <c:v>0.10281910009182677</c:v>
                </c:pt>
                <c:pt idx="43" formatCode="0.0">
                  <c:v>9.0840220385674353E-2</c:v>
                </c:pt>
                <c:pt idx="44" formatCode="0.0">
                  <c:v>8.2656106519742589E-2</c:v>
                </c:pt>
                <c:pt idx="45" formatCode="0.0">
                  <c:v>7.8537649219467293E-2</c:v>
                </c:pt>
                <c:pt idx="46" formatCode="0.0">
                  <c:v>7.5557851239669169E-2</c:v>
                </c:pt>
                <c:pt idx="47" formatCode="0.0">
                  <c:v>7.5610651974288304E-2</c:v>
                </c:pt>
                <c:pt idx="48" formatCode="0.0">
                  <c:v>7.7943067033975855E-2</c:v>
                </c:pt>
                <c:pt idx="49" formatCode="0.0">
                  <c:v>7.8810835629017195E-2</c:v>
                </c:pt>
                <c:pt idx="50" formatCode="0.0">
                  <c:v>7.6659779614324783E-2</c:v>
                </c:pt>
                <c:pt idx="51" formatCode="0.0">
                  <c:v>7.2729568411386059E-2</c:v>
                </c:pt>
                <c:pt idx="52" formatCode="0.0">
                  <c:v>6.5369605142332171E-2</c:v>
                </c:pt>
                <c:pt idx="53" formatCode="0.0">
                  <c:v>5.6808999081726472E-2</c:v>
                </c:pt>
                <c:pt idx="54" formatCode="0.0">
                  <c:v>4.8048668503213966E-2</c:v>
                </c:pt>
                <c:pt idx="55" formatCode="0.0">
                  <c:v>3.6487603305784884E-2</c:v>
                </c:pt>
                <c:pt idx="56" formatCode="0.0">
                  <c:v>2.4582185491276057E-2</c:v>
                </c:pt>
                <c:pt idx="57" formatCode="0.0">
                  <c:v>1.2495408631771777E-2</c:v>
                </c:pt>
                <c:pt idx="58" formatCode="0.0">
                  <c:v>-7.805325987150527E-4</c:v>
                </c:pt>
                <c:pt idx="59" formatCode="0.0">
                  <c:v>-1.3064738292011734E-2</c:v>
                </c:pt>
                <c:pt idx="60" formatCode="0.0">
                  <c:v>-2.2819100091828141E-2</c:v>
                </c:pt>
                <c:pt idx="61" formatCode="0.0">
                  <c:v>-3.2123507805326378E-2</c:v>
                </c:pt>
                <c:pt idx="62" formatCode="0.0">
                  <c:v>-4.1216712580349195E-2</c:v>
                </c:pt>
                <c:pt idx="63" formatCode="0.0">
                  <c:v>-4.9244719926538429E-2</c:v>
                </c:pt>
                <c:pt idx="64" formatCode="0.0">
                  <c:v>-5.8585858585859026E-2</c:v>
                </c:pt>
                <c:pt idx="65" formatCode="0.0">
                  <c:v>-6.9563820018365613E-2</c:v>
                </c:pt>
                <c:pt idx="66" formatCode="0.0">
                  <c:v>-8.2371441689623418E-2</c:v>
                </c:pt>
                <c:pt idx="67" formatCode="0.0">
                  <c:v>-9.9221763085399317E-2</c:v>
                </c:pt>
                <c:pt idx="68" formatCode="0.0">
                  <c:v>-0.11761019283746534</c:v>
                </c:pt>
                <c:pt idx="69" formatCode="0.0">
                  <c:v>-0.13837924701561038</c:v>
                </c:pt>
                <c:pt idx="70" formatCode="0.0">
                  <c:v>-0.16064967860422366</c:v>
                </c:pt>
                <c:pt idx="71" formatCode="0.0">
                  <c:v>-0.182681359044995</c:v>
                </c:pt>
                <c:pt idx="72" formatCode="0.0">
                  <c:v>-0.20182506887052315</c:v>
                </c:pt>
                <c:pt idx="73" formatCode="0.0">
                  <c:v>-0.21867309458218528</c:v>
                </c:pt>
                <c:pt idx="74" formatCode="0.0">
                  <c:v>-0.23206382001836526</c:v>
                </c:pt>
                <c:pt idx="75" formatCode="0.0">
                  <c:v>-0.23934573002754789</c:v>
                </c:pt>
                <c:pt idx="76" formatCode="0.0">
                  <c:v>-0.24126262626262618</c:v>
                </c:pt>
                <c:pt idx="77" formatCode="0.0">
                  <c:v>-0.23559917355371904</c:v>
                </c:pt>
                <c:pt idx="78" formatCode="0.0">
                  <c:v>-0.22464646464646487</c:v>
                </c:pt>
                <c:pt idx="79" formatCode="0.0">
                  <c:v>-0.20886593204775022</c:v>
                </c:pt>
                <c:pt idx="80" formatCode="0.0">
                  <c:v>-0.18666437098255287</c:v>
                </c:pt>
                <c:pt idx="81" formatCode="0.0">
                  <c:v>-0.16118457300275502</c:v>
                </c:pt>
                <c:pt idx="82" formatCode="0.0">
                  <c:v>-0.13374426078971557</c:v>
                </c:pt>
                <c:pt idx="83" formatCode="0.0">
                  <c:v>-0.10564738292011035</c:v>
                </c:pt>
                <c:pt idx="84" formatCode="0.0">
                  <c:v>-7.6602387511478465E-2</c:v>
                </c:pt>
                <c:pt idx="85" formatCode="0.0">
                  <c:v>-4.8898071625344451E-2</c:v>
                </c:pt>
                <c:pt idx="86" formatCode="0.0">
                  <c:v>-2.3946280991735722E-2</c:v>
                </c:pt>
                <c:pt idx="87" formatCode="0.0">
                  <c:v>-1.8870523415980176E-3</c:v>
                </c:pt>
                <c:pt idx="88" formatCode="0.0">
                  <c:v>1.6841138659320555E-2</c:v>
                </c:pt>
                <c:pt idx="89" formatCode="0.0">
                  <c:v>3.5642791551882554E-2</c:v>
                </c:pt>
                <c:pt idx="90" formatCode="0.0">
                  <c:v>5.3558310376492196E-2</c:v>
                </c:pt>
                <c:pt idx="91" formatCode="0.0">
                  <c:v>7.0167584940312236E-2</c:v>
                </c:pt>
                <c:pt idx="92" formatCode="0.0">
                  <c:v>8.6884756657483825E-2</c:v>
                </c:pt>
                <c:pt idx="93" formatCode="0.0">
                  <c:v>0.10538337924701531</c:v>
                </c:pt>
                <c:pt idx="94" formatCode="0.0">
                  <c:v>0.12498852157943025</c:v>
                </c:pt>
                <c:pt idx="95" formatCode="0.0">
                  <c:v>0.14443755739210201</c:v>
                </c:pt>
                <c:pt idx="96" formatCode="0.0">
                  <c:v>0.16403581267217551</c:v>
                </c:pt>
                <c:pt idx="97" formatCode="0.0">
                  <c:v>0.18388200183654649</c:v>
                </c:pt>
                <c:pt idx="98" formatCode="0.0">
                  <c:v>0.20581037649219394</c:v>
                </c:pt>
                <c:pt idx="99" formatCode="0.0">
                  <c:v>0.22724517906336009</c:v>
                </c:pt>
                <c:pt idx="100" formatCode="0.0">
                  <c:v>0.24585399449035739</c:v>
                </c:pt>
                <c:pt idx="101" formatCode="0.0">
                  <c:v>0.26115243342516015</c:v>
                </c:pt>
                <c:pt idx="102" formatCode="0.0">
                  <c:v>0.27447658402203845</c:v>
                </c:pt>
                <c:pt idx="103" formatCode="0.0">
                  <c:v>0.28458677685950434</c:v>
                </c:pt>
                <c:pt idx="104" formatCode="0.0">
                  <c:v>0.28979109274563863</c:v>
                </c:pt>
                <c:pt idx="105" formatCode="0.0">
                  <c:v>0.29176308539944967</c:v>
                </c:pt>
                <c:pt idx="106" formatCode="0.0">
                  <c:v>0.29300045913682365</c:v>
                </c:pt>
                <c:pt idx="107" formatCode="0.0">
                  <c:v>0.29382231404958775</c:v>
                </c:pt>
                <c:pt idx="108" formatCode="0.0">
                  <c:v>0.29459366391184666</c:v>
                </c:pt>
                <c:pt idx="109" formatCode="0.0">
                  <c:v>0.29300964187327916</c:v>
                </c:pt>
                <c:pt idx="110" formatCode="0.0">
                  <c:v>0.29133379247015706</c:v>
                </c:pt>
                <c:pt idx="111" formatCode="0.0">
                  <c:v>0.29200642791551989</c:v>
                </c:pt>
                <c:pt idx="112" formatCode="0.0">
                  <c:v>0.29213728191000982</c:v>
                </c:pt>
                <c:pt idx="113" formatCode="0.0">
                  <c:v>0.29003673094582216</c:v>
                </c:pt>
                <c:pt idx="114" formatCode="0.0">
                  <c:v>0.28905876951331516</c:v>
                </c:pt>
                <c:pt idx="115" formatCode="0.0">
                  <c:v>0.28895546372819114</c:v>
                </c:pt>
                <c:pt idx="116" formatCode="0.0">
                  <c:v>0.29006657483930226</c:v>
                </c:pt>
                <c:pt idx="117" formatCode="0.0">
                  <c:v>0.29164830119375601</c:v>
                </c:pt>
                <c:pt idx="118" formatCode="0.0">
                  <c:v>0.29500229568411418</c:v>
                </c:pt>
                <c:pt idx="119" formatCode="0.0">
                  <c:v>0.30138888888888926</c:v>
                </c:pt>
                <c:pt idx="120" formatCode="0.0">
                  <c:v>0.30994031221303975</c:v>
                </c:pt>
                <c:pt idx="121" formatCode="0.0">
                  <c:v>0.31846418732782378</c:v>
                </c:pt>
                <c:pt idx="122" formatCode="0.0">
                  <c:v>0.32571395775941253</c:v>
                </c:pt>
                <c:pt idx="123" formatCode="0.0">
                  <c:v>0.33676767676767744</c:v>
                </c:pt>
                <c:pt idx="124" formatCode="0.0">
                  <c:v>0.34844123048668574</c:v>
                </c:pt>
                <c:pt idx="125" formatCode="0.0">
                  <c:v>0.3583654729109283</c:v>
                </c:pt>
                <c:pt idx="126" formatCode="0.0">
                  <c:v>0.36546602387511568</c:v>
                </c:pt>
                <c:pt idx="127" formatCode="0.0">
                  <c:v>0.36696510560147</c:v>
                </c:pt>
                <c:pt idx="128" formatCode="0.0">
                  <c:v>0.35976354453627252</c:v>
                </c:pt>
                <c:pt idx="129" formatCode="0.0">
                  <c:v>0.34132001836547315</c:v>
                </c:pt>
                <c:pt idx="130" formatCode="0.0">
                  <c:v>0.30861340679522492</c:v>
                </c:pt>
                <c:pt idx="131" formatCode="0.0">
                  <c:v>0.26624655647382911</c:v>
                </c:pt>
                <c:pt idx="132" formatCode="0.0">
                  <c:v>0.21813131313131298</c:v>
                </c:pt>
                <c:pt idx="133" formatCode="0.0">
                  <c:v>0.16498393021120236</c:v>
                </c:pt>
                <c:pt idx="134" formatCode="0.0">
                  <c:v>0.10682047750229468</c:v>
                </c:pt>
                <c:pt idx="135" formatCode="0.0">
                  <c:v>4.8886593204773732E-2</c:v>
                </c:pt>
                <c:pt idx="136" formatCode="0.0">
                  <c:v>-7.0431588613421329E-3</c:v>
                </c:pt>
                <c:pt idx="137" formatCode="0.0">
                  <c:v>-5.7685950413224614E-2</c:v>
                </c:pt>
                <c:pt idx="138" formatCode="0.0">
                  <c:v>-0.10112488521579605</c:v>
                </c:pt>
                <c:pt idx="139" formatCode="0.0">
                  <c:v>-0.13345730027548361</c:v>
                </c:pt>
                <c:pt idx="140" formatCode="0.0">
                  <c:v>-0.15129476584022103</c:v>
                </c:pt>
                <c:pt idx="141" formatCode="0.0">
                  <c:v>-0.15338842975206646</c:v>
                </c:pt>
                <c:pt idx="142" formatCode="0.0">
                  <c:v>-0.14311065197428843</c:v>
                </c:pt>
                <c:pt idx="143" formatCode="0.0">
                  <c:v>-0.12408402203856751</c:v>
                </c:pt>
                <c:pt idx="144" formatCode="0.0">
                  <c:v>-9.6827364554636641E-2</c:v>
                </c:pt>
                <c:pt idx="145" formatCode="0.0">
                  <c:v>-6.5098714416895215E-2</c:v>
                </c:pt>
                <c:pt idx="146" formatCode="0.0">
                  <c:v>-3.1441689623506713E-2</c:v>
                </c:pt>
                <c:pt idx="147" formatCode="0.0">
                  <c:v>1.6804407713509177E-3</c:v>
                </c:pt>
                <c:pt idx="148" formatCode="0.0">
                  <c:v>3.394168962350929E-2</c:v>
                </c:pt>
                <c:pt idx="149" formatCode="0.0">
                  <c:v>6.6313131313132961E-2</c:v>
                </c:pt>
                <c:pt idx="150" formatCode="0.0">
                  <c:v>9.5808080808081897E-2</c:v>
                </c:pt>
                <c:pt idx="151" formatCode="0.0">
                  <c:v>0.12015610651974368</c:v>
                </c:pt>
                <c:pt idx="152" formatCode="0.0">
                  <c:v>0.13894857667585001</c:v>
                </c:pt>
                <c:pt idx="153" formatCode="0.0">
                  <c:v>0.15316345270890802</c:v>
                </c:pt>
                <c:pt idx="154" formatCode="0.0">
                  <c:v>0.16213269054178187</c:v>
                </c:pt>
                <c:pt idx="155" formatCode="0.0">
                  <c:v>0.16489669421487607</c:v>
                </c:pt>
                <c:pt idx="156" formatCode="0.0">
                  <c:v>0.1631221303948576</c:v>
                </c:pt>
                <c:pt idx="157" formatCode="0.0">
                  <c:v>0.15689853076216712</c:v>
                </c:pt>
                <c:pt idx="158" formatCode="0.0">
                  <c:v>0.14876721763085354</c:v>
                </c:pt>
                <c:pt idx="159" formatCode="0.0">
                  <c:v>0.1360583103764913</c:v>
                </c:pt>
                <c:pt idx="160" formatCode="0.0">
                  <c:v>0.11977043158861246</c:v>
                </c:pt>
                <c:pt idx="161" formatCode="0.0">
                  <c:v>9.9977043158860635E-2</c:v>
                </c:pt>
                <c:pt idx="162" formatCode="0.0">
                  <c:v>7.7770890725435429E-2</c:v>
                </c:pt>
                <c:pt idx="163" formatCode="0.0">
                  <c:v>5.3475665748392132E-2</c:v>
                </c:pt>
                <c:pt idx="164" formatCode="0.0">
                  <c:v>2.7995867768594127E-2</c:v>
                </c:pt>
                <c:pt idx="165" formatCode="0.0">
                  <c:v>5.8287419651045528E-3</c:v>
                </c:pt>
                <c:pt idx="166" formatCode="0.0">
                  <c:v>-1.083562901744854E-2</c:v>
                </c:pt>
                <c:pt idx="167" formatCode="0.0">
                  <c:v>-1.960743801653031E-2</c:v>
                </c:pt>
                <c:pt idx="168" formatCode="0.0">
                  <c:v>-2.2442607897154524E-2</c:v>
                </c:pt>
                <c:pt idx="169" formatCode="0.0">
                  <c:v>-2.1170798898072232E-2</c:v>
                </c:pt>
                <c:pt idx="170" formatCode="0.0">
                  <c:v>-1.4311294765840608E-2</c:v>
                </c:pt>
                <c:pt idx="171" formatCode="0.0">
                  <c:v>-5.741505968779234E-3</c:v>
                </c:pt>
                <c:pt idx="172" formatCode="0.0">
                  <c:v>6.7630853994483757E-3</c:v>
                </c:pt>
                <c:pt idx="173" formatCode="0.0">
                  <c:v>2.4926538108355475E-2</c:v>
                </c:pt>
                <c:pt idx="174" formatCode="0.0">
                  <c:v>4.9942607897152609E-2</c:v>
                </c:pt>
                <c:pt idx="175" formatCode="0.0">
                  <c:v>7.9191919191918647E-2</c:v>
                </c:pt>
                <c:pt idx="176" formatCode="0.0">
                  <c:v>0.10518365472910948</c:v>
                </c:pt>
                <c:pt idx="177" formatCode="0.0">
                  <c:v>0.12342516069788849</c:v>
                </c:pt>
                <c:pt idx="178" formatCode="0.0">
                  <c:v>0.13147612488521626</c:v>
                </c:pt>
                <c:pt idx="179" formatCode="0.0">
                  <c:v>0.13258264462809938</c:v>
                </c:pt>
                <c:pt idx="180" formatCode="0.0">
                  <c:v>0.1258356290174473</c:v>
                </c:pt>
                <c:pt idx="181" formatCode="0.0">
                  <c:v>0.11268365472910945</c:v>
                </c:pt>
                <c:pt idx="182" formatCode="0.0">
                  <c:v>9.4763544536272129E-2</c:v>
                </c:pt>
                <c:pt idx="183" formatCode="0.0">
                  <c:v>6.8069329660238959E-2</c:v>
                </c:pt>
                <c:pt idx="184" formatCode="0.0">
                  <c:v>2.6161616161616375E-2</c:v>
                </c:pt>
                <c:pt idx="185" formatCode="0.0">
                  <c:v>-3.2607897153351544E-2</c:v>
                </c:pt>
                <c:pt idx="186" formatCode="0.0">
                  <c:v>-0.10257346189164419</c:v>
                </c:pt>
                <c:pt idx="187" formatCode="0.0">
                  <c:v>-0.17448576675849511</c:v>
                </c:pt>
                <c:pt idx="188" formatCode="0.0">
                  <c:v>-0.24508494031221401</c:v>
                </c:pt>
                <c:pt idx="189" formatCode="0.0">
                  <c:v>-0.31640266299357284</c:v>
                </c:pt>
                <c:pt idx="190" formatCode="0.0">
                  <c:v>-0.38671028466483082</c:v>
                </c:pt>
                <c:pt idx="191" formatCode="0.0">
                  <c:v>-0.45371900826446371</c:v>
                </c:pt>
                <c:pt idx="192" formatCode="0.0">
                  <c:v>-0.52030762167125888</c:v>
                </c:pt>
                <c:pt idx="193" formatCode="0.0">
                  <c:v>-0.58398760330578581</c:v>
                </c:pt>
                <c:pt idx="194" formatCode="0.0">
                  <c:v>-0.63657943067034006</c:v>
                </c:pt>
                <c:pt idx="195" formatCode="0.0">
                  <c:v>-0.67278236914600564</c:v>
                </c:pt>
                <c:pt idx="196" formatCode="0.0">
                  <c:v>-0.69172865013774076</c:v>
                </c:pt>
                <c:pt idx="197" formatCode="0.0">
                  <c:v>-0.69972910927456333</c:v>
                </c:pt>
                <c:pt idx="198" formatCode="0.0">
                  <c:v>-0.69996326905417761</c:v>
                </c:pt>
                <c:pt idx="199" formatCode="0.0">
                  <c:v>-0.68947887970615218</c:v>
                </c:pt>
                <c:pt idx="200" formatCode="0.0">
                  <c:v>-0.66683884297520646</c:v>
                </c:pt>
                <c:pt idx="201" formatCode="0.0">
                  <c:v>-0.6363567493112946</c:v>
                </c:pt>
                <c:pt idx="202" formatCode="0.0">
                  <c:v>-0.59814508723599613</c:v>
                </c:pt>
                <c:pt idx="203" formatCode="0.0">
                  <c:v>-0.55260330578512362</c:v>
                </c:pt>
                <c:pt idx="204" formatCode="0.0">
                  <c:v>-0.50511248852157919</c:v>
                </c:pt>
                <c:pt idx="205" formatCode="0.0">
                  <c:v>-0.46250688705234144</c:v>
                </c:pt>
                <c:pt idx="206" formatCode="0.0">
                  <c:v>-0.42577823691460054</c:v>
                </c:pt>
                <c:pt idx="207" formatCode="0.0">
                  <c:v>-0.39629706152433397</c:v>
                </c:pt>
                <c:pt idx="208" formatCode="0.0">
                  <c:v>-0.37344123048668459</c:v>
                </c:pt>
                <c:pt idx="209" formatCode="0.0">
                  <c:v>-0.35923094582185411</c:v>
                </c:pt>
                <c:pt idx="210" formatCode="0.0">
                  <c:v>-0.35608585858585734</c:v>
                </c:pt>
                <c:pt idx="211" formatCode="0.0">
                  <c:v>-0.36157483930211048</c:v>
                </c:pt>
                <c:pt idx="212" formatCode="0.0">
                  <c:v>-0.37554407713498428</c:v>
                </c:pt>
                <c:pt idx="213" formatCode="0.0">
                  <c:v>-0.40019283746556283</c:v>
                </c:pt>
                <c:pt idx="214" formatCode="0.0">
                  <c:v>-0.43187098255279915</c:v>
                </c:pt>
                <c:pt idx="215" formatCode="0.0">
                  <c:v>-0.46473599632690371</c:v>
                </c:pt>
                <c:pt idx="216" formatCode="0.0">
                  <c:v>-0.49780532598714217</c:v>
                </c:pt>
                <c:pt idx="217" formatCode="0.0">
                  <c:v>-0.53009641873278068</c:v>
                </c:pt>
                <c:pt idx="218" formatCode="0.0">
                  <c:v>-0.55853076216712472</c:v>
                </c:pt>
                <c:pt idx="219" formatCode="0.0">
                  <c:v>-0.58305555555555455</c:v>
                </c:pt>
                <c:pt idx="220" formatCode="0.0">
                  <c:v>-0.60383379247015556</c:v>
                </c:pt>
                <c:pt idx="221" formatCode="0.0">
                  <c:v>-0.62082874196510573</c:v>
                </c:pt>
                <c:pt idx="222" formatCode="0.0">
                  <c:v>-0.63468549127640117</c:v>
                </c:pt>
                <c:pt idx="223" formatCode="0.0">
                  <c:v>-0.64180670339761359</c:v>
                </c:pt>
                <c:pt idx="224" formatCode="0.0">
                  <c:v>-0.64078971533517082</c:v>
                </c:pt>
                <c:pt idx="225" formatCode="0.0">
                  <c:v>-0.63454545454545541</c:v>
                </c:pt>
                <c:pt idx="226" formatCode="0.0">
                  <c:v>-0.62446969696969812</c:v>
                </c:pt>
                <c:pt idx="227" formatCode="0.0">
                  <c:v>-0.60936179981634642</c:v>
                </c:pt>
                <c:pt idx="228" formatCode="0.0">
                  <c:v>-0.59150137741046926</c:v>
                </c:pt>
                <c:pt idx="229" formatCode="0.0">
                  <c:v>-0.57172865013774188</c:v>
                </c:pt>
                <c:pt idx="230" formatCode="0.0">
                  <c:v>-0.54785812672176382</c:v>
                </c:pt>
                <c:pt idx="231" formatCode="0.0">
                  <c:v>-0.52008034894398558</c:v>
                </c:pt>
                <c:pt idx="232" formatCode="0.0">
                  <c:v>-0.48943985307621674</c:v>
                </c:pt>
                <c:pt idx="233" formatCode="0.0">
                  <c:v>-0.45739898989898964</c:v>
                </c:pt>
                <c:pt idx="234" formatCode="0.0">
                  <c:v>-0.42681129476583995</c:v>
                </c:pt>
                <c:pt idx="235" formatCode="0.0">
                  <c:v>-0.3972956841138659</c:v>
                </c:pt>
                <c:pt idx="236" formatCode="0.0">
                  <c:v>-0.37022268135904518</c:v>
                </c:pt>
                <c:pt idx="237" formatCode="0.0">
                  <c:v>-0.34772727272727283</c:v>
                </c:pt>
                <c:pt idx="238" formatCode="0.0">
                  <c:v>-0.33254591368227743</c:v>
                </c:pt>
                <c:pt idx="239" formatCode="0.0">
                  <c:v>-0.32411845730027572</c:v>
                </c:pt>
                <c:pt idx="240" formatCode="0.0">
                  <c:v>-0.32483930211202955</c:v>
                </c:pt>
                <c:pt idx="241" formatCode="0.0">
                  <c:v>-0.33179063360881567</c:v>
                </c:pt>
                <c:pt idx="242" formatCode="0.0">
                  <c:v>-0.34640955004591378</c:v>
                </c:pt>
                <c:pt idx="243" formatCode="0.0">
                  <c:v>-0.36746097337006423</c:v>
                </c:pt>
                <c:pt idx="244" formatCode="0.0">
                  <c:v>-0.39418503213957751</c:v>
                </c:pt>
                <c:pt idx="245" formatCode="0.0">
                  <c:v>-0.42769513314967855</c:v>
                </c:pt>
                <c:pt idx="246" formatCode="0.0">
                  <c:v>-0.46811524334251575</c:v>
                </c:pt>
                <c:pt idx="247" formatCode="0.0">
                  <c:v>-0.50890036730945776</c:v>
                </c:pt>
                <c:pt idx="248" formatCode="0.0">
                  <c:v>-0.55179981634527064</c:v>
                </c:pt>
                <c:pt idx="249" formatCode="0.0">
                  <c:v>-0.5909067952249768</c:v>
                </c:pt>
                <c:pt idx="250" formatCode="0.0">
                  <c:v>-0.62210514233241476</c:v>
                </c:pt>
                <c:pt idx="251" formatCode="0.0">
                  <c:v>-0.64553719008264432</c:v>
                </c:pt>
                <c:pt idx="252" formatCode="0.0">
                  <c:v>-0.66559917355371889</c:v>
                </c:pt>
                <c:pt idx="253" formatCode="0.0">
                  <c:v>-0.6813085399449037</c:v>
                </c:pt>
                <c:pt idx="254" formatCode="0.0">
                  <c:v>-0.69798438934802587</c:v>
                </c:pt>
                <c:pt idx="255" formatCode="0.0">
                  <c:v>-0.70417814508723631</c:v>
                </c:pt>
                <c:pt idx="256" formatCode="0.0">
                  <c:v>-0.69605831037649257</c:v>
                </c:pt>
                <c:pt idx="257" formatCode="0.0">
                  <c:v>-0.67677456382001899</c:v>
                </c:pt>
                <c:pt idx="258" formatCode="0.0">
                  <c:v>-0.65255968778696094</c:v>
                </c:pt>
                <c:pt idx="259" formatCode="0.0">
                  <c:v>-0.62121212121212144</c:v>
                </c:pt>
                <c:pt idx="260" formatCode="0.0">
                  <c:v>-0.5886248852157947</c:v>
                </c:pt>
                <c:pt idx="261" formatCode="0.0">
                  <c:v>-0.56025252525252567</c:v>
                </c:pt>
                <c:pt idx="262" formatCode="0.0">
                  <c:v>-0.5302685950413224</c:v>
                </c:pt>
                <c:pt idx="263" formatCode="0.0">
                  <c:v>-0.49620064279155185</c:v>
                </c:pt>
                <c:pt idx="264" formatCode="0.0">
                  <c:v>-0.4498071625344352</c:v>
                </c:pt>
                <c:pt idx="265" formatCode="0.0">
                  <c:v>-0.39090909090909082</c:v>
                </c:pt>
                <c:pt idx="266" formatCode="0.0">
                  <c:v>-0.34120293847566541</c:v>
                </c:pt>
                <c:pt idx="267" formatCode="0.0">
                  <c:v>-0.30277548209366323</c:v>
                </c:pt>
                <c:pt idx="268" formatCode="0.0">
                  <c:v>-0.26842745638200083</c:v>
                </c:pt>
                <c:pt idx="269" formatCode="0.0">
                  <c:v>-0.23347337006427826</c:v>
                </c:pt>
                <c:pt idx="270" formatCode="0.0">
                  <c:v>-0.19738751147841976</c:v>
                </c:pt>
                <c:pt idx="271" formatCode="0.0">
                  <c:v>-0.15994260789715253</c:v>
                </c:pt>
                <c:pt idx="272" formatCode="0.0">
                  <c:v>-0.12322314049586712</c:v>
                </c:pt>
                <c:pt idx="273" formatCode="0.0">
                  <c:v>-9.3500918273645178E-2</c:v>
                </c:pt>
                <c:pt idx="274" formatCode="0.0">
                  <c:v>-7.4366391184572708E-2</c:v>
                </c:pt>
                <c:pt idx="275" formatCode="0.0">
                  <c:v>-7.7738751147841706E-2</c:v>
                </c:pt>
                <c:pt idx="276" formatCode="0.0">
                  <c:v>-9.1044536271808654E-2</c:v>
                </c:pt>
                <c:pt idx="277" formatCode="0.0">
                  <c:v>-0.10551652892561963</c:v>
                </c:pt>
                <c:pt idx="278" formatCode="0.0">
                  <c:v>-0.1196097337006429</c:v>
                </c:pt>
                <c:pt idx="279" formatCode="0.0">
                  <c:v>-0.13911845730027556</c:v>
                </c:pt>
                <c:pt idx="280" formatCode="0.0">
                  <c:v>-0.16295913682277316</c:v>
                </c:pt>
                <c:pt idx="281" formatCode="0.0">
                  <c:v>-0.18906795224977008</c:v>
                </c:pt>
                <c:pt idx="282" formatCode="0.0">
                  <c:v>-0.21326216712580326</c:v>
                </c:pt>
                <c:pt idx="283" formatCode="0.0">
                  <c:v>-0.22777318640954969</c:v>
                </c:pt>
                <c:pt idx="284" formatCode="0.0">
                  <c:v>-0.22923553719008247</c:v>
                </c:pt>
                <c:pt idx="285" formatCode="0.0">
                  <c:v>-0.21487832874196514</c:v>
                </c:pt>
                <c:pt idx="286" formatCode="0.0">
                  <c:v>-0.17720615243342538</c:v>
                </c:pt>
                <c:pt idx="287" formatCode="0.0">
                  <c:v>-0.12426078971533562</c:v>
                </c:pt>
                <c:pt idx="288" formatCode="0.0">
                  <c:v>-5.4123048668503836E-2</c:v>
                </c:pt>
                <c:pt idx="289" formatCode="0.0">
                  <c:v>2.8900367309457341E-2</c:v>
                </c:pt>
                <c:pt idx="290" formatCode="0.0">
                  <c:v>0.12190082644627977</c:v>
                </c:pt>
                <c:pt idx="291" formatCode="0.0">
                  <c:v>0.21547520661156855</c:v>
                </c:pt>
                <c:pt idx="292" formatCode="0.0">
                  <c:v>0.30730945821854727</c:v>
                </c:pt>
                <c:pt idx="293" formatCode="0.0">
                  <c:v>0.39906106519742723</c:v>
                </c:pt>
                <c:pt idx="294" formatCode="0.0">
                  <c:v>0.48607897153351554</c:v>
                </c:pt>
                <c:pt idx="295" formatCode="0.0">
                  <c:v>0.56446740128558204</c:v>
                </c:pt>
                <c:pt idx="296" formatCode="0.0">
                  <c:v>0.63230257116620692</c:v>
                </c:pt>
                <c:pt idx="297" formatCode="0.0">
                  <c:v>0.6868480257116617</c:v>
                </c:pt>
                <c:pt idx="298" formatCode="0.0">
                  <c:v>0.72904499540863166</c:v>
                </c:pt>
                <c:pt idx="299" formatCode="0.0">
                  <c:v>0.76078282828282862</c:v>
                </c:pt>
                <c:pt idx="300" formatCode="0.0">
                  <c:v>0.78380853994490418</c:v>
                </c:pt>
                <c:pt idx="301" formatCode="0.0">
                  <c:v>0.80500688705234247</c:v>
                </c:pt>
                <c:pt idx="302" formatCode="0.0">
                  <c:v>0.83063820018365597</c:v>
                </c:pt>
                <c:pt idx="303" formatCode="0.0">
                  <c:v>0.85602846648301312</c:v>
                </c:pt>
                <c:pt idx="304" formatCode="0.0">
                  <c:v>0.8731290174472004</c:v>
                </c:pt>
                <c:pt idx="305" formatCode="0.0">
                  <c:v>0.88220615243342626</c:v>
                </c:pt>
                <c:pt idx="306" formatCode="0.0">
                  <c:v>0.88349632690541857</c:v>
                </c:pt>
                <c:pt idx="307" formatCode="0.0">
                  <c:v>0.87836317722681412</c:v>
                </c:pt>
                <c:pt idx="308" formatCode="0.0">
                  <c:v>0.86764233241506017</c:v>
                </c:pt>
                <c:pt idx="309" formatCode="0.0">
                  <c:v>0.84564279155188293</c:v>
                </c:pt>
                <c:pt idx="310" formatCode="0.0">
                  <c:v>0.80873048668503233</c:v>
                </c:pt>
                <c:pt idx="311" formatCode="0.0">
                  <c:v>0.76178374655647396</c:v>
                </c:pt>
                <c:pt idx="312" formatCode="0.0">
                  <c:v>0.70375573921028467</c:v>
                </c:pt>
                <c:pt idx="313" formatCode="0.0">
                  <c:v>0.63395546372819078</c:v>
                </c:pt>
                <c:pt idx="314" formatCode="0.0">
                  <c:v>0.56365932047750222</c:v>
                </c:pt>
                <c:pt idx="315" formatCode="0.0">
                  <c:v>0.50024793388429734</c:v>
                </c:pt>
                <c:pt idx="316" formatCode="0.0">
                  <c:v>0.44462121212121181</c:v>
                </c:pt>
                <c:pt idx="317" formatCode="0.0">
                  <c:v>0.40115472910927447</c:v>
                </c:pt>
                <c:pt idx="318" formatCode="0.0">
                  <c:v>0.368558310376492</c:v>
                </c:pt>
                <c:pt idx="319" formatCode="0.0">
                  <c:v>0.34627640036730917</c:v>
                </c:pt>
                <c:pt idx="320" formatCode="0.0">
                  <c:v>0.3418755739210283</c:v>
                </c:pt>
                <c:pt idx="321" formatCode="0.0">
                  <c:v>0.35475436179981623</c:v>
                </c:pt>
                <c:pt idx="322" formatCode="0.0">
                  <c:v>0.38136134067952249</c:v>
                </c:pt>
                <c:pt idx="323" formatCode="0.0">
                  <c:v>0.42014692378328727</c:v>
                </c:pt>
                <c:pt idx="324" formatCode="0.0">
                  <c:v>0.46813590449954084</c:v>
                </c:pt>
                <c:pt idx="325" formatCode="0.0">
                  <c:v>0.51443067033976109</c:v>
                </c:pt>
                <c:pt idx="326" formatCode="0.0">
                  <c:v>0.55658402203856749</c:v>
                </c:pt>
                <c:pt idx="327" formatCode="0.0">
                  <c:v>0.59280303030303017</c:v>
                </c:pt>
                <c:pt idx="328" formatCode="0.0">
                  <c:v>0.61830119375573889</c:v>
                </c:pt>
                <c:pt idx="329" formatCode="0.0">
                  <c:v>0.63614554637281884</c:v>
                </c:pt>
                <c:pt idx="330" formatCode="0.0">
                  <c:v>0.64465335169880611</c:v>
                </c:pt>
                <c:pt idx="331" formatCode="0.0">
                  <c:v>0.63999770431588598</c:v>
                </c:pt>
                <c:pt idx="332" formatCode="0.0">
                  <c:v>0.62316115702479347</c:v>
                </c:pt>
                <c:pt idx="333" formatCode="0.0">
                  <c:v>0.59250688705234178</c:v>
                </c:pt>
                <c:pt idx="334" formatCode="0.0">
                  <c:v>0.54752525252525286</c:v>
                </c:pt>
                <c:pt idx="335" formatCode="0.0">
                  <c:v>0.49429752066115751</c:v>
                </c:pt>
                <c:pt idx="336" formatCode="0.0">
                  <c:v>0.43931129476584085</c:v>
                </c:pt>
                <c:pt idx="337" formatCode="0.0">
                  <c:v>0.3819214876033063</c:v>
                </c:pt>
                <c:pt idx="338" formatCode="0.0">
                  <c:v>0.32629935720844894</c:v>
                </c:pt>
                <c:pt idx="339" formatCode="0.0">
                  <c:v>0.27615932047750308</c:v>
                </c:pt>
                <c:pt idx="340" formatCode="0.0">
                  <c:v>0.23002525252525335</c:v>
                </c:pt>
                <c:pt idx="341" formatCode="0.0">
                  <c:v>0.1940955004591374</c:v>
                </c:pt>
                <c:pt idx="342" formatCode="0.0">
                  <c:v>0.17189853076216738</c:v>
                </c:pt>
                <c:pt idx="343" formatCode="0.0">
                  <c:v>0.16303030303030283</c:v>
                </c:pt>
                <c:pt idx="344" formatCode="0.0">
                  <c:v>0.16606290174471947</c:v>
                </c:pt>
                <c:pt idx="345" formatCode="0.0">
                  <c:v>0.17784435261707915</c:v>
                </c:pt>
                <c:pt idx="346" formatCode="0.0">
                  <c:v>0.19213498622589417</c:v>
                </c:pt>
                <c:pt idx="347" formatCode="0.0">
                  <c:v>0.20585399449035693</c:v>
                </c:pt>
                <c:pt idx="348" formatCode="0.0">
                  <c:v>0.21919191919191824</c:v>
                </c:pt>
                <c:pt idx="349" formatCode="0.0">
                  <c:v>0.22820707070706997</c:v>
                </c:pt>
                <c:pt idx="350" formatCode="0.0">
                  <c:v>0.23228650137740994</c:v>
                </c:pt>
                <c:pt idx="351" formatCode="0.0">
                  <c:v>0.22879017447199246</c:v>
                </c:pt>
                <c:pt idx="352" formatCode="0.0">
                  <c:v>0.20888429752066126</c:v>
                </c:pt>
                <c:pt idx="353" formatCode="0.0">
                  <c:v>0.16909779614325113</c:v>
                </c:pt>
                <c:pt idx="354" formatCode="0.0">
                  <c:v>0.11485766758494119</c:v>
                </c:pt>
                <c:pt idx="355" formatCode="0.0">
                  <c:v>5.313820018365592E-2</c:v>
                </c:pt>
                <c:pt idx="356" formatCode="0.0">
                  <c:v>-8.2966023875100155E-3</c:v>
                </c:pt>
                <c:pt idx="357" formatCode="0.0">
                  <c:v>-6.3117539026628186E-2</c:v>
                </c:pt>
                <c:pt idx="358" formatCode="0.0">
                  <c:v>-0.11062442607897018</c:v>
                </c:pt>
                <c:pt idx="359" formatCode="0.0">
                  <c:v>-0.15031221303948492</c:v>
                </c:pt>
                <c:pt idx="360" formatCode="0.0">
                  <c:v>-0.1802800734618912</c:v>
                </c:pt>
                <c:pt idx="361" formatCode="0.0">
                  <c:v>-0.20339761248852153</c:v>
                </c:pt>
                <c:pt idx="362" formatCode="0.0">
                  <c:v>-0.21869834710743855</c:v>
                </c:pt>
                <c:pt idx="363" formatCode="0.0">
                  <c:v>-0.219515610651975</c:v>
                </c:pt>
                <c:pt idx="364" formatCode="0.0">
                  <c:v>-0.20587006427915647</c:v>
                </c:pt>
                <c:pt idx="365" formatCode="0.0">
                  <c:v>-0.18306703397612656</c:v>
                </c:pt>
                <c:pt idx="366" formatCode="0.0">
                  <c:v>-0.15643709825528196</c:v>
                </c:pt>
                <c:pt idx="367" formatCode="0.0">
                  <c:v>-0.13036271808999267</c:v>
                </c:pt>
                <c:pt idx="368" formatCode="0.0">
                  <c:v>-0.10799816345271053</c:v>
                </c:pt>
                <c:pt idx="369" formatCode="0.0">
                  <c:v>-9.0792011019284982E-2</c:v>
                </c:pt>
                <c:pt idx="370" formatCode="0.0">
                  <c:v>-7.9949494949495659E-2</c:v>
                </c:pt>
                <c:pt idx="371" formatCode="0.0">
                  <c:v>-7.2460973370064644E-2</c:v>
                </c:pt>
                <c:pt idx="372" formatCode="0.0">
                  <c:v>-6.1590909090908787E-2</c:v>
                </c:pt>
                <c:pt idx="373" formatCode="0.0">
                  <c:v>-4.6157024793387631E-2</c:v>
                </c:pt>
                <c:pt idx="374" formatCode="0.0">
                  <c:v>-2.8558310376491036E-2</c:v>
                </c:pt>
                <c:pt idx="375" formatCode="0.0">
                  <c:v>-8.9531680440754508E-3</c:v>
                </c:pt>
                <c:pt idx="376" formatCode="0.0">
                  <c:v>1.3611111111112996E-2</c:v>
                </c:pt>
                <c:pt idx="377" formatCode="0.0">
                  <c:v>3.8721303948578492E-2</c:v>
                </c:pt>
                <c:pt idx="378" formatCode="0.0">
                  <c:v>6.5989439853077675E-2</c:v>
                </c:pt>
                <c:pt idx="379" formatCode="0.0">
                  <c:v>9.4967860422406916E-2</c:v>
                </c:pt>
                <c:pt idx="380" formatCode="0.0">
                  <c:v>0.12503213957759501</c:v>
                </c:pt>
                <c:pt idx="381" formatCode="0.0">
                  <c:v>0.15350091827364601</c:v>
                </c:pt>
                <c:pt idx="382" formatCode="0.0">
                  <c:v>0.17285812672176301</c:v>
                </c:pt>
                <c:pt idx="383" formatCode="0.0">
                  <c:v>0.17715564738291967</c:v>
                </c:pt>
                <c:pt idx="384" formatCode="0.0">
                  <c:v>0.17038567493112874</c:v>
                </c:pt>
                <c:pt idx="385" formatCode="0.0">
                  <c:v>0.15642791551882354</c:v>
                </c:pt>
                <c:pt idx="386" formatCode="0.0">
                  <c:v>0.13836088154269854</c:v>
                </c:pt>
                <c:pt idx="387" formatCode="0.0">
                  <c:v>0.11698576675849282</c:v>
                </c:pt>
                <c:pt idx="388" formatCode="0.0">
                  <c:v>9.3838383838382999E-2</c:v>
                </c:pt>
                <c:pt idx="389" formatCode="0.0">
                  <c:v>6.971303948576639E-2</c:v>
                </c:pt>
                <c:pt idx="390" formatCode="0.0">
                  <c:v>4.7502295684113675E-2</c:v>
                </c:pt>
                <c:pt idx="391" formatCode="0.0">
                  <c:v>3.2098255280073283E-2</c:v>
                </c:pt>
                <c:pt idx="392" formatCode="0.0">
                  <c:v>2.8769513314968072E-2</c:v>
                </c:pt>
                <c:pt idx="393" formatCode="0.0">
                  <c:v>4.0957300275482472E-2</c:v>
                </c:pt>
                <c:pt idx="394" formatCode="0.0">
                  <c:v>6.7511478420569884E-2</c:v>
                </c:pt>
                <c:pt idx="395" formatCode="0.0">
                  <c:v>0.10011478420569407</c:v>
                </c:pt>
                <c:pt idx="396" formatCode="0.0">
                  <c:v>0.12859504132231481</c:v>
                </c:pt>
                <c:pt idx="397" formatCode="0.0">
                  <c:v>0.14596189164371057</c:v>
                </c:pt>
                <c:pt idx="398" formatCode="0.0">
                  <c:v>0.15139807162534505</c:v>
                </c:pt>
                <c:pt idx="399" formatCode="0.0">
                  <c:v>0.14507116620753005</c:v>
                </c:pt>
                <c:pt idx="400" formatCode="0.0">
                  <c:v>0.12780532598714409</c:v>
                </c:pt>
                <c:pt idx="401" formatCode="0.0">
                  <c:v>9.725436179981628E-2</c:v>
                </c:pt>
                <c:pt idx="402" formatCode="0.0">
                  <c:v>5.1547291092745536E-2</c:v>
                </c:pt>
                <c:pt idx="403" formatCode="0.0">
                  <c:v>-1.146694214876056E-2</c:v>
                </c:pt>
                <c:pt idx="404" formatCode="0.0">
                  <c:v>-9.239898989899005E-2</c:v>
                </c:pt>
                <c:pt idx="405" formatCode="0.0">
                  <c:v>-0.18552112029384801</c:v>
                </c:pt>
                <c:pt idx="406" formatCode="0.0">
                  <c:v>-0.28300505050505093</c:v>
                </c:pt>
                <c:pt idx="407" formatCode="0.0">
                  <c:v>-0.3740197428833793</c:v>
                </c:pt>
                <c:pt idx="408" formatCode="0.0">
                  <c:v>-0.45109274563820007</c:v>
                </c:pt>
                <c:pt idx="409" formatCode="0.0">
                  <c:v>-0.51353305785123915</c:v>
                </c:pt>
                <c:pt idx="410" formatCode="0.0">
                  <c:v>-0.5615472910927447</c:v>
                </c:pt>
                <c:pt idx="411" formatCode="0.0">
                  <c:v>-0.59586088154269878</c:v>
                </c:pt>
                <c:pt idx="412" formatCode="0.0">
                  <c:v>-0.6163498622589525</c:v>
                </c:pt>
                <c:pt idx="413" formatCode="0.0">
                  <c:v>-0.62075528007346115</c:v>
                </c:pt>
                <c:pt idx="414" formatCode="0.0">
                  <c:v>-0.60836776859504083</c:v>
                </c:pt>
                <c:pt idx="415" formatCode="0.0">
                  <c:v>-0.57798209366391129</c:v>
                </c:pt>
                <c:pt idx="416" formatCode="0.0">
                  <c:v>-0.5337580348943981</c:v>
                </c:pt>
                <c:pt idx="417" formatCode="0.0">
                  <c:v>-0.48223829201101931</c:v>
                </c:pt>
                <c:pt idx="418" formatCode="0.0">
                  <c:v>-0.42932047750229607</c:v>
                </c:pt>
                <c:pt idx="419" formatCode="0.0">
                  <c:v>-0.37707759412304931</c:v>
                </c:pt>
                <c:pt idx="420" formatCode="0.0">
                  <c:v>-0.3274288337924714</c:v>
                </c:pt>
                <c:pt idx="421" formatCode="0.0">
                  <c:v>-0.27960514233241618</c:v>
                </c:pt>
                <c:pt idx="422" formatCode="0.0">
                  <c:v>-0.23539256198347178</c:v>
                </c:pt>
                <c:pt idx="423" formatCode="0.0">
                  <c:v>-0.19762626262626315</c:v>
                </c:pt>
                <c:pt idx="424" formatCode="0.0">
                  <c:v>-0.16966942148760369</c:v>
                </c:pt>
                <c:pt idx="425" formatCode="0.0">
                  <c:v>-0.15283746556473832</c:v>
                </c:pt>
                <c:pt idx="426" formatCode="0.0">
                  <c:v>-0.14632690541781412</c:v>
                </c:pt>
                <c:pt idx="427" formatCode="0.0">
                  <c:v>-0.14480257116620684</c:v>
                </c:pt>
                <c:pt idx="428" formatCode="0.0">
                  <c:v>-0.14325298438934697</c:v>
                </c:pt>
                <c:pt idx="429" formatCode="0.0">
                  <c:v>-0.14045684113865822</c:v>
                </c:pt>
                <c:pt idx="430" formatCode="0.0">
                  <c:v>-0.13576216712580222</c:v>
                </c:pt>
                <c:pt idx="431" formatCode="0.0">
                  <c:v>-0.12904269972451649</c:v>
                </c:pt>
                <c:pt idx="432" formatCode="0.0">
                  <c:v>-0.12081955922864909</c:v>
                </c:pt>
                <c:pt idx="433" formatCode="0.0">
                  <c:v>-0.10800964187327738</c:v>
                </c:pt>
                <c:pt idx="434" formatCode="0.0">
                  <c:v>-8.8432047750228809E-2</c:v>
                </c:pt>
                <c:pt idx="435" formatCode="0.0">
                  <c:v>-6.2151056014691945E-2</c:v>
                </c:pt>
                <c:pt idx="436" formatCode="0.0">
                  <c:v>-2.8337924701561077E-2</c:v>
                </c:pt>
                <c:pt idx="437" formatCode="0.0">
                  <c:v>1.1962809917354827E-2</c:v>
                </c:pt>
                <c:pt idx="438" formatCode="0.0">
                  <c:v>5.1095041322313121E-2</c:v>
                </c:pt>
                <c:pt idx="439" formatCode="0.0">
                  <c:v>8.6903122130393709E-2</c:v>
                </c:pt>
                <c:pt idx="440" formatCode="0.0">
                  <c:v>0.11897612488521454</c:v>
                </c:pt>
                <c:pt idx="441" formatCode="0.0">
                  <c:v>0.14551193755739061</c:v>
                </c:pt>
                <c:pt idx="442" formatCode="0.0">
                  <c:v>0.16814967860422267</c:v>
                </c:pt>
                <c:pt idx="443" formatCode="0.0">
                  <c:v>0.18593663911845598</c:v>
                </c:pt>
                <c:pt idx="444" formatCode="0.0">
                  <c:v>0.1972520661157012</c:v>
                </c:pt>
                <c:pt idx="445" formatCode="0.0">
                  <c:v>0.20359274563819907</c:v>
                </c:pt>
                <c:pt idx="446" formatCode="0.0">
                  <c:v>0.20371671258034818</c:v>
                </c:pt>
                <c:pt idx="447" formatCode="0.0">
                  <c:v>0.19718549127639984</c:v>
                </c:pt>
                <c:pt idx="448" formatCode="0.0">
                  <c:v>0.18555555555555533</c:v>
                </c:pt>
                <c:pt idx="449" formatCode="0.0">
                  <c:v>0.17360422405876977</c:v>
                </c:pt>
                <c:pt idx="450" formatCode="0.0">
                  <c:v>0.16143250688705263</c:v>
                </c:pt>
                <c:pt idx="451" formatCode="0.0">
                  <c:v>0.15077364554637332</c:v>
                </c:pt>
                <c:pt idx="452" formatCode="0.0">
                  <c:v>0.14159320477502357</c:v>
                </c:pt>
                <c:pt idx="453" formatCode="0.0">
                  <c:v>0.13498852157943117</c:v>
                </c:pt>
                <c:pt idx="454" formatCode="0.0">
                  <c:v>0.13063131313131346</c:v>
                </c:pt>
                <c:pt idx="455" formatCode="0.0">
                  <c:v>0.12608585858585866</c:v>
                </c:pt>
                <c:pt idx="456" formatCode="0.0">
                  <c:v>0.12072314049586762</c:v>
                </c:pt>
                <c:pt idx="457" formatCode="0.0">
                  <c:v>0.11605371900826421</c:v>
                </c:pt>
                <c:pt idx="458" formatCode="0.0">
                  <c:v>0.11107897153351667</c:v>
                </c:pt>
                <c:pt idx="459" formatCode="0.0">
                  <c:v>0.10248393021120221</c:v>
                </c:pt>
                <c:pt idx="460" formatCode="0.0">
                  <c:v>8.8872819100090983E-2</c:v>
                </c:pt>
                <c:pt idx="461" formatCode="0.0">
                  <c:v>6.9400826446280206E-2</c:v>
                </c:pt>
                <c:pt idx="462" formatCode="0.0">
                  <c:v>4.2920110192836702E-2</c:v>
                </c:pt>
                <c:pt idx="463" formatCode="0.0">
                  <c:v>9.1115702479331873E-3</c:v>
                </c:pt>
                <c:pt idx="464" formatCode="0.0">
                  <c:v>-3.2688246097337365E-2</c:v>
                </c:pt>
                <c:pt idx="465" formatCode="0.0">
                  <c:v>-7.9598255280073679E-2</c:v>
                </c:pt>
                <c:pt idx="466" formatCode="0.0">
                  <c:v>-0.12475895316804429</c:v>
                </c:pt>
                <c:pt idx="467" formatCode="0.0">
                  <c:v>-0.16798668503213968</c:v>
                </c:pt>
                <c:pt idx="468" formatCode="0.0">
                  <c:v>-0.20705693296602395</c:v>
                </c:pt>
                <c:pt idx="469" formatCode="0.0">
                  <c:v>-0.23915059687786958</c:v>
                </c:pt>
                <c:pt idx="470" formatCode="0.0">
                  <c:v>-0.26038567493112924</c:v>
                </c:pt>
                <c:pt idx="471" formatCode="0.0">
                  <c:v>-0.26941460055096395</c:v>
                </c:pt>
                <c:pt idx="472" formatCode="0.0">
                  <c:v>-0.26381542699724503</c:v>
                </c:pt>
                <c:pt idx="473" formatCode="0.0">
                  <c:v>-0.24555555555555533</c:v>
                </c:pt>
                <c:pt idx="474" formatCode="0.0">
                  <c:v>-0.21434802571166209</c:v>
                </c:pt>
                <c:pt idx="475" formatCode="0.0">
                  <c:v>-0.1716988062442609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C-4A5D-88EC-7BCA86AE7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(10Hz)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100"/>
        <c:noMultiLvlLbl val="0"/>
      </c:catAx>
      <c:valAx>
        <c:axId val="43578674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Motion Mini @ 10Hz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Existing calculation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motion!$Q$3:$Q$493</c:f>
              <c:numCache>
                <c:formatCode>0.0</c:formatCode>
                <c:ptCount val="491"/>
                <c:pt idx="1">
                  <c:v>0.93055555555555003</c:v>
                </c:pt>
                <c:pt idx="2">
                  <c:v>0.73055555555555429</c:v>
                </c:pt>
                <c:pt idx="3">
                  <c:v>0.81944444444445708</c:v>
                </c:pt>
                <c:pt idx="4">
                  <c:v>0.18055555555555713</c:v>
                </c:pt>
                <c:pt idx="5">
                  <c:v>0.91944444444443718</c:v>
                </c:pt>
                <c:pt idx="6">
                  <c:v>0.19166666666666998</c:v>
                </c:pt>
                <c:pt idx="7">
                  <c:v>0.17777777777777004</c:v>
                </c:pt>
                <c:pt idx="8">
                  <c:v>-0.10833333333332362</c:v>
                </c:pt>
                <c:pt idx="9">
                  <c:v>0.58055555555554861</c:v>
                </c:pt>
                <c:pt idx="10">
                  <c:v>-0.37222222222222712</c:v>
                </c:pt>
                <c:pt idx="11">
                  <c:v>0.21111111111112635</c:v>
                </c:pt>
                <c:pt idx="12">
                  <c:v>0.969444444444445</c:v>
                </c:pt>
                <c:pt idx="13">
                  <c:v>0.59166666666666146</c:v>
                </c:pt>
                <c:pt idx="14">
                  <c:v>0.38888888888887863</c:v>
                </c:pt>
                <c:pt idx="15">
                  <c:v>0.98888888888890136</c:v>
                </c:pt>
                <c:pt idx="16">
                  <c:v>0.73055555555555429</c:v>
                </c:pt>
                <c:pt idx="17">
                  <c:v>0.76111111111110574</c:v>
                </c:pt>
                <c:pt idx="18">
                  <c:v>8.0555555555559266E-2</c:v>
                </c:pt>
                <c:pt idx="19">
                  <c:v>8.888888888888502E-2</c:v>
                </c:pt>
                <c:pt idx="20">
                  <c:v>0.61111111111111782</c:v>
                </c:pt>
                <c:pt idx="21">
                  <c:v>-0.58055555555556637</c:v>
                </c:pt>
                <c:pt idx="22">
                  <c:v>0.4805555555555685</c:v>
                </c:pt>
                <c:pt idx="23">
                  <c:v>0.51944444444444571</c:v>
                </c:pt>
                <c:pt idx="24">
                  <c:v>8.3333333333257542E-3</c:v>
                </c:pt>
                <c:pt idx="25">
                  <c:v>0.89999999999999858</c:v>
                </c:pt>
                <c:pt idx="26">
                  <c:v>0.49166666666666359</c:v>
                </c:pt>
                <c:pt idx="27">
                  <c:v>0.35833333333334494</c:v>
                </c:pt>
                <c:pt idx="28">
                  <c:v>0.94999999999998863</c:v>
                </c:pt>
                <c:pt idx="29">
                  <c:v>0.44166666666667354</c:v>
                </c:pt>
                <c:pt idx="30">
                  <c:v>0.44999999999999929</c:v>
                </c:pt>
                <c:pt idx="31">
                  <c:v>6.9444444444446418E-2</c:v>
                </c:pt>
                <c:pt idx="32">
                  <c:v>-0.68888888888888999</c:v>
                </c:pt>
                <c:pt idx="33">
                  <c:v>-5.0000000000007816E-2</c:v>
                </c:pt>
                <c:pt idx="34">
                  <c:v>0.67777777777777715</c:v>
                </c:pt>
                <c:pt idx="35">
                  <c:v>0.18055555555555713</c:v>
                </c:pt>
                <c:pt idx="36">
                  <c:v>-3.8888888888877204E-2</c:v>
                </c:pt>
                <c:pt idx="37">
                  <c:v>0.78888888888888786</c:v>
                </c:pt>
                <c:pt idx="38">
                  <c:v>0.99166666666665293</c:v>
                </c:pt>
                <c:pt idx="39">
                  <c:v>-6.11111111111029E-2</c:v>
                </c:pt>
                <c:pt idx="40">
                  <c:v>-0.61111111111111782</c:v>
                </c:pt>
                <c:pt idx="41">
                  <c:v>1.2111111111111228</c:v>
                </c:pt>
                <c:pt idx="42">
                  <c:v>0.24999999999998579</c:v>
                </c:pt>
                <c:pt idx="43">
                  <c:v>-1.4999999999999858</c:v>
                </c:pt>
                <c:pt idx="44">
                  <c:v>-0.11944444444445423</c:v>
                </c:pt>
                <c:pt idx="45">
                  <c:v>3.8888888888894968E-2</c:v>
                </c:pt>
                <c:pt idx="46">
                  <c:v>-6.9444444444446418E-2</c:v>
                </c:pt>
                <c:pt idx="47">
                  <c:v>1.7888888888888843</c:v>
                </c:pt>
                <c:pt idx="48">
                  <c:v>-1.0083333333333222</c:v>
                </c:pt>
                <c:pt idx="49">
                  <c:v>-0.81944444444445708</c:v>
                </c:pt>
                <c:pt idx="50">
                  <c:v>0.98888888888890136</c:v>
                </c:pt>
                <c:pt idx="51">
                  <c:v>-0.76111111111112351</c:v>
                </c:pt>
                <c:pt idx="52">
                  <c:v>0.49166666666666359</c:v>
                </c:pt>
                <c:pt idx="53">
                  <c:v>1.2000000000000099</c:v>
                </c:pt>
                <c:pt idx="54">
                  <c:v>0.70000000000000284</c:v>
                </c:pt>
                <c:pt idx="55">
                  <c:v>-1.2694444444444564</c:v>
                </c:pt>
                <c:pt idx="56">
                  <c:v>0.88888888888890349</c:v>
                </c:pt>
                <c:pt idx="57">
                  <c:v>0.31944444444443221</c:v>
                </c:pt>
                <c:pt idx="58">
                  <c:v>-0.65833333333332078</c:v>
                </c:pt>
                <c:pt idx="59">
                  <c:v>-0.25000000000000355</c:v>
                </c:pt>
                <c:pt idx="60">
                  <c:v>-0.2416666666666778</c:v>
                </c:pt>
                <c:pt idx="61">
                  <c:v>-0.59999999999998721</c:v>
                </c:pt>
                <c:pt idx="62">
                  <c:v>-9.9999999999997868E-2</c:v>
                </c:pt>
                <c:pt idx="63">
                  <c:v>-0.36944444444445779</c:v>
                </c:pt>
                <c:pt idx="64">
                  <c:v>0.63055555555555642</c:v>
                </c:pt>
                <c:pt idx="65">
                  <c:v>-6.11111111111029E-2</c:v>
                </c:pt>
                <c:pt idx="66">
                  <c:v>0.56944444444443576</c:v>
                </c:pt>
                <c:pt idx="67">
                  <c:v>0.38055555555555287</c:v>
                </c:pt>
                <c:pt idx="68">
                  <c:v>-0.86944444444442937</c:v>
                </c:pt>
                <c:pt idx="69">
                  <c:v>0.66111111111110787</c:v>
                </c:pt>
                <c:pt idx="70">
                  <c:v>-0.25000000000000355</c:v>
                </c:pt>
                <c:pt idx="71">
                  <c:v>0.66944444444445139</c:v>
                </c:pt>
                <c:pt idx="72">
                  <c:v>-1.1805555555555713</c:v>
                </c:pt>
                <c:pt idx="73">
                  <c:v>-0.79999999999998295</c:v>
                </c:pt>
                <c:pt idx="74">
                  <c:v>-0.11111111111112848</c:v>
                </c:pt>
                <c:pt idx="75">
                  <c:v>-1.0388888888888737</c:v>
                </c:pt>
                <c:pt idx="76">
                  <c:v>-0.35000000000000142</c:v>
                </c:pt>
                <c:pt idx="77">
                  <c:v>0.76111111111110574</c:v>
                </c:pt>
                <c:pt idx="78">
                  <c:v>-0.67222222222222072</c:v>
                </c:pt>
                <c:pt idx="79">
                  <c:v>-1.1694444444444407</c:v>
                </c:pt>
                <c:pt idx="80">
                  <c:v>0.83055555555555216</c:v>
                </c:pt>
                <c:pt idx="81">
                  <c:v>-0.15000000000000568</c:v>
                </c:pt>
                <c:pt idx="82">
                  <c:v>-8.888888888888502E-2</c:v>
                </c:pt>
                <c:pt idx="83">
                  <c:v>-9.1666666666672114E-2</c:v>
                </c:pt>
                <c:pt idx="84">
                  <c:v>-1.3999999999999879</c:v>
                </c:pt>
                <c:pt idx="85">
                  <c:v>0.11111111111111072</c:v>
                </c:pt>
                <c:pt idx="86">
                  <c:v>-0.13055555555556708</c:v>
                </c:pt>
                <c:pt idx="87">
                  <c:v>0.91944444444445494</c:v>
                </c:pt>
                <c:pt idx="88">
                  <c:v>-0.30833333333333712</c:v>
                </c:pt>
                <c:pt idx="89">
                  <c:v>0.56944444444443576</c:v>
                </c:pt>
                <c:pt idx="90">
                  <c:v>0.58888888888889213</c:v>
                </c:pt>
                <c:pt idx="91">
                  <c:v>0.19999999999999574</c:v>
                </c:pt>
                <c:pt idx="92">
                  <c:v>0.96111111111111924</c:v>
                </c:pt>
                <c:pt idx="93">
                  <c:v>-1.9500000000000028</c:v>
                </c:pt>
                <c:pt idx="94">
                  <c:v>0.53888888888888431</c:v>
                </c:pt>
                <c:pt idx="95">
                  <c:v>-0.10833333333332362</c:v>
                </c:pt>
                <c:pt idx="96">
                  <c:v>-0.89166666666667282</c:v>
                </c:pt>
                <c:pt idx="97">
                  <c:v>0.74166666666666714</c:v>
                </c:pt>
                <c:pt idx="98">
                  <c:v>-0.64999999999999503</c:v>
                </c:pt>
                <c:pt idx="99">
                  <c:v>1.2694444444444386</c:v>
                </c:pt>
                <c:pt idx="100">
                  <c:v>1.1000000000000121</c:v>
                </c:pt>
                <c:pt idx="101">
                  <c:v>-0.16111111111111853</c:v>
                </c:pt>
                <c:pt idx="102">
                  <c:v>0.41111111111110432</c:v>
                </c:pt>
                <c:pt idx="103">
                  <c:v>0.43888888888890421</c:v>
                </c:pt>
                <c:pt idx="104">
                  <c:v>-0.15000000000000568</c:v>
                </c:pt>
                <c:pt idx="105">
                  <c:v>1.899999999999995</c:v>
                </c:pt>
                <c:pt idx="106">
                  <c:v>-0.54999999999999716</c:v>
                </c:pt>
                <c:pt idx="107">
                  <c:v>-0.2194444444444521</c:v>
                </c:pt>
                <c:pt idx="108">
                  <c:v>0.80000000000000071</c:v>
                </c:pt>
                <c:pt idx="109">
                  <c:v>-0.38888888888887863</c:v>
                </c:pt>
                <c:pt idx="110">
                  <c:v>0.60833333333333073</c:v>
                </c:pt>
                <c:pt idx="111">
                  <c:v>-0.50833333333333286</c:v>
                </c:pt>
                <c:pt idx="112">
                  <c:v>4.9999999999990052E-2</c:v>
                </c:pt>
                <c:pt idx="113">
                  <c:v>1.2083333333333357</c:v>
                </c:pt>
                <c:pt idx="114">
                  <c:v>0.46111111111111214</c:v>
                </c:pt>
                <c:pt idx="115">
                  <c:v>-0.44166666666665577</c:v>
                </c:pt>
                <c:pt idx="116">
                  <c:v>0.94166666666666288</c:v>
                </c:pt>
                <c:pt idx="117">
                  <c:v>2.3000000000000043</c:v>
                </c:pt>
                <c:pt idx="118">
                  <c:v>-1.8611111111111178</c:v>
                </c:pt>
                <c:pt idx="119">
                  <c:v>0.64166666666666927</c:v>
                </c:pt>
                <c:pt idx="120">
                  <c:v>-0.34166666666667567</c:v>
                </c:pt>
                <c:pt idx="121">
                  <c:v>0.83055555555556992</c:v>
                </c:pt>
                <c:pt idx="122">
                  <c:v>-0.76944444444444926</c:v>
                </c:pt>
                <c:pt idx="123">
                  <c:v>1.2888888888888772</c:v>
                </c:pt>
                <c:pt idx="124">
                  <c:v>-0.23888888888887294</c:v>
                </c:pt>
                <c:pt idx="125">
                  <c:v>1.1305555555555458</c:v>
                </c:pt>
                <c:pt idx="126">
                  <c:v>-9.9999999999997868E-2</c:v>
                </c:pt>
                <c:pt idx="127">
                  <c:v>-0.22222222222222143</c:v>
                </c:pt>
                <c:pt idx="128">
                  <c:v>0.79166666666667496</c:v>
                </c:pt>
                <c:pt idx="129">
                  <c:v>0.33888888888888857</c:v>
                </c:pt>
                <c:pt idx="130">
                  <c:v>-3.0555555555569214E-2</c:v>
                </c:pt>
                <c:pt idx="131">
                  <c:v>0.99999999999999645</c:v>
                </c:pt>
                <c:pt idx="132">
                  <c:v>1.5000000000000036</c:v>
                </c:pt>
                <c:pt idx="133">
                  <c:v>1.5722222222222193</c:v>
                </c:pt>
                <c:pt idx="134">
                  <c:v>1.8083333333333407</c:v>
                </c:pt>
                <c:pt idx="135">
                  <c:v>-2.0888888888888957</c:v>
                </c:pt>
                <c:pt idx="136">
                  <c:v>-0.21944444444443434</c:v>
                </c:pt>
                <c:pt idx="137">
                  <c:v>-1.4722222222222214</c:v>
                </c:pt>
                <c:pt idx="138">
                  <c:v>0.39999999999999147</c:v>
                </c:pt>
                <c:pt idx="139">
                  <c:v>-0.7277777777777672</c:v>
                </c:pt>
                <c:pt idx="140">
                  <c:v>-0.84166666666666501</c:v>
                </c:pt>
                <c:pt idx="141">
                  <c:v>-0.70833333333334636</c:v>
                </c:pt>
                <c:pt idx="142">
                  <c:v>-0.57222222222222285</c:v>
                </c:pt>
                <c:pt idx="143">
                  <c:v>1.0222222222222221</c:v>
                </c:pt>
                <c:pt idx="144">
                  <c:v>0.11944444444445423</c:v>
                </c:pt>
                <c:pt idx="145">
                  <c:v>-1.7305555555555507</c:v>
                </c:pt>
                <c:pt idx="146">
                  <c:v>-0.38888888888889639</c:v>
                </c:pt>
                <c:pt idx="147">
                  <c:v>1.4499999999999957</c:v>
                </c:pt>
                <c:pt idx="148">
                  <c:v>-0.19166666666666998</c:v>
                </c:pt>
                <c:pt idx="149">
                  <c:v>1.0305555555555657</c:v>
                </c:pt>
                <c:pt idx="150">
                  <c:v>0.71944444444444144</c:v>
                </c:pt>
                <c:pt idx="151">
                  <c:v>0.11944444444443647</c:v>
                </c:pt>
                <c:pt idx="152">
                  <c:v>-0.32777777777777573</c:v>
                </c:pt>
                <c:pt idx="153">
                  <c:v>-0.97222222222221433</c:v>
                </c:pt>
                <c:pt idx="154">
                  <c:v>1.4722222222222214</c:v>
                </c:pt>
                <c:pt idx="155">
                  <c:v>-1.2916666666666643</c:v>
                </c:pt>
                <c:pt idx="156">
                  <c:v>-0.20833333333333925</c:v>
                </c:pt>
                <c:pt idx="157">
                  <c:v>0.25000000000000355</c:v>
                </c:pt>
                <c:pt idx="158">
                  <c:v>1.3888888888888928</c:v>
                </c:pt>
                <c:pt idx="159">
                  <c:v>0.46944444444443789</c:v>
                </c:pt>
                <c:pt idx="160">
                  <c:v>8.0555555555559266E-2</c:v>
                </c:pt>
                <c:pt idx="161">
                  <c:v>1.2305555555555614</c:v>
                </c:pt>
                <c:pt idx="162">
                  <c:v>-0.84166666666668277</c:v>
                </c:pt>
                <c:pt idx="163">
                  <c:v>0.83055555555556992</c:v>
                </c:pt>
                <c:pt idx="164">
                  <c:v>0.73055555555555429</c:v>
                </c:pt>
                <c:pt idx="165">
                  <c:v>-1.6500000000000092</c:v>
                </c:pt>
                <c:pt idx="166">
                  <c:v>-0.38888888888887863</c:v>
                </c:pt>
                <c:pt idx="167">
                  <c:v>-0.2416666666666778</c:v>
                </c:pt>
                <c:pt idx="168">
                  <c:v>0.34166666666667567</c:v>
                </c:pt>
                <c:pt idx="169">
                  <c:v>-9.9999999999997868E-2</c:v>
                </c:pt>
                <c:pt idx="170">
                  <c:v>-1.6111111111111143</c:v>
                </c:pt>
                <c:pt idx="171">
                  <c:v>0.21111111111110858</c:v>
                </c:pt>
                <c:pt idx="172">
                  <c:v>-7.2222222222215748E-2</c:v>
                </c:pt>
                <c:pt idx="173">
                  <c:v>2.0500000000000007</c:v>
                </c:pt>
                <c:pt idx="174">
                  <c:v>0.86111111111110361</c:v>
                </c:pt>
                <c:pt idx="175">
                  <c:v>6.9444444444446418E-2</c:v>
                </c:pt>
                <c:pt idx="176">
                  <c:v>-2.3694444444444507</c:v>
                </c:pt>
                <c:pt idx="177">
                  <c:v>0.280555555555555</c:v>
                </c:pt>
                <c:pt idx="178">
                  <c:v>-0.43055555555554292</c:v>
                </c:pt>
                <c:pt idx="179">
                  <c:v>9.9999999999997868E-2</c:v>
                </c:pt>
                <c:pt idx="180">
                  <c:v>1.1111111111111072</c:v>
                </c:pt>
                <c:pt idx="181">
                  <c:v>3.8888888888894968E-2</c:v>
                </c:pt>
                <c:pt idx="182">
                  <c:v>1.4194444444444443</c:v>
                </c:pt>
                <c:pt idx="183">
                  <c:v>0.11111111111111072</c:v>
                </c:pt>
                <c:pt idx="184">
                  <c:v>1.6000000000000014</c:v>
                </c:pt>
                <c:pt idx="185">
                  <c:v>0.31944444444443221</c:v>
                </c:pt>
                <c:pt idx="186">
                  <c:v>-2.8805555555555529</c:v>
                </c:pt>
                <c:pt idx="187">
                  <c:v>-0.63055555555555642</c:v>
                </c:pt>
                <c:pt idx="188">
                  <c:v>2.8805555555555529</c:v>
                </c:pt>
                <c:pt idx="189">
                  <c:v>0.49166666666666359</c:v>
                </c:pt>
                <c:pt idx="190">
                  <c:v>-0.61111111111110006</c:v>
                </c:pt>
                <c:pt idx="191">
                  <c:v>-3.01111111111112</c:v>
                </c:pt>
                <c:pt idx="192">
                  <c:v>-2.6694444444444443</c:v>
                </c:pt>
                <c:pt idx="193">
                  <c:v>1.161111111111115</c:v>
                </c:pt>
                <c:pt idx="194">
                  <c:v>0.88055555555555998</c:v>
                </c:pt>
                <c:pt idx="195">
                  <c:v>-0.5222222222222328</c:v>
                </c:pt>
                <c:pt idx="196">
                  <c:v>-0.75833333333331865</c:v>
                </c:pt>
                <c:pt idx="197">
                  <c:v>-1.3916666666666799</c:v>
                </c:pt>
                <c:pt idx="198">
                  <c:v>-1.8083333333333229</c:v>
                </c:pt>
                <c:pt idx="199">
                  <c:v>-1.2000000000000099</c:v>
                </c:pt>
                <c:pt idx="200">
                  <c:v>-1.0499999999999865</c:v>
                </c:pt>
                <c:pt idx="201">
                  <c:v>0.19999999999999574</c:v>
                </c:pt>
                <c:pt idx="202">
                  <c:v>-0.30000000000001137</c:v>
                </c:pt>
                <c:pt idx="203">
                  <c:v>-2.8999999999999915</c:v>
                </c:pt>
                <c:pt idx="204">
                  <c:v>-0.969444444444445</c:v>
                </c:pt>
                <c:pt idx="205">
                  <c:v>2.0694444444444393</c:v>
                </c:pt>
                <c:pt idx="206">
                  <c:v>-0.41111111111110432</c:v>
                </c:pt>
                <c:pt idx="207">
                  <c:v>-0.88055555555555998</c:v>
                </c:pt>
                <c:pt idx="208">
                  <c:v>0.19166666666666998</c:v>
                </c:pt>
                <c:pt idx="209">
                  <c:v>0.23055555555554719</c:v>
                </c:pt>
                <c:pt idx="210">
                  <c:v>-1.3305555555555415</c:v>
                </c:pt>
                <c:pt idx="211">
                  <c:v>-1.9444444444456366E-2</c:v>
                </c:pt>
                <c:pt idx="212">
                  <c:v>0.20833333333333925</c:v>
                </c:pt>
                <c:pt idx="213">
                  <c:v>1.0416666666666607</c:v>
                </c:pt>
                <c:pt idx="214">
                  <c:v>-1.4305555555555571</c:v>
                </c:pt>
                <c:pt idx="215">
                  <c:v>-0.94166666666666288</c:v>
                </c:pt>
                <c:pt idx="216">
                  <c:v>0.27222222222222925</c:v>
                </c:pt>
                <c:pt idx="217">
                  <c:v>0.51944444444444571</c:v>
                </c:pt>
                <c:pt idx="218">
                  <c:v>-1.3916666666666799</c:v>
                </c:pt>
                <c:pt idx="219">
                  <c:v>-1.5194444444444422</c:v>
                </c:pt>
                <c:pt idx="220">
                  <c:v>-2.0500000000000007</c:v>
                </c:pt>
                <c:pt idx="221">
                  <c:v>-8.888888888888502E-2</c:v>
                </c:pt>
                <c:pt idx="222">
                  <c:v>-1.4499999999999957</c:v>
                </c:pt>
                <c:pt idx="223">
                  <c:v>-0.40000000000000924</c:v>
                </c:pt>
                <c:pt idx="224">
                  <c:v>1.6388888888888964</c:v>
                </c:pt>
                <c:pt idx="225">
                  <c:v>-0.73055555555555429</c:v>
                </c:pt>
                <c:pt idx="226">
                  <c:v>-0.95833333333333215</c:v>
                </c:pt>
                <c:pt idx="227">
                  <c:v>-0.51944444444444571</c:v>
                </c:pt>
                <c:pt idx="228">
                  <c:v>-1.6000000000000014</c:v>
                </c:pt>
                <c:pt idx="229">
                  <c:v>-0.78055555555556211</c:v>
                </c:pt>
                <c:pt idx="230">
                  <c:v>-0.48055555555555074</c:v>
                </c:pt>
                <c:pt idx="231">
                  <c:v>-1.7694444444444457</c:v>
                </c:pt>
                <c:pt idx="232">
                  <c:v>-0.11944444444443647</c:v>
                </c:pt>
                <c:pt idx="233">
                  <c:v>0.22777777777777786</c:v>
                </c:pt>
                <c:pt idx="234">
                  <c:v>-1.6888888888888864</c:v>
                </c:pt>
                <c:pt idx="235">
                  <c:v>1.2694444444444386</c:v>
                </c:pt>
                <c:pt idx="236">
                  <c:v>-3.055555555555145E-2</c:v>
                </c:pt>
                <c:pt idx="237">
                  <c:v>-0.75000000000001066</c:v>
                </c:pt>
                <c:pt idx="238">
                  <c:v>-8.3333333333257542E-3</c:v>
                </c:pt>
                <c:pt idx="239">
                  <c:v>-0.89999999999999858</c:v>
                </c:pt>
                <c:pt idx="240">
                  <c:v>-0.94166666666666288</c:v>
                </c:pt>
                <c:pt idx="241">
                  <c:v>1.4305555555555394</c:v>
                </c:pt>
                <c:pt idx="242">
                  <c:v>-1.3083333333333158</c:v>
                </c:pt>
                <c:pt idx="243">
                  <c:v>0.19999999999999574</c:v>
                </c:pt>
                <c:pt idx="244">
                  <c:v>0.20833333333332149</c:v>
                </c:pt>
                <c:pt idx="245">
                  <c:v>-1.2999999999999901</c:v>
                </c:pt>
                <c:pt idx="246">
                  <c:v>0.66944444444443363</c:v>
                </c:pt>
                <c:pt idx="247">
                  <c:v>-0.36944444444444002</c:v>
                </c:pt>
                <c:pt idx="248">
                  <c:v>-1.0083333333333222</c:v>
                </c:pt>
                <c:pt idx="249">
                  <c:v>-0.13055555555556708</c:v>
                </c:pt>
                <c:pt idx="250">
                  <c:v>-0.51111111111110219</c:v>
                </c:pt>
                <c:pt idx="251">
                  <c:v>-1.8888888888888999</c:v>
                </c:pt>
                <c:pt idx="252">
                  <c:v>0.93888888888889355</c:v>
                </c:pt>
                <c:pt idx="253">
                  <c:v>-3.8083333333333336</c:v>
                </c:pt>
                <c:pt idx="254">
                  <c:v>-0.49999999999998934</c:v>
                </c:pt>
                <c:pt idx="255">
                  <c:v>-1.0305555555555657</c:v>
                </c:pt>
                <c:pt idx="256">
                  <c:v>2.3888888888888893</c:v>
                </c:pt>
                <c:pt idx="257">
                  <c:v>-2.7083333333333393</c:v>
                </c:pt>
                <c:pt idx="258">
                  <c:v>0.31944444444444997</c:v>
                </c:pt>
                <c:pt idx="259">
                  <c:v>-0.98055555555555785</c:v>
                </c:pt>
                <c:pt idx="260">
                  <c:v>-1.9111111111111079</c:v>
                </c:pt>
                <c:pt idx="261">
                  <c:v>-1.05833333333333</c:v>
                </c:pt>
                <c:pt idx="262">
                  <c:v>2.6805555555555571</c:v>
                </c:pt>
                <c:pt idx="263">
                  <c:v>-4.63055555555556</c:v>
                </c:pt>
                <c:pt idx="264">
                  <c:v>-0.18055555555555713</c:v>
                </c:pt>
                <c:pt idx="265">
                  <c:v>2.5611111111111207</c:v>
                </c:pt>
                <c:pt idx="266">
                  <c:v>0.85833333333331652</c:v>
                </c:pt>
                <c:pt idx="267">
                  <c:v>-2.0194444444444315</c:v>
                </c:pt>
                <c:pt idx="268">
                  <c:v>-3.8694444444444542</c:v>
                </c:pt>
                <c:pt idx="269">
                  <c:v>-5.1416666666666622</c:v>
                </c:pt>
                <c:pt idx="270">
                  <c:v>11.241666666666674</c:v>
                </c:pt>
                <c:pt idx="271">
                  <c:v>8.3333333333257542E-3</c:v>
                </c:pt>
                <c:pt idx="272">
                  <c:v>9.9999999999997868E-2</c:v>
                </c:pt>
                <c:pt idx="273">
                  <c:v>-5.36944444444444</c:v>
                </c:pt>
                <c:pt idx="274">
                  <c:v>-1.4083333333333314</c:v>
                </c:pt>
                <c:pt idx="275">
                  <c:v>7.7777777777772172E-2</c:v>
                </c:pt>
                <c:pt idx="276">
                  <c:v>2.1499999999999986</c:v>
                </c:pt>
                <c:pt idx="277">
                  <c:v>1.6999999999999993</c:v>
                </c:pt>
                <c:pt idx="278">
                  <c:v>-1.2194444444444485</c:v>
                </c:pt>
                <c:pt idx="279">
                  <c:v>-1.2083333333333179</c:v>
                </c:pt>
                <c:pt idx="280">
                  <c:v>1.8083333333333229</c:v>
                </c:pt>
                <c:pt idx="281">
                  <c:v>0.91111111111112919</c:v>
                </c:pt>
                <c:pt idx="282">
                  <c:v>1.1083333333333378</c:v>
                </c:pt>
                <c:pt idx="283">
                  <c:v>-2.6500000000000234</c:v>
                </c:pt>
                <c:pt idx="284">
                  <c:v>1.0416666666666785</c:v>
                </c:pt>
                <c:pt idx="285">
                  <c:v>-0.91944444444445494</c:v>
                </c:pt>
                <c:pt idx="286">
                  <c:v>-2.8611111111111143</c:v>
                </c:pt>
                <c:pt idx="287">
                  <c:v>-1.8305555555555486</c:v>
                </c:pt>
                <c:pt idx="288">
                  <c:v>0.16111111111111853</c:v>
                </c:pt>
                <c:pt idx="289">
                  <c:v>-0.94166666666668064</c:v>
                </c:pt>
                <c:pt idx="290">
                  <c:v>-0.55833333333332291</c:v>
                </c:pt>
                <c:pt idx="291">
                  <c:v>1.4194444444444443</c:v>
                </c:pt>
                <c:pt idx="292">
                  <c:v>0.36944444444444002</c:v>
                </c:pt>
                <c:pt idx="293">
                  <c:v>0.16944444444444429</c:v>
                </c:pt>
                <c:pt idx="294">
                  <c:v>2.0500000000000007</c:v>
                </c:pt>
                <c:pt idx="295">
                  <c:v>6.0305555555555479</c:v>
                </c:pt>
                <c:pt idx="296">
                  <c:v>-1.1305555555555458</c:v>
                </c:pt>
                <c:pt idx="297">
                  <c:v>-4.3083333333333407</c:v>
                </c:pt>
                <c:pt idx="298">
                  <c:v>1.2083333333333357</c:v>
                </c:pt>
                <c:pt idx="299">
                  <c:v>2.1722222222222065</c:v>
                </c:pt>
                <c:pt idx="300">
                  <c:v>0.67777777777777715</c:v>
                </c:pt>
                <c:pt idx="301">
                  <c:v>1.8222222222222406</c:v>
                </c:pt>
                <c:pt idx="302">
                  <c:v>1.0888888888888815</c:v>
                </c:pt>
                <c:pt idx="303">
                  <c:v>0.11111111111111072</c:v>
                </c:pt>
                <c:pt idx="304">
                  <c:v>1.4694444444444521</c:v>
                </c:pt>
                <c:pt idx="305">
                  <c:v>1.8083333333333407</c:v>
                </c:pt>
                <c:pt idx="306">
                  <c:v>-1.0583333333333478</c:v>
                </c:pt>
                <c:pt idx="307">
                  <c:v>-2.6499999999999879</c:v>
                </c:pt>
                <c:pt idx="308">
                  <c:v>3.2694444444444315</c:v>
                </c:pt>
                <c:pt idx="309">
                  <c:v>2.1694444444444549</c:v>
                </c:pt>
                <c:pt idx="310">
                  <c:v>0.81111111111111356</c:v>
                </c:pt>
                <c:pt idx="311">
                  <c:v>1.6999999999999993</c:v>
                </c:pt>
                <c:pt idx="312">
                  <c:v>0.94999999999998863</c:v>
                </c:pt>
                <c:pt idx="313">
                  <c:v>2.1805555555555678</c:v>
                </c:pt>
                <c:pt idx="314">
                  <c:v>4.3777777777777693</c:v>
                </c:pt>
                <c:pt idx="315">
                  <c:v>-5.833333333333357E-2</c:v>
                </c:pt>
                <c:pt idx="316">
                  <c:v>-2.18055555555555</c:v>
                </c:pt>
                <c:pt idx="317">
                  <c:v>-1.8805555555555564</c:v>
                </c:pt>
                <c:pt idx="318">
                  <c:v>-0.80000000000000071</c:v>
                </c:pt>
                <c:pt idx="319">
                  <c:v>-0.969444444444445</c:v>
                </c:pt>
                <c:pt idx="320">
                  <c:v>8.0555555555559266E-2</c:v>
                </c:pt>
                <c:pt idx="321">
                  <c:v>-0.86111111111112137</c:v>
                </c:pt>
                <c:pt idx="322">
                  <c:v>1.1194444444444507</c:v>
                </c:pt>
                <c:pt idx="323">
                  <c:v>2.5111111111111128</c:v>
                </c:pt>
                <c:pt idx="324">
                  <c:v>0.91111111111111143</c:v>
                </c:pt>
                <c:pt idx="325">
                  <c:v>1.4194444444444443</c:v>
                </c:pt>
                <c:pt idx="326">
                  <c:v>0.56944444444443576</c:v>
                </c:pt>
                <c:pt idx="327">
                  <c:v>-1.1694444444444407</c:v>
                </c:pt>
                <c:pt idx="328">
                  <c:v>-0.16944444444444429</c:v>
                </c:pt>
                <c:pt idx="329">
                  <c:v>2.8777777777777835</c:v>
                </c:pt>
                <c:pt idx="330">
                  <c:v>0.67222222222222072</c:v>
                </c:pt>
                <c:pt idx="331">
                  <c:v>-1.2305555555555614</c:v>
                </c:pt>
                <c:pt idx="332">
                  <c:v>1.1583333333333456</c:v>
                </c:pt>
                <c:pt idx="333">
                  <c:v>1.4111111111111008</c:v>
                </c:pt>
                <c:pt idx="334">
                  <c:v>1.0388888888888914</c:v>
                </c:pt>
                <c:pt idx="335">
                  <c:v>1.5722222222222193</c:v>
                </c:pt>
                <c:pt idx="336">
                  <c:v>-0.11111111111111072</c:v>
                </c:pt>
                <c:pt idx="337">
                  <c:v>1.899999999999995</c:v>
                </c:pt>
                <c:pt idx="338">
                  <c:v>0.50000000000000711</c:v>
                </c:pt>
                <c:pt idx="339">
                  <c:v>-0.23055555555554719</c:v>
                </c:pt>
                <c:pt idx="340">
                  <c:v>-0.75000000000001066</c:v>
                </c:pt>
                <c:pt idx="341">
                  <c:v>0.13055555555556708</c:v>
                </c:pt>
                <c:pt idx="342">
                  <c:v>-1.0194444444444528</c:v>
                </c:pt>
                <c:pt idx="343">
                  <c:v>-1.7416666666666636</c:v>
                </c:pt>
                <c:pt idx="344">
                  <c:v>2.3805555555555458</c:v>
                </c:pt>
                <c:pt idx="345">
                  <c:v>-0.53888888888888431</c:v>
                </c:pt>
                <c:pt idx="346">
                  <c:v>-0.969444444444445</c:v>
                </c:pt>
                <c:pt idx="347">
                  <c:v>0.25000000000000355</c:v>
                </c:pt>
                <c:pt idx="348">
                  <c:v>1.9083333333333385</c:v>
                </c:pt>
                <c:pt idx="349">
                  <c:v>-0.2194444444444521</c:v>
                </c:pt>
                <c:pt idx="350">
                  <c:v>-0.2388888888888907</c:v>
                </c:pt>
                <c:pt idx="351">
                  <c:v>1.288888888888895</c:v>
                </c:pt>
                <c:pt idx="352">
                  <c:v>0.33055555555554506</c:v>
                </c:pt>
                <c:pt idx="353">
                  <c:v>-0.68055555555554648</c:v>
                </c:pt>
                <c:pt idx="354">
                  <c:v>0.53055555555555856</c:v>
                </c:pt>
                <c:pt idx="355">
                  <c:v>1.4583333333333215</c:v>
                </c:pt>
                <c:pt idx="356">
                  <c:v>2.1805555555555678</c:v>
                </c:pt>
                <c:pt idx="357">
                  <c:v>2.6499999999999879</c:v>
                </c:pt>
                <c:pt idx="358">
                  <c:v>-1.1999999999999922</c:v>
                </c:pt>
                <c:pt idx="359">
                  <c:v>-2.2000000000000064</c:v>
                </c:pt>
                <c:pt idx="360">
                  <c:v>-4.6999999999999886</c:v>
                </c:pt>
                <c:pt idx="361">
                  <c:v>-2.13055555555556</c:v>
                </c:pt>
                <c:pt idx="362">
                  <c:v>0.3416666666666579</c:v>
                </c:pt>
                <c:pt idx="363">
                  <c:v>0.88888888888890349</c:v>
                </c:pt>
                <c:pt idx="364">
                  <c:v>6.11111111111029E-2</c:v>
                </c:pt>
                <c:pt idx="365">
                  <c:v>0.16944444444444429</c:v>
                </c:pt>
                <c:pt idx="366">
                  <c:v>1.6388888888888964</c:v>
                </c:pt>
                <c:pt idx="367">
                  <c:v>0.37222222222220935</c:v>
                </c:pt>
                <c:pt idx="368">
                  <c:v>0.25833333333334707</c:v>
                </c:pt>
                <c:pt idx="369">
                  <c:v>-0.2000000000000135</c:v>
                </c:pt>
                <c:pt idx="370">
                  <c:v>-1.6305555555555529</c:v>
                </c:pt>
                <c:pt idx="371">
                  <c:v>-1.6694444444444478</c:v>
                </c:pt>
                <c:pt idx="372">
                  <c:v>0.65000000000001279</c:v>
                </c:pt>
                <c:pt idx="373">
                  <c:v>0.59999999999998721</c:v>
                </c:pt>
                <c:pt idx="374">
                  <c:v>2.4611111111111228</c:v>
                </c:pt>
                <c:pt idx="375">
                  <c:v>0.46944444444443789</c:v>
                </c:pt>
                <c:pt idx="376">
                  <c:v>-2.5611111111111029</c:v>
                </c:pt>
                <c:pt idx="377">
                  <c:v>-1.5388888888888985</c:v>
                </c:pt>
                <c:pt idx="378">
                  <c:v>0.61944444444444358</c:v>
                </c:pt>
                <c:pt idx="379">
                  <c:v>0.29166666666666785</c:v>
                </c:pt>
                <c:pt idx="380">
                  <c:v>-0.94166666666666288</c:v>
                </c:pt>
                <c:pt idx="381">
                  <c:v>0</c:v>
                </c:pt>
                <c:pt idx="382">
                  <c:v>0.73055555555555429</c:v>
                </c:pt>
                <c:pt idx="383">
                  <c:v>0.81944444444443931</c:v>
                </c:pt>
                <c:pt idx="384">
                  <c:v>0.11944444444445423</c:v>
                </c:pt>
                <c:pt idx="385">
                  <c:v>2.2416666666666707</c:v>
                </c:pt>
                <c:pt idx="386">
                  <c:v>2.1499999999999986</c:v>
                </c:pt>
                <c:pt idx="387">
                  <c:v>-0.50000000000000711</c:v>
                </c:pt>
                <c:pt idx="388">
                  <c:v>-1.2305555555555614</c:v>
                </c:pt>
                <c:pt idx="389">
                  <c:v>0.38888888888889639</c:v>
                </c:pt>
                <c:pt idx="390">
                  <c:v>-1.6083333333333272</c:v>
                </c:pt>
                <c:pt idx="391">
                  <c:v>0.53055555555554079</c:v>
                </c:pt>
                <c:pt idx="392">
                  <c:v>0.50000000000000711</c:v>
                </c:pt>
                <c:pt idx="393">
                  <c:v>5.0000000000007816E-2</c:v>
                </c:pt>
                <c:pt idx="394">
                  <c:v>-0.29166666666666785</c:v>
                </c:pt>
                <c:pt idx="395">
                  <c:v>-2.908333333333335</c:v>
                </c:pt>
                <c:pt idx="396">
                  <c:v>4.9999999999990052E-2</c:v>
                </c:pt>
                <c:pt idx="397">
                  <c:v>-0.47222222222222499</c:v>
                </c:pt>
                <c:pt idx="398">
                  <c:v>-2.1499999999999986</c:v>
                </c:pt>
                <c:pt idx="399">
                  <c:v>3.4305555555555678</c:v>
                </c:pt>
                <c:pt idx="400">
                  <c:v>2.9194444444444478</c:v>
                </c:pt>
                <c:pt idx="401">
                  <c:v>2.4305555555555536</c:v>
                </c:pt>
                <c:pt idx="402">
                  <c:v>1.8416666666666615</c:v>
                </c:pt>
                <c:pt idx="403">
                  <c:v>-0.22222222222222143</c:v>
                </c:pt>
                <c:pt idx="404">
                  <c:v>-0.95000000000000639</c:v>
                </c:pt>
                <c:pt idx="405">
                  <c:v>-0.44999999999999929</c:v>
                </c:pt>
                <c:pt idx="406">
                  <c:v>-1.98888888888888</c:v>
                </c:pt>
                <c:pt idx="407">
                  <c:v>-6.9444444444446418E-2</c:v>
                </c:pt>
                <c:pt idx="408">
                  <c:v>-2.6416666666666622</c:v>
                </c:pt>
                <c:pt idx="409">
                  <c:v>-0.83888888888889568</c:v>
                </c:pt>
                <c:pt idx="410">
                  <c:v>0.78888888888888786</c:v>
                </c:pt>
                <c:pt idx="411">
                  <c:v>-0.91944444444443718</c:v>
                </c:pt>
                <c:pt idx="412">
                  <c:v>-2.1499999999999986</c:v>
                </c:pt>
                <c:pt idx="413">
                  <c:v>0.94166666666666288</c:v>
                </c:pt>
                <c:pt idx="414">
                  <c:v>-1.0611111111111171</c:v>
                </c:pt>
                <c:pt idx="415">
                  <c:v>0</c:v>
                </c:pt>
                <c:pt idx="416">
                  <c:v>0.50000000000000711</c:v>
                </c:pt>
                <c:pt idx="417">
                  <c:v>-1.2611111111111128</c:v>
                </c:pt>
                <c:pt idx="418">
                  <c:v>-2.3388888888888992</c:v>
                </c:pt>
                <c:pt idx="419">
                  <c:v>-2.588888888888885</c:v>
                </c:pt>
                <c:pt idx="420">
                  <c:v>9.9999999999997868E-2</c:v>
                </c:pt>
                <c:pt idx="421">
                  <c:v>1.25</c:v>
                </c:pt>
                <c:pt idx="422">
                  <c:v>-0.27222222222221149</c:v>
                </c:pt>
                <c:pt idx="423">
                  <c:v>9.9999999999997868E-2</c:v>
                </c:pt>
                <c:pt idx="424">
                  <c:v>0.76111111111110574</c:v>
                </c:pt>
                <c:pt idx="425">
                  <c:v>-0.19999999999999574</c:v>
                </c:pt>
                <c:pt idx="426">
                  <c:v>1.1805555555555536</c:v>
                </c:pt>
                <c:pt idx="427">
                  <c:v>1.4083333333333314</c:v>
                </c:pt>
                <c:pt idx="428">
                  <c:v>5.0000000000007816E-2</c:v>
                </c:pt>
                <c:pt idx="429">
                  <c:v>-1.5277777777777857</c:v>
                </c:pt>
                <c:pt idx="430">
                  <c:v>-1.4499999999999957</c:v>
                </c:pt>
                <c:pt idx="431">
                  <c:v>-0.89166666666667282</c:v>
                </c:pt>
                <c:pt idx="432">
                  <c:v>-1.7194444444444379</c:v>
                </c:pt>
                <c:pt idx="433">
                  <c:v>6.9444444444446418E-2</c:v>
                </c:pt>
                <c:pt idx="434">
                  <c:v>0.56111111111111001</c:v>
                </c:pt>
                <c:pt idx="435">
                  <c:v>-4.1666666666664298E-2</c:v>
                </c:pt>
                <c:pt idx="436">
                  <c:v>1.8222222222222229</c:v>
                </c:pt>
                <c:pt idx="437">
                  <c:v>0.15833333333333144</c:v>
                </c:pt>
                <c:pt idx="438">
                  <c:v>-0.53055555555555856</c:v>
                </c:pt>
                <c:pt idx="439">
                  <c:v>0.37222222222222712</c:v>
                </c:pt>
                <c:pt idx="440">
                  <c:v>-1.2222222222222356</c:v>
                </c:pt>
                <c:pt idx="441">
                  <c:v>-1.2694444444444386</c:v>
                </c:pt>
                <c:pt idx="442">
                  <c:v>1.1416666666666586</c:v>
                </c:pt>
                <c:pt idx="443">
                  <c:v>1.0694444444444606</c:v>
                </c:pt>
                <c:pt idx="444">
                  <c:v>9.9999999999997868E-2</c:v>
                </c:pt>
                <c:pt idx="445">
                  <c:v>1.1888888888888793</c:v>
                </c:pt>
                <c:pt idx="446">
                  <c:v>0.46944444444445566</c:v>
                </c:pt>
                <c:pt idx="447">
                  <c:v>1.0111111111111093</c:v>
                </c:pt>
                <c:pt idx="448">
                  <c:v>1.9444444444438602E-2</c:v>
                </c:pt>
                <c:pt idx="449">
                  <c:v>-0.81944444444443931</c:v>
                </c:pt>
                <c:pt idx="450">
                  <c:v>0.11111111111111072</c:v>
                </c:pt>
                <c:pt idx="451">
                  <c:v>-0.87222222222223422</c:v>
                </c:pt>
                <c:pt idx="452">
                  <c:v>0.67222222222223849</c:v>
                </c:pt>
                <c:pt idx="453">
                  <c:v>-0.33055555555556282</c:v>
                </c:pt>
                <c:pt idx="454">
                  <c:v>0.93888888888889355</c:v>
                </c:pt>
                <c:pt idx="455">
                  <c:v>-0.2000000000000135</c:v>
                </c:pt>
                <c:pt idx="456">
                  <c:v>0.95000000000000639</c:v>
                </c:pt>
                <c:pt idx="457">
                  <c:v>0.13055555555554932</c:v>
                </c:pt>
                <c:pt idx="458">
                  <c:v>-6.9444444444428655E-2</c:v>
                </c:pt>
                <c:pt idx="459">
                  <c:v>-0.43055555555556069</c:v>
                </c:pt>
                <c:pt idx="460">
                  <c:v>0.11944444444443647</c:v>
                </c:pt>
                <c:pt idx="461">
                  <c:v>-1.6083333333333272</c:v>
                </c:pt>
                <c:pt idx="462">
                  <c:v>0.7083333333333286</c:v>
                </c:pt>
                <c:pt idx="463">
                  <c:v>0.99166666666667069</c:v>
                </c:pt>
                <c:pt idx="464">
                  <c:v>1.05833333333333</c:v>
                </c:pt>
                <c:pt idx="465">
                  <c:v>0.60000000000000497</c:v>
                </c:pt>
                <c:pt idx="466">
                  <c:v>0.73055555555555429</c:v>
                </c:pt>
                <c:pt idx="467">
                  <c:v>-0.18055555555555713</c:v>
                </c:pt>
                <c:pt idx="468">
                  <c:v>0.85000000000000853</c:v>
                </c:pt>
                <c:pt idx="469">
                  <c:v>-1.8583333333333485</c:v>
                </c:pt>
                <c:pt idx="470">
                  <c:v>-2.5999999999999979</c:v>
                </c:pt>
                <c:pt idx="471">
                  <c:v>-1.161111111111115</c:v>
                </c:pt>
                <c:pt idx="472">
                  <c:v>-0.26944444444444215</c:v>
                </c:pt>
                <c:pt idx="473">
                  <c:v>-0.54166666666665364</c:v>
                </c:pt>
                <c:pt idx="474">
                  <c:v>0.16111111111110077</c:v>
                </c:pt>
                <c:pt idx="475">
                  <c:v>0.54999999999999716</c:v>
                </c:pt>
                <c:pt idx="476">
                  <c:v>0.46944444444445566</c:v>
                </c:pt>
                <c:pt idx="477">
                  <c:v>-0.61944444444444358</c:v>
                </c:pt>
                <c:pt idx="478">
                  <c:v>-0.63888888888889994</c:v>
                </c:pt>
                <c:pt idx="479">
                  <c:v>5.833333333333357E-2</c:v>
                </c:pt>
                <c:pt idx="480">
                  <c:v>-1.8805555555555564</c:v>
                </c:pt>
                <c:pt idx="481">
                  <c:v>1.3111111111111207</c:v>
                </c:pt>
                <c:pt idx="482">
                  <c:v>0.83888888888887791</c:v>
                </c:pt>
                <c:pt idx="483">
                  <c:v>0.93055555555556779</c:v>
                </c:pt>
                <c:pt idx="484">
                  <c:v>0.46944444444443789</c:v>
                </c:pt>
                <c:pt idx="485">
                  <c:v>2.13055555555556</c:v>
                </c:pt>
                <c:pt idx="486">
                  <c:v>1.8805555555555564</c:v>
                </c:pt>
                <c:pt idx="487">
                  <c:v>0.9888888888888836</c:v>
                </c:pt>
                <c:pt idx="488">
                  <c:v>-3.6777777777777843</c:v>
                </c:pt>
                <c:pt idx="489">
                  <c:v>-2.2611111111111093</c:v>
                </c:pt>
                <c:pt idx="490">
                  <c:v>-0.78888888888888786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2-4BFB-9AE0-3243702DD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(10Hz)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100"/>
        <c:noMultiLvlLbl val="0"/>
      </c:catAx>
      <c:valAx>
        <c:axId val="43578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GW-60 @ 5Hz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Modified calculation + averaging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'gw-60'!$W$3:$W$248</c:f>
              <c:numCache>
                <c:formatCode>0.000</c:formatCode>
                <c:ptCount val="246"/>
                <c:pt idx="9">
                  <c:v>0.467959183673469</c:v>
                </c:pt>
                <c:pt idx="10">
                  <c:v>0.46857142857142797</c:v>
                </c:pt>
                <c:pt idx="11">
                  <c:v>0.45612244897959109</c:v>
                </c:pt>
                <c:pt idx="12">
                  <c:v>0.4346938775510199</c:v>
                </c:pt>
                <c:pt idx="13">
                  <c:v>0.40306122448979587</c:v>
                </c:pt>
                <c:pt idx="14">
                  <c:v>0.36979591836734677</c:v>
                </c:pt>
                <c:pt idx="15">
                  <c:v>0.32857142857142818</c:v>
                </c:pt>
                <c:pt idx="16">
                  <c:v>0.26714285714285702</c:v>
                </c:pt>
                <c:pt idx="17">
                  <c:v>0.21102040816326553</c:v>
                </c:pt>
                <c:pt idx="18">
                  <c:v>0.16714285714285765</c:v>
                </c:pt>
                <c:pt idx="19">
                  <c:v>0.14387755102040881</c:v>
                </c:pt>
                <c:pt idx="20">
                  <c:v>0.1255102040816336</c:v>
                </c:pt>
                <c:pt idx="21">
                  <c:v>0.10408163265306238</c:v>
                </c:pt>
                <c:pt idx="22">
                  <c:v>9.10204081632663E-2</c:v>
                </c:pt>
                <c:pt idx="23">
                  <c:v>0.10244897959183723</c:v>
                </c:pt>
                <c:pt idx="24">
                  <c:v>0.11285714285714299</c:v>
                </c:pt>
                <c:pt idx="25">
                  <c:v>0.11448979591836762</c:v>
                </c:pt>
                <c:pt idx="26">
                  <c:v>9.7755102040816569E-2</c:v>
                </c:pt>
                <c:pt idx="27">
                  <c:v>8.0408163265305782E-2</c:v>
                </c:pt>
                <c:pt idx="28">
                  <c:v>7.0408163265305496E-2</c:v>
                </c:pt>
                <c:pt idx="29">
                  <c:v>5.2040816326530556E-2</c:v>
                </c:pt>
                <c:pt idx="30">
                  <c:v>2.102040816326551E-2</c:v>
                </c:pt>
                <c:pt idx="31">
                  <c:v>-1.5510204081632903E-2</c:v>
                </c:pt>
                <c:pt idx="32">
                  <c:v>-5.1836734693878332E-2</c:v>
                </c:pt>
                <c:pt idx="33">
                  <c:v>-8.1224489795918994E-2</c:v>
                </c:pt>
                <c:pt idx="34">
                  <c:v>-0.10122448979591832</c:v>
                </c:pt>
                <c:pt idx="35">
                  <c:v>-0.12224489795918357</c:v>
                </c:pt>
                <c:pt idx="36">
                  <c:v>-0.13755102040816322</c:v>
                </c:pt>
                <c:pt idx="37">
                  <c:v>-0.1540816326530608</c:v>
                </c:pt>
                <c:pt idx="38">
                  <c:v>-0.15938775510203992</c:v>
                </c:pt>
                <c:pt idx="39">
                  <c:v>-0.15510204081632548</c:v>
                </c:pt>
                <c:pt idx="40">
                  <c:v>-0.14816326530612173</c:v>
                </c:pt>
                <c:pt idx="41">
                  <c:v>-0.14530612244897917</c:v>
                </c:pt>
                <c:pt idx="42">
                  <c:v>-0.13571428571428562</c:v>
                </c:pt>
                <c:pt idx="43">
                  <c:v>-0.11285714285714299</c:v>
                </c:pt>
                <c:pt idx="44">
                  <c:v>-6.6530612244898535E-2</c:v>
                </c:pt>
                <c:pt idx="45">
                  <c:v>-1.4285714285714997E-2</c:v>
                </c:pt>
                <c:pt idx="46">
                  <c:v>3.3673469387754604E-2</c:v>
                </c:pt>
                <c:pt idx="47">
                  <c:v>8.1428571428570962E-2</c:v>
                </c:pt>
                <c:pt idx="48">
                  <c:v>0.13102040816326518</c:v>
                </c:pt>
                <c:pt idx="49">
                  <c:v>0.18122448979591813</c:v>
                </c:pt>
                <c:pt idx="50">
                  <c:v>0.22612244897959169</c:v>
                </c:pt>
                <c:pt idx="51">
                  <c:v>0.25795918367346943</c:v>
                </c:pt>
                <c:pt idx="52">
                  <c:v>0.27816326530612251</c:v>
                </c:pt>
                <c:pt idx="53">
                  <c:v>0.30795918367346914</c:v>
                </c:pt>
                <c:pt idx="54">
                  <c:v>0.34346938775510133</c:v>
                </c:pt>
                <c:pt idx="55">
                  <c:v>0.37755102040816269</c:v>
                </c:pt>
                <c:pt idx="56">
                  <c:v>0.39346938775510182</c:v>
                </c:pt>
                <c:pt idx="57">
                  <c:v>0.39816326530612195</c:v>
                </c:pt>
                <c:pt idx="58">
                  <c:v>0.4128571428571422</c:v>
                </c:pt>
                <c:pt idx="59">
                  <c:v>0.43122448979591788</c:v>
                </c:pt>
                <c:pt idx="60">
                  <c:v>0.43</c:v>
                </c:pt>
                <c:pt idx="61">
                  <c:v>0.40693877551020413</c:v>
                </c:pt>
                <c:pt idx="62">
                  <c:v>0.36346938775510168</c:v>
                </c:pt>
                <c:pt idx="63">
                  <c:v>0.31999999999999978</c:v>
                </c:pt>
                <c:pt idx="64">
                  <c:v>0.25755102040816319</c:v>
                </c:pt>
                <c:pt idx="65">
                  <c:v>0.15857142857142875</c:v>
                </c:pt>
                <c:pt idx="66">
                  <c:v>5.5102040816327094E-2</c:v>
                </c:pt>
                <c:pt idx="67">
                  <c:v>-2.1836734693877195E-2</c:v>
                </c:pt>
                <c:pt idx="68">
                  <c:v>-6.3265306122448503E-2</c:v>
                </c:pt>
                <c:pt idx="69">
                  <c:v>-7.4081632653060475E-2</c:v>
                </c:pt>
                <c:pt idx="70">
                  <c:v>-6.1632653061224119E-2</c:v>
                </c:pt>
                <c:pt idx="71">
                  <c:v>-6.9387755102037528E-3</c:v>
                </c:pt>
                <c:pt idx="72">
                  <c:v>8.0204081632653051E-2</c:v>
                </c:pt>
                <c:pt idx="73">
                  <c:v>0.15857142857142822</c:v>
                </c:pt>
                <c:pt idx="74">
                  <c:v>0.20836734693877521</c:v>
                </c:pt>
                <c:pt idx="75">
                  <c:v>0.23081632653061185</c:v>
                </c:pt>
                <c:pt idx="76">
                  <c:v>0.23183673469387728</c:v>
                </c:pt>
                <c:pt idx="77">
                  <c:v>0.19877551020408188</c:v>
                </c:pt>
                <c:pt idx="78">
                  <c:v>0.13959183673469383</c:v>
                </c:pt>
                <c:pt idx="79">
                  <c:v>6.3061224489796272E-2</c:v>
                </c:pt>
                <c:pt idx="80">
                  <c:v>-5.510204081632354E-3</c:v>
                </c:pt>
                <c:pt idx="81">
                  <c:v>-6.5714285714285323E-2</c:v>
                </c:pt>
                <c:pt idx="82">
                  <c:v>-0.11040816326530541</c:v>
                </c:pt>
                <c:pt idx="83">
                  <c:v>-0.1216326530612241</c:v>
                </c:pt>
                <c:pt idx="84">
                  <c:v>-9.8775510204081235E-2</c:v>
                </c:pt>
                <c:pt idx="85">
                  <c:v>-5.5918367346938017E-2</c:v>
                </c:pt>
                <c:pt idx="86">
                  <c:v>1.5918367346939379E-2</c:v>
                </c:pt>
                <c:pt idx="87">
                  <c:v>9.2448979591837441E-2</c:v>
                </c:pt>
                <c:pt idx="88">
                  <c:v>0.16244897959183721</c:v>
                </c:pt>
                <c:pt idx="89">
                  <c:v>0.20306122448979608</c:v>
                </c:pt>
                <c:pt idx="90">
                  <c:v>0.19530612244897963</c:v>
                </c:pt>
                <c:pt idx="91">
                  <c:v>0.16102040816326482</c:v>
                </c:pt>
                <c:pt idx="92">
                  <c:v>7.2857142857142315E-2</c:v>
                </c:pt>
                <c:pt idx="93">
                  <c:v>-7.0204081632653778E-2</c:v>
                </c:pt>
                <c:pt idx="94">
                  <c:v>-0.21979591836734791</c:v>
                </c:pt>
                <c:pt idx="95">
                  <c:v>-0.36959183673469476</c:v>
                </c:pt>
                <c:pt idx="96">
                  <c:v>-0.50938775510204137</c:v>
                </c:pt>
                <c:pt idx="97">
                  <c:v>-0.6308163265306127</c:v>
                </c:pt>
                <c:pt idx="98">
                  <c:v>-0.72714285714285709</c:v>
                </c:pt>
                <c:pt idx="99">
                  <c:v>-0.75489795918367342</c:v>
                </c:pt>
                <c:pt idx="100">
                  <c:v>-0.74755102040816312</c:v>
                </c:pt>
                <c:pt idx="101">
                  <c:v>-0.73918367346938774</c:v>
                </c:pt>
                <c:pt idx="102">
                  <c:v>-0.71387755102040829</c:v>
                </c:pt>
                <c:pt idx="103">
                  <c:v>-0.67326530612244917</c:v>
                </c:pt>
                <c:pt idx="104">
                  <c:v>-0.62469387755102068</c:v>
                </c:pt>
                <c:pt idx="105">
                  <c:v>-0.59857142857142875</c:v>
                </c:pt>
                <c:pt idx="106">
                  <c:v>-0.6106122448979594</c:v>
                </c:pt>
                <c:pt idx="107">
                  <c:v>-0.61632653061224452</c:v>
                </c:pt>
                <c:pt idx="108">
                  <c:v>-0.6195918367346932</c:v>
                </c:pt>
                <c:pt idx="109">
                  <c:v>-0.63163265306122363</c:v>
                </c:pt>
                <c:pt idx="110">
                  <c:v>-0.65469387755101949</c:v>
                </c:pt>
                <c:pt idx="111">
                  <c:v>-0.68612244897959129</c:v>
                </c:pt>
                <c:pt idx="112">
                  <c:v>-0.70428571428571374</c:v>
                </c:pt>
                <c:pt idx="113">
                  <c:v>-0.7097959183673469</c:v>
                </c:pt>
                <c:pt idx="114">
                  <c:v>-0.71551020408163324</c:v>
                </c:pt>
                <c:pt idx="115">
                  <c:v>-0.71408163265306179</c:v>
                </c:pt>
                <c:pt idx="116">
                  <c:v>-0.69816326530612349</c:v>
                </c:pt>
                <c:pt idx="117">
                  <c:v>-0.65795918367347028</c:v>
                </c:pt>
                <c:pt idx="118">
                  <c:v>-0.60163265306122526</c:v>
                </c:pt>
                <c:pt idx="119">
                  <c:v>-0.54612244897959272</c:v>
                </c:pt>
                <c:pt idx="120">
                  <c:v>-0.4938775510204087</c:v>
                </c:pt>
                <c:pt idx="121">
                  <c:v>-0.45000000000000029</c:v>
                </c:pt>
                <c:pt idx="122">
                  <c:v>-0.40693877551020435</c:v>
                </c:pt>
                <c:pt idx="123">
                  <c:v>-0.39163265306122469</c:v>
                </c:pt>
                <c:pt idx="124">
                  <c:v>-0.41387755102040835</c:v>
                </c:pt>
                <c:pt idx="125">
                  <c:v>-0.45244897959183661</c:v>
                </c:pt>
                <c:pt idx="126">
                  <c:v>-0.49510204081632636</c:v>
                </c:pt>
                <c:pt idx="127">
                  <c:v>-0.5434693877551019</c:v>
                </c:pt>
                <c:pt idx="128">
                  <c:v>-0.60571428571428554</c:v>
                </c:pt>
                <c:pt idx="129">
                  <c:v>-0.66204081632653022</c:v>
                </c:pt>
                <c:pt idx="130">
                  <c:v>-0.66795918367346885</c:v>
                </c:pt>
                <c:pt idx="131">
                  <c:v>-0.62591836734693851</c:v>
                </c:pt>
                <c:pt idx="132">
                  <c:v>-0.56326530612244896</c:v>
                </c:pt>
                <c:pt idx="133">
                  <c:v>-0.48306122448979594</c:v>
                </c:pt>
                <c:pt idx="134">
                  <c:v>-0.3771428571428575</c:v>
                </c:pt>
                <c:pt idx="135">
                  <c:v>-0.24918367346938833</c:v>
                </c:pt>
                <c:pt idx="136">
                  <c:v>-0.14816326530612325</c:v>
                </c:pt>
                <c:pt idx="137">
                  <c:v>-0.10163265306122504</c:v>
                </c:pt>
                <c:pt idx="138">
                  <c:v>-9.0612244897959313E-2</c:v>
                </c:pt>
                <c:pt idx="139">
                  <c:v>-8.8979591836734942E-2</c:v>
                </c:pt>
                <c:pt idx="140">
                  <c:v>-0.10163265306122453</c:v>
                </c:pt>
                <c:pt idx="141">
                  <c:v>-0.11469387755101985</c:v>
                </c:pt>
                <c:pt idx="142">
                  <c:v>-0.10775510204081559</c:v>
                </c:pt>
                <c:pt idx="143">
                  <c:v>-5.7142857142856433E-2</c:v>
                </c:pt>
                <c:pt idx="144">
                  <c:v>4.1224489795919084E-2</c:v>
                </c:pt>
                <c:pt idx="145">
                  <c:v>0.16510204081632729</c:v>
                </c:pt>
                <c:pt idx="146">
                  <c:v>0.30816326530612365</c:v>
                </c:pt>
                <c:pt idx="147">
                  <c:v>0.46775510204081705</c:v>
                </c:pt>
                <c:pt idx="148">
                  <c:v>0.61510204081632713</c:v>
                </c:pt>
                <c:pt idx="149">
                  <c:v>0.73795918367347013</c:v>
                </c:pt>
                <c:pt idx="150">
                  <c:v>0.82938775510204166</c:v>
                </c:pt>
                <c:pt idx="151">
                  <c:v>0.88571428571428612</c:v>
                </c:pt>
                <c:pt idx="152">
                  <c:v>0.9169387755102042</c:v>
                </c:pt>
                <c:pt idx="153">
                  <c:v>0.90551020408163241</c:v>
                </c:pt>
                <c:pt idx="154">
                  <c:v>0.8622448979591838</c:v>
                </c:pt>
                <c:pt idx="155">
                  <c:v>0.79530612244897925</c:v>
                </c:pt>
                <c:pt idx="156">
                  <c:v>0.71897959183673399</c:v>
                </c:pt>
                <c:pt idx="157">
                  <c:v>0.64387755102040756</c:v>
                </c:pt>
                <c:pt idx="158">
                  <c:v>0.57142857142857117</c:v>
                </c:pt>
                <c:pt idx="159">
                  <c:v>0.5077551020408162</c:v>
                </c:pt>
                <c:pt idx="160">
                  <c:v>0.47204081632653022</c:v>
                </c:pt>
                <c:pt idx="161">
                  <c:v>0.46775510204081577</c:v>
                </c:pt>
                <c:pt idx="162">
                  <c:v>0.49020408163265244</c:v>
                </c:pt>
                <c:pt idx="163">
                  <c:v>0.51918367346938743</c:v>
                </c:pt>
                <c:pt idx="164">
                  <c:v>0.54938775510204019</c:v>
                </c:pt>
                <c:pt idx="165">
                  <c:v>0.57755102040816253</c:v>
                </c:pt>
                <c:pt idx="166">
                  <c:v>0.59244897959183596</c:v>
                </c:pt>
                <c:pt idx="167">
                  <c:v>0.58367346938775455</c:v>
                </c:pt>
                <c:pt idx="168">
                  <c:v>0.54020408163265288</c:v>
                </c:pt>
                <c:pt idx="169">
                  <c:v>0.47265306122448997</c:v>
                </c:pt>
                <c:pt idx="170">
                  <c:v>0.39938775510204066</c:v>
                </c:pt>
                <c:pt idx="171">
                  <c:v>0.32040816326530652</c:v>
                </c:pt>
                <c:pt idx="172">
                  <c:v>0.2465306122448985</c:v>
                </c:pt>
                <c:pt idx="173">
                  <c:v>0.18000000000000074</c:v>
                </c:pt>
                <c:pt idx="174">
                  <c:v>0.12285714285714354</c:v>
                </c:pt>
                <c:pt idx="175">
                  <c:v>8.7551020408163788E-2</c:v>
                </c:pt>
                <c:pt idx="176">
                  <c:v>6.591836734693958E-2</c:v>
                </c:pt>
                <c:pt idx="177">
                  <c:v>4.9183673469388518E-2</c:v>
                </c:pt>
                <c:pt idx="178">
                  <c:v>3.5714285714285712E-2</c:v>
                </c:pt>
                <c:pt idx="179">
                  <c:v>2.346938775510183E-2</c:v>
                </c:pt>
                <c:pt idx="180">
                  <c:v>2.5102040816326214E-2</c:v>
                </c:pt>
                <c:pt idx="181">
                  <c:v>3.5102040816326251E-2</c:v>
                </c:pt>
                <c:pt idx="182">
                  <c:v>3.7959183673469052E-2</c:v>
                </c:pt>
                <c:pt idx="183">
                  <c:v>3.8775510204081244E-2</c:v>
                </c:pt>
                <c:pt idx="184">
                  <c:v>3.5714285714285969E-2</c:v>
                </c:pt>
                <c:pt idx="185">
                  <c:v>3.632653061224568E-2</c:v>
                </c:pt>
                <c:pt idx="186">
                  <c:v>3.5306122448980758E-2</c:v>
                </c:pt>
                <c:pt idx="187">
                  <c:v>2.244897959183767E-2</c:v>
                </c:pt>
                <c:pt idx="188">
                  <c:v>7.5510204081642284E-3</c:v>
                </c:pt>
                <c:pt idx="189">
                  <c:v>4.8979591836741622E-3</c:v>
                </c:pt>
                <c:pt idx="190">
                  <c:v>1.5102040816326934E-2</c:v>
                </c:pt>
                <c:pt idx="191">
                  <c:v>3.4693877551020283E-2</c:v>
                </c:pt>
                <c:pt idx="192">
                  <c:v>5.2040816326530299E-2</c:v>
                </c:pt>
                <c:pt idx="193">
                  <c:v>7.2448979591835841E-2</c:v>
                </c:pt>
                <c:pt idx="194">
                  <c:v>9.4081632653060562E-2</c:v>
                </c:pt>
                <c:pt idx="195">
                  <c:v>0.10999999999999943</c:v>
                </c:pt>
                <c:pt idx="196">
                  <c:v>0.1126530612244895</c:v>
                </c:pt>
                <c:pt idx="197">
                  <c:v>0.1020408163265305</c:v>
                </c:pt>
                <c:pt idx="198">
                  <c:v>8.2040816326530416E-2</c:v>
                </c:pt>
                <c:pt idx="199">
                  <c:v>5.5306122448979575E-2</c:v>
                </c:pt>
                <c:pt idx="200">
                  <c:v>1.1020408163265469E-2</c:v>
                </c:pt>
                <c:pt idx="201">
                  <c:v>-4.7142857142857153E-2</c:v>
                </c:pt>
                <c:pt idx="202">
                  <c:v>-0.11306122448979597</c:v>
                </c:pt>
                <c:pt idx="203">
                  <c:v>-0.18938775510204106</c:v>
                </c:pt>
                <c:pt idx="204">
                  <c:v>-0.27326530612244937</c:v>
                </c:pt>
                <c:pt idx="205">
                  <c:v>-0.35551020408163275</c:v>
                </c:pt>
                <c:pt idx="206">
                  <c:v>-0.4197959183673477</c:v>
                </c:pt>
                <c:pt idx="207">
                  <c:v>-0.45795918367346999</c:v>
                </c:pt>
                <c:pt idx="208">
                  <c:v>-0.47632653061224545</c:v>
                </c:pt>
                <c:pt idx="209">
                  <c:v>-0.47163265306122504</c:v>
                </c:pt>
                <c:pt idx="210">
                  <c:v>-0.4432653061224493</c:v>
                </c:pt>
                <c:pt idx="211">
                  <c:v>-0.39632653061224488</c:v>
                </c:pt>
                <c:pt idx="212">
                  <c:v>-0.33999999999999958</c:v>
                </c:pt>
                <c:pt idx="213">
                  <c:v>-0.29408163265306037</c:v>
                </c:pt>
                <c:pt idx="214">
                  <c:v>-0.25102040816326493</c:v>
                </c:pt>
                <c:pt idx="215">
                  <c:v>-0.2063265306122446</c:v>
                </c:pt>
                <c:pt idx="216">
                  <c:v>-0.1655102040816325</c:v>
                </c:pt>
                <c:pt idx="217">
                  <c:v>-0.12836734693877563</c:v>
                </c:pt>
                <c:pt idx="218">
                  <c:v>-9.4081632653061575E-2</c:v>
                </c:pt>
                <c:pt idx="219">
                  <c:v>-5.1632653061225345E-2</c:v>
                </c:pt>
                <c:pt idx="220">
                  <c:v>6.9387755102034987E-3</c:v>
                </c:pt>
                <c:pt idx="221">
                  <c:v>6.3265306122448753E-2</c:v>
                </c:pt>
                <c:pt idx="222">
                  <c:v>0.11673469387755096</c:v>
                </c:pt>
                <c:pt idx="223">
                  <c:v>0.16163265306122479</c:v>
                </c:pt>
                <c:pt idx="224">
                  <c:v>0.20142857142857196</c:v>
                </c:pt>
                <c:pt idx="225">
                  <c:v>0.23673469387755169</c:v>
                </c:pt>
                <c:pt idx="226">
                  <c:v>0.24469387755102115</c:v>
                </c:pt>
                <c:pt idx="227">
                  <c:v>0.22653061224489843</c:v>
                </c:pt>
                <c:pt idx="228">
                  <c:v>0.19775510204081645</c:v>
                </c:pt>
                <c:pt idx="229">
                  <c:v>0.16367346938775487</c:v>
                </c:pt>
                <c:pt idx="230">
                  <c:v>0.12816326530612163</c:v>
                </c:pt>
                <c:pt idx="231">
                  <c:v>7.5102040816324891E-2</c:v>
                </c:pt>
                <c:pt idx="232">
                  <c:v>8.9795918367330894E-3</c:v>
                </c:pt>
                <c:pt idx="233">
                  <c:v>-4.9183673469389282E-2</c:v>
                </c:pt>
                <c:pt idx="234">
                  <c:v>-9.9795918367348177E-2</c:v>
                </c:pt>
                <c:pt idx="235">
                  <c:v>-0.14795918367347</c:v>
                </c:pt>
                <c:pt idx="236">
                  <c:v>-0.19959183673469408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0F-40A0-836B-676D0E76C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(5Hz)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50"/>
        <c:noMultiLvlLbl val="0"/>
      </c:catAx>
      <c:valAx>
        <c:axId val="435786744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GT-31 @ 1Hz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Existing calculation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'gt-31'!$R$3:$R$52</c:f>
              <c:numCache>
                <c:formatCode>0.0</c:formatCode>
                <c:ptCount val="50"/>
                <c:pt idx="1">
                  <c:v>0.42999999999999972</c:v>
                </c:pt>
                <c:pt idx="2">
                  <c:v>0.41000000000000014</c:v>
                </c:pt>
                <c:pt idx="3">
                  <c:v>0.41999999999999993</c:v>
                </c:pt>
                <c:pt idx="4">
                  <c:v>0.22000000000000064</c:v>
                </c:pt>
                <c:pt idx="5">
                  <c:v>9.9999999999999645E-2</c:v>
                </c:pt>
                <c:pt idx="6">
                  <c:v>2.9999999999999361E-2</c:v>
                </c:pt>
                <c:pt idx="7">
                  <c:v>6.0000000000000497E-2</c:v>
                </c:pt>
                <c:pt idx="8">
                  <c:v>-0.16000000000000014</c:v>
                </c:pt>
                <c:pt idx="9">
                  <c:v>-6.0000000000000497E-2</c:v>
                </c:pt>
                <c:pt idx="10">
                  <c:v>3.0000000000001137E-2</c:v>
                </c:pt>
                <c:pt idx="11">
                  <c:v>8.0000000000000071E-2</c:v>
                </c:pt>
                <c:pt idx="12">
                  <c:v>0.34999999999999964</c:v>
                </c:pt>
                <c:pt idx="13">
                  <c:v>0.25</c:v>
                </c:pt>
                <c:pt idx="14">
                  <c:v>0.40000000000000036</c:v>
                </c:pt>
                <c:pt idx="15">
                  <c:v>-0.20000000000000107</c:v>
                </c:pt>
                <c:pt idx="16">
                  <c:v>0.13000000000000078</c:v>
                </c:pt>
                <c:pt idx="17">
                  <c:v>0.11999999999999922</c:v>
                </c:pt>
                <c:pt idx="18">
                  <c:v>-0.12999999999999901</c:v>
                </c:pt>
                <c:pt idx="19">
                  <c:v>0.37999999999999901</c:v>
                </c:pt>
                <c:pt idx="20">
                  <c:v>-0.59999999999999964</c:v>
                </c:pt>
                <c:pt idx="21">
                  <c:v>-0.75</c:v>
                </c:pt>
                <c:pt idx="22">
                  <c:v>-0.29999999999999893</c:v>
                </c:pt>
                <c:pt idx="23">
                  <c:v>-0.62000000000000099</c:v>
                </c:pt>
                <c:pt idx="24">
                  <c:v>-0.66000000000000014</c:v>
                </c:pt>
                <c:pt idx="25">
                  <c:v>-0.29999999999999893</c:v>
                </c:pt>
                <c:pt idx="26">
                  <c:v>-0.45000000000000107</c:v>
                </c:pt>
                <c:pt idx="27">
                  <c:v>-0.91999999999999993</c:v>
                </c:pt>
                <c:pt idx="28">
                  <c:v>-0.41999999999999993</c:v>
                </c:pt>
                <c:pt idx="29">
                  <c:v>0.12000000000000099</c:v>
                </c:pt>
                <c:pt idx="30">
                  <c:v>0.33999999999999986</c:v>
                </c:pt>
                <c:pt idx="31">
                  <c:v>0.89999999999999858</c:v>
                </c:pt>
                <c:pt idx="32">
                  <c:v>0.77000000000000135</c:v>
                </c:pt>
                <c:pt idx="33">
                  <c:v>0.33000000000000007</c:v>
                </c:pt>
                <c:pt idx="34">
                  <c:v>0.60999999999999943</c:v>
                </c:pt>
                <c:pt idx="35">
                  <c:v>0.20999999999999908</c:v>
                </c:pt>
                <c:pt idx="36">
                  <c:v>0.27000000000000135</c:v>
                </c:pt>
                <c:pt idx="37">
                  <c:v>-0.27000000000000135</c:v>
                </c:pt>
                <c:pt idx="38">
                  <c:v>2.000000000000135E-2</c:v>
                </c:pt>
                <c:pt idx="39">
                  <c:v>8.0000000000000071E-2</c:v>
                </c:pt>
                <c:pt idx="40">
                  <c:v>0</c:v>
                </c:pt>
                <c:pt idx="41">
                  <c:v>0.21999999999999886</c:v>
                </c:pt>
                <c:pt idx="42">
                  <c:v>-0.70999999999999908</c:v>
                </c:pt>
                <c:pt idx="43">
                  <c:v>-0.17999999999999972</c:v>
                </c:pt>
                <c:pt idx="44">
                  <c:v>-0.19000000000000128</c:v>
                </c:pt>
                <c:pt idx="45">
                  <c:v>0.11000000000000121</c:v>
                </c:pt>
                <c:pt idx="46">
                  <c:v>0.22999999999999865</c:v>
                </c:pt>
                <c:pt idx="47">
                  <c:v>5.0000000000000711E-2</c:v>
                </c:pt>
                <c:pt idx="48">
                  <c:v>-0.20999999999999908</c:v>
                </c:pt>
                <c:pt idx="49">
                  <c:v>-7.0000000000000284E-2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CE-43CD-8F8A-CDEF6C072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(1Hz)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10"/>
        <c:noMultiLvlLbl val="0"/>
      </c:catAx>
      <c:valAx>
        <c:axId val="435786744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GT-31 @ 1Hz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Existing calculation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'gt-31'!$R$3:$R$52</c:f>
              <c:numCache>
                <c:formatCode>0.0</c:formatCode>
                <c:ptCount val="50"/>
                <c:pt idx="1">
                  <c:v>0.42999999999999972</c:v>
                </c:pt>
                <c:pt idx="2">
                  <c:v>0.41000000000000014</c:v>
                </c:pt>
                <c:pt idx="3">
                  <c:v>0.41999999999999993</c:v>
                </c:pt>
                <c:pt idx="4">
                  <c:v>0.22000000000000064</c:v>
                </c:pt>
                <c:pt idx="5">
                  <c:v>9.9999999999999645E-2</c:v>
                </c:pt>
                <c:pt idx="6">
                  <c:v>2.9999999999999361E-2</c:v>
                </c:pt>
                <c:pt idx="7">
                  <c:v>6.0000000000000497E-2</c:v>
                </c:pt>
                <c:pt idx="8">
                  <c:v>-0.16000000000000014</c:v>
                </c:pt>
                <c:pt idx="9">
                  <c:v>-6.0000000000000497E-2</c:v>
                </c:pt>
                <c:pt idx="10">
                  <c:v>3.0000000000001137E-2</c:v>
                </c:pt>
                <c:pt idx="11">
                  <c:v>8.0000000000000071E-2</c:v>
                </c:pt>
                <c:pt idx="12">
                  <c:v>0.34999999999999964</c:v>
                </c:pt>
                <c:pt idx="13">
                  <c:v>0.25</c:v>
                </c:pt>
                <c:pt idx="14">
                  <c:v>0.40000000000000036</c:v>
                </c:pt>
                <c:pt idx="15">
                  <c:v>-0.20000000000000107</c:v>
                </c:pt>
                <c:pt idx="16">
                  <c:v>0.13000000000000078</c:v>
                </c:pt>
                <c:pt idx="17">
                  <c:v>0.11999999999999922</c:v>
                </c:pt>
                <c:pt idx="18">
                  <c:v>-0.12999999999999901</c:v>
                </c:pt>
                <c:pt idx="19">
                  <c:v>0.37999999999999901</c:v>
                </c:pt>
                <c:pt idx="20">
                  <c:v>-0.59999999999999964</c:v>
                </c:pt>
                <c:pt idx="21">
                  <c:v>-0.75</c:v>
                </c:pt>
                <c:pt idx="22">
                  <c:v>-0.29999999999999893</c:v>
                </c:pt>
                <c:pt idx="23">
                  <c:v>-0.62000000000000099</c:v>
                </c:pt>
                <c:pt idx="24">
                  <c:v>-0.66000000000000014</c:v>
                </c:pt>
                <c:pt idx="25">
                  <c:v>-0.29999999999999893</c:v>
                </c:pt>
                <c:pt idx="26">
                  <c:v>-0.45000000000000107</c:v>
                </c:pt>
                <c:pt idx="27">
                  <c:v>-0.91999999999999993</c:v>
                </c:pt>
                <c:pt idx="28">
                  <c:v>-0.41999999999999993</c:v>
                </c:pt>
                <c:pt idx="29">
                  <c:v>0.12000000000000099</c:v>
                </c:pt>
                <c:pt idx="30">
                  <c:v>0.33999999999999986</c:v>
                </c:pt>
                <c:pt idx="31">
                  <c:v>0.89999999999999858</c:v>
                </c:pt>
                <c:pt idx="32">
                  <c:v>0.77000000000000135</c:v>
                </c:pt>
                <c:pt idx="33">
                  <c:v>0.33000000000000007</c:v>
                </c:pt>
                <c:pt idx="34">
                  <c:v>0.60999999999999943</c:v>
                </c:pt>
                <c:pt idx="35">
                  <c:v>0.20999999999999908</c:v>
                </c:pt>
                <c:pt idx="36">
                  <c:v>0.27000000000000135</c:v>
                </c:pt>
                <c:pt idx="37">
                  <c:v>-0.27000000000000135</c:v>
                </c:pt>
                <c:pt idx="38">
                  <c:v>2.000000000000135E-2</c:v>
                </c:pt>
                <c:pt idx="39">
                  <c:v>8.0000000000000071E-2</c:v>
                </c:pt>
                <c:pt idx="40">
                  <c:v>0</c:v>
                </c:pt>
                <c:pt idx="41">
                  <c:v>0.21999999999999886</c:v>
                </c:pt>
                <c:pt idx="42">
                  <c:v>-0.70999999999999908</c:v>
                </c:pt>
                <c:pt idx="43">
                  <c:v>-0.17999999999999972</c:v>
                </c:pt>
                <c:pt idx="44">
                  <c:v>-0.19000000000000128</c:v>
                </c:pt>
                <c:pt idx="45">
                  <c:v>0.11000000000000121</c:v>
                </c:pt>
                <c:pt idx="46">
                  <c:v>0.22999999999999865</c:v>
                </c:pt>
                <c:pt idx="47">
                  <c:v>5.0000000000000711E-2</c:v>
                </c:pt>
                <c:pt idx="48">
                  <c:v>-0.20999999999999908</c:v>
                </c:pt>
                <c:pt idx="49">
                  <c:v>-7.0000000000000284E-2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0-4985-8CA5-9BD38EE71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(1Hz)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10"/>
        <c:noMultiLvlLbl val="0"/>
      </c:catAx>
      <c:valAx>
        <c:axId val="435786744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GW-60 @ 5Hz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Existing calculation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'gw-60'!$Q$3:$Q$248</c:f>
              <c:numCache>
                <c:formatCode>0.0</c:formatCode>
                <c:ptCount val="246"/>
                <c:pt idx="1">
                  <c:v>2.0000000000000107</c:v>
                </c:pt>
                <c:pt idx="2">
                  <c:v>1.899999999999995</c:v>
                </c:pt>
                <c:pt idx="3">
                  <c:v>-0.19999999999999574</c:v>
                </c:pt>
                <c:pt idx="4">
                  <c:v>0.49999999999998934</c:v>
                </c:pt>
                <c:pt idx="5">
                  <c:v>-0.99999999999999645</c:v>
                </c:pt>
                <c:pt idx="6">
                  <c:v>1.2000000000000099</c:v>
                </c:pt>
                <c:pt idx="7">
                  <c:v>2.4000000000000021</c:v>
                </c:pt>
                <c:pt idx="8">
                  <c:v>1.4999999999999858</c:v>
                </c:pt>
                <c:pt idx="9">
                  <c:v>9.9999999999997868E-2</c:v>
                </c:pt>
                <c:pt idx="10">
                  <c:v>-1.0999999999999943</c:v>
                </c:pt>
                <c:pt idx="11">
                  <c:v>0.99999999999999645</c:v>
                </c:pt>
                <c:pt idx="12">
                  <c:v>0.70000000000000284</c:v>
                </c:pt>
                <c:pt idx="13">
                  <c:v>4.1000000000000014</c:v>
                </c:pt>
                <c:pt idx="14">
                  <c:v>-0.80000000000000071</c:v>
                </c:pt>
                <c:pt idx="15">
                  <c:v>1.5000000000000036</c:v>
                </c:pt>
                <c:pt idx="16">
                  <c:v>-2.5</c:v>
                </c:pt>
                <c:pt idx="17">
                  <c:v>0.70000000000000284</c:v>
                </c:pt>
                <c:pt idx="18">
                  <c:v>3.2000000000000028</c:v>
                </c:pt>
                <c:pt idx="19">
                  <c:v>-0.30000000000001137</c:v>
                </c:pt>
                <c:pt idx="20">
                  <c:v>-0.80000000000000071</c:v>
                </c:pt>
                <c:pt idx="21">
                  <c:v>-1.5000000000000036</c:v>
                </c:pt>
                <c:pt idx="22">
                  <c:v>0.10000000000001563</c:v>
                </c:pt>
                <c:pt idx="23">
                  <c:v>1.7999999999999972</c:v>
                </c:pt>
                <c:pt idx="24">
                  <c:v>1.0999999999999943</c:v>
                </c:pt>
                <c:pt idx="25">
                  <c:v>-3.3000000000000007</c:v>
                </c:pt>
                <c:pt idx="26">
                  <c:v>3.3999999999999986</c:v>
                </c:pt>
                <c:pt idx="27">
                  <c:v>0.19999999999999574</c:v>
                </c:pt>
                <c:pt idx="28">
                  <c:v>0.50000000000000711</c:v>
                </c:pt>
                <c:pt idx="29">
                  <c:v>-2.0999999999999908</c:v>
                </c:pt>
                <c:pt idx="30">
                  <c:v>0.79999999999998295</c:v>
                </c:pt>
                <c:pt idx="31">
                  <c:v>-1.5999999999999837</c:v>
                </c:pt>
                <c:pt idx="32">
                  <c:v>2.7999999999999936</c:v>
                </c:pt>
                <c:pt idx="33">
                  <c:v>0.50000000000000711</c:v>
                </c:pt>
                <c:pt idx="34">
                  <c:v>9.9999999999997868E-2</c:v>
                </c:pt>
                <c:pt idx="35">
                  <c:v>-3.0000000000000071</c:v>
                </c:pt>
                <c:pt idx="36">
                  <c:v>-0.89999999999999858</c:v>
                </c:pt>
                <c:pt idx="37">
                  <c:v>0.60000000000000497</c:v>
                </c:pt>
                <c:pt idx="38">
                  <c:v>0.59999999999998721</c:v>
                </c:pt>
                <c:pt idx="39">
                  <c:v>0.2000000000000135</c:v>
                </c:pt>
                <c:pt idx="40">
                  <c:v>0</c:v>
                </c:pt>
                <c:pt idx="41">
                  <c:v>-2.7000000000000135</c:v>
                </c:pt>
                <c:pt idx="42">
                  <c:v>0.2000000000000135</c:v>
                </c:pt>
                <c:pt idx="43">
                  <c:v>2.2999999999999865</c:v>
                </c:pt>
                <c:pt idx="44">
                  <c:v>0.2000000000000135</c:v>
                </c:pt>
                <c:pt idx="45">
                  <c:v>-2.5999999999999979</c:v>
                </c:pt>
                <c:pt idx="46">
                  <c:v>-3.4000000000000163</c:v>
                </c:pt>
                <c:pt idx="47">
                  <c:v>2.9000000000000092</c:v>
                </c:pt>
                <c:pt idx="48">
                  <c:v>0.39999999999999147</c:v>
                </c:pt>
                <c:pt idx="49">
                  <c:v>2.0000000000000107</c:v>
                </c:pt>
                <c:pt idx="50">
                  <c:v>1.9999999999999929</c:v>
                </c:pt>
                <c:pt idx="51">
                  <c:v>-0.29999999999999361</c:v>
                </c:pt>
                <c:pt idx="52">
                  <c:v>-3.5999999999999943</c:v>
                </c:pt>
                <c:pt idx="53">
                  <c:v>1.3999999999999879</c:v>
                </c:pt>
                <c:pt idx="54">
                  <c:v>3.100000000000005</c:v>
                </c:pt>
                <c:pt idx="55">
                  <c:v>-2.9000000000000092</c:v>
                </c:pt>
                <c:pt idx="56">
                  <c:v>2.3000000000000043</c:v>
                </c:pt>
                <c:pt idx="57">
                  <c:v>2.5999999999999979</c:v>
                </c:pt>
                <c:pt idx="58">
                  <c:v>0.80000000000000071</c:v>
                </c:pt>
                <c:pt idx="59">
                  <c:v>0.89999999999999858</c:v>
                </c:pt>
                <c:pt idx="60">
                  <c:v>-0.29999999999999361</c:v>
                </c:pt>
                <c:pt idx="61">
                  <c:v>-2.4000000000000021</c:v>
                </c:pt>
                <c:pt idx="62">
                  <c:v>2.6999999999999957</c:v>
                </c:pt>
                <c:pt idx="63">
                  <c:v>1.6000000000000014</c:v>
                </c:pt>
                <c:pt idx="64">
                  <c:v>1.3000000000000078</c:v>
                </c:pt>
                <c:pt idx="65">
                  <c:v>-0.80000000000000071</c:v>
                </c:pt>
                <c:pt idx="66">
                  <c:v>2.3000000000000043</c:v>
                </c:pt>
                <c:pt idx="67">
                  <c:v>2.6999999999999957</c:v>
                </c:pt>
                <c:pt idx="68">
                  <c:v>-2.1000000000000085</c:v>
                </c:pt>
                <c:pt idx="69">
                  <c:v>-4.1000000000000014</c:v>
                </c:pt>
                <c:pt idx="70">
                  <c:v>-2.0999999999999908</c:v>
                </c:pt>
                <c:pt idx="71">
                  <c:v>-1.9999999999999929</c:v>
                </c:pt>
                <c:pt idx="72">
                  <c:v>4.4999999999999929</c:v>
                </c:pt>
                <c:pt idx="73">
                  <c:v>-0.89999999999999858</c:v>
                </c:pt>
                <c:pt idx="74">
                  <c:v>2.8999999999999915</c:v>
                </c:pt>
                <c:pt idx="75">
                  <c:v>1.5000000000000036</c:v>
                </c:pt>
                <c:pt idx="76">
                  <c:v>1.3000000000000078</c:v>
                </c:pt>
                <c:pt idx="77">
                  <c:v>-3.3999999999999986</c:v>
                </c:pt>
                <c:pt idx="78">
                  <c:v>-0.80000000000000071</c:v>
                </c:pt>
                <c:pt idx="79">
                  <c:v>1.6000000000000014</c:v>
                </c:pt>
                <c:pt idx="80">
                  <c:v>2.3999999999999844</c:v>
                </c:pt>
                <c:pt idx="81">
                  <c:v>1.6000000000000014</c:v>
                </c:pt>
                <c:pt idx="82">
                  <c:v>-2.8999999999999915</c:v>
                </c:pt>
                <c:pt idx="83">
                  <c:v>-0.60000000000000497</c:v>
                </c:pt>
                <c:pt idx="84">
                  <c:v>0.40000000000000924</c:v>
                </c:pt>
                <c:pt idx="85">
                  <c:v>-4.9000000000000021</c:v>
                </c:pt>
                <c:pt idx="86">
                  <c:v>-0.99999999999999645</c:v>
                </c:pt>
                <c:pt idx="87">
                  <c:v>8.0999999999999872</c:v>
                </c:pt>
                <c:pt idx="88">
                  <c:v>-3.3999999999999986</c:v>
                </c:pt>
                <c:pt idx="89">
                  <c:v>-2.1999999999999886</c:v>
                </c:pt>
                <c:pt idx="90">
                  <c:v>2.7999999999999936</c:v>
                </c:pt>
                <c:pt idx="91">
                  <c:v>2.4000000000000021</c:v>
                </c:pt>
                <c:pt idx="92">
                  <c:v>9.9999999999997868E-2</c:v>
                </c:pt>
                <c:pt idx="93">
                  <c:v>-0.89999999999999858</c:v>
                </c:pt>
                <c:pt idx="94">
                  <c:v>3.2000000000000028</c:v>
                </c:pt>
                <c:pt idx="95">
                  <c:v>1.0999999999999943</c:v>
                </c:pt>
                <c:pt idx="96">
                  <c:v>-8.100000000000005</c:v>
                </c:pt>
                <c:pt idx="97">
                  <c:v>-1.0999999999999943</c:v>
                </c:pt>
                <c:pt idx="98">
                  <c:v>2.3000000000000043</c:v>
                </c:pt>
                <c:pt idx="99">
                  <c:v>-1.5000000000000036</c:v>
                </c:pt>
                <c:pt idx="100">
                  <c:v>-0.70000000000000284</c:v>
                </c:pt>
                <c:pt idx="101">
                  <c:v>-5.600000000000005</c:v>
                </c:pt>
                <c:pt idx="102">
                  <c:v>-1.4999999999999858</c:v>
                </c:pt>
                <c:pt idx="103">
                  <c:v>2.3999999999999844</c:v>
                </c:pt>
                <c:pt idx="104">
                  <c:v>-3.9999999999999858</c:v>
                </c:pt>
                <c:pt idx="105">
                  <c:v>0.59999999999998721</c:v>
                </c:pt>
                <c:pt idx="106">
                  <c:v>1.1000000000000121</c:v>
                </c:pt>
                <c:pt idx="107">
                  <c:v>-1.1000000000000121</c:v>
                </c:pt>
                <c:pt idx="108">
                  <c:v>-0.19999999999999574</c:v>
                </c:pt>
                <c:pt idx="109">
                  <c:v>-4.1000000000000014</c:v>
                </c:pt>
                <c:pt idx="110">
                  <c:v>-2.7999999999999936</c:v>
                </c:pt>
                <c:pt idx="111">
                  <c:v>-0.70000000000000284</c:v>
                </c:pt>
                <c:pt idx="112">
                  <c:v>2.3000000000000043</c:v>
                </c:pt>
                <c:pt idx="113">
                  <c:v>-0.50000000000000711</c:v>
                </c:pt>
                <c:pt idx="114">
                  <c:v>-2.1999999999999886</c:v>
                </c:pt>
                <c:pt idx="115">
                  <c:v>-2.5</c:v>
                </c:pt>
                <c:pt idx="116">
                  <c:v>-0.60000000000000497</c:v>
                </c:pt>
                <c:pt idx="117">
                  <c:v>-3.7000000000000099</c:v>
                </c:pt>
                <c:pt idx="118">
                  <c:v>0.50000000000000711</c:v>
                </c:pt>
                <c:pt idx="119">
                  <c:v>-1.3000000000000078</c:v>
                </c:pt>
                <c:pt idx="120">
                  <c:v>-1.4999999999999858</c:v>
                </c:pt>
                <c:pt idx="121">
                  <c:v>-0.40000000000000924</c:v>
                </c:pt>
                <c:pt idx="122">
                  <c:v>0.99999999999999645</c:v>
                </c:pt>
                <c:pt idx="123">
                  <c:v>0.89999999999999858</c:v>
                </c:pt>
                <c:pt idx="124">
                  <c:v>-3.0999999999999872</c:v>
                </c:pt>
                <c:pt idx="125">
                  <c:v>0</c:v>
                </c:pt>
                <c:pt idx="126">
                  <c:v>0.49999999999998934</c:v>
                </c:pt>
                <c:pt idx="127">
                  <c:v>-3.5999999999999943</c:v>
                </c:pt>
                <c:pt idx="128">
                  <c:v>-1.0999999999999943</c:v>
                </c:pt>
                <c:pt idx="129">
                  <c:v>1.2999999999999901</c:v>
                </c:pt>
                <c:pt idx="130">
                  <c:v>1.4000000000000057</c:v>
                </c:pt>
                <c:pt idx="131">
                  <c:v>-0.50000000000000711</c:v>
                </c:pt>
                <c:pt idx="132">
                  <c:v>-8.3000000000000007</c:v>
                </c:pt>
                <c:pt idx="133">
                  <c:v>-3.5999999999999943</c:v>
                </c:pt>
                <c:pt idx="134">
                  <c:v>2.2000000000000064</c:v>
                </c:pt>
                <c:pt idx="135">
                  <c:v>0.99999999999999645</c:v>
                </c:pt>
                <c:pt idx="136">
                  <c:v>-0.19999999999999574</c:v>
                </c:pt>
                <c:pt idx="137">
                  <c:v>-0.10000000000001563</c:v>
                </c:pt>
                <c:pt idx="138">
                  <c:v>4.0000000000000036</c:v>
                </c:pt>
                <c:pt idx="139">
                  <c:v>-0.70000000000000284</c:v>
                </c:pt>
                <c:pt idx="140">
                  <c:v>-0.99999999999999645</c:v>
                </c:pt>
                <c:pt idx="141">
                  <c:v>-2.5999999999999979</c:v>
                </c:pt>
                <c:pt idx="142">
                  <c:v>-0.19999999999999574</c:v>
                </c:pt>
                <c:pt idx="143">
                  <c:v>0.29999999999999361</c:v>
                </c:pt>
                <c:pt idx="144">
                  <c:v>-1.5000000000000036</c:v>
                </c:pt>
                <c:pt idx="145">
                  <c:v>0.40000000000000924</c:v>
                </c:pt>
                <c:pt idx="146">
                  <c:v>9.9999999999997868E-2</c:v>
                </c:pt>
                <c:pt idx="147">
                  <c:v>0.29999999999999361</c:v>
                </c:pt>
                <c:pt idx="148">
                  <c:v>2.1000000000000085</c:v>
                </c:pt>
                <c:pt idx="149">
                  <c:v>-1.7999999999999972</c:v>
                </c:pt>
                <c:pt idx="150">
                  <c:v>7.6999999999999957</c:v>
                </c:pt>
                <c:pt idx="151">
                  <c:v>-0.99999999999999645</c:v>
                </c:pt>
                <c:pt idx="152">
                  <c:v>1.6000000000000014</c:v>
                </c:pt>
                <c:pt idx="153">
                  <c:v>1.6000000000000014</c:v>
                </c:pt>
                <c:pt idx="154">
                  <c:v>0.19999999999999574</c:v>
                </c:pt>
                <c:pt idx="155">
                  <c:v>3.3000000000000007</c:v>
                </c:pt>
                <c:pt idx="156">
                  <c:v>2.1999999999999886</c:v>
                </c:pt>
                <c:pt idx="157">
                  <c:v>2.9000000000000092</c:v>
                </c:pt>
                <c:pt idx="158">
                  <c:v>-1.6999999999999993</c:v>
                </c:pt>
                <c:pt idx="159">
                  <c:v>9.9999999999997868E-2</c:v>
                </c:pt>
                <c:pt idx="160">
                  <c:v>-9.9999999999997868E-2</c:v>
                </c:pt>
                <c:pt idx="161">
                  <c:v>1.5000000000000036</c:v>
                </c:pt>
                <c:pt idx="162">
                  <c:v>1.5000000000000036</c:v>
                </c:pt>
                <c:pt idx="163">
                  <c:v>-0.70000000000000284</c:v>
                </c:pt>
                <c:pt idx="164">
                  <c:v>0.89999999999999858</c:v>
                </c:pt>
                <c:pt idx="165">
                  <c:v>1.899999999999995</c:v>
                </c:pt>
                <c:pt idx="166">
                  <c:v>0.60000000000000497</c:v>
                </c:pt>
                <c:pt idx="167">
                  <c:v>0.29999999999999361</c:v>
                </c:pt>
                <c:pt idx="168">
                  <c:v>2.7999999999999936</c:v>
                </c:pt>
                <c:pt idx="169">
                  <c:v>2.2000000000000064</c:v>
                </c:pt>
                <c:pt idx="170">
                  <c:v>0.89999999999999858</c:v>
                </c:pt>
                <c:pt idx="171">
                  <c:v>0.89999999999999858</c:v>
                </c:pt>
                <c:pt idx="172">
                  <c:v>-2.4000000000000021</c:v>
                </c:pt>
                <c:pt idx="173">
                  <c:v>0.60000000000000497</c:v>
                </c:pt>
                <c:pt idx="174">
                  <c:v>-0.89999999999999858</c:v>
                </c:pt>
                <c:pt idx="175">
                  <c:v>1.0999999999999943</c:v>
                </c:pt>
                <c:pt idx="176">
                  <c:v>2.3000000000000043</c:v>
                </c:pt>
                <c:pt idx="177">
                  <c:v>-0.89999999999999858</c:v>
                </c:pt>
                <c:pt idx="178">
                  <c:v>-1.7999999999999972</c:v>
                </c:pt>
                <c:pt idx="179">
                  <c:v>1.7999999999999972</c:v>
                </c:pt>
                <c:pt idx="180">
                  <c:v>-0.99999999999999645</c:v>
                </c:pt>
                <c:pt idx="181">
                  <c:v>0.19999999999999574</c:v>
                </c:pt>
                <c:pt idx="182">
                  <c:v>-9.9999999999997868E-2</c:v>
                </c:pt>
                <c:pt idx="183">
                  <c:v>0</c:v>
                </c:pt>
                <c:pt idx="184">
                  <c:v>0.70000000000000284</c:v>
                </c:pt>
                <c:pt idx="185">
                  <c:v>0</c:v>
                </c:pt>
                <c:pt idx="186">
                  <c:v>9.9999999999997868E-2</c:v>
                </c:pt>
                <c:pt idx="187">
                  <c:v>-1.0999999999999943</c:v>
                </c:pt>
                <c:pt idx="188">
                  <c:v>0.80000000000000071</c:v>
                </c:pt>
                <c:pt idx="189">
                  <c:v>2.5</c:v>
                </c:pt>
                <c:pt idx="190">
                  <c:v>-1.6000000000000014</c:v>
                </c:pt>
                <c:pt idx="191">
                  <c:v>-0.80000000000000071</c:v>
                </c:pt>
                <c:pt idx="192">
                  <c:v>-1.6000000000000014</c:v>
                </c:pt>
                <c:pt idx="193">
                  <c:v>-0.99999999999999645</c:v>
                </c:pt>
                <c:pt idx="194">
                  <c:v>1.9999999999999929</c:v>
                </c:pt>
                <c:pt idx="195">
                  <c:v>2.5999999999999979</c:v>
                </c:pt>
                <c:pt idx="196">
                  <c:v>0.80000000000000071</c:v>
                </c:pt>
                <c:pt idx="197">
                  <c:v>-1.5000000000000036</c:v>
                </c:pt>
                <c:pt idx="198">
                  <c:v>1.3000000000000078</c:v>
                </c:pt>
                <c:pt idx="199">
                  <c:v>-2.3000000000000043</c:v>
                </c:pt>
                <c:pt idx="200">
                  <c:v>-0.60000000000000497</c:v>
                </c:pt>
                <c:pt idx="201">
                  <c:v>0.60000000000000497</c:v>
                </c:pt>
                <c:pt idx="202">
                  <c:v>2.6999999999999957</c:v>
                </c:pt>
                <c:pt idx="203">
                  <c:v>-9.9999999999997868E-2</c:v>
                </c:pt>
                <c:pt idx="204">
                  <c:v>-1.1999999999999922</c:v>
                </c:pt>
                <c:pt idx="205">
                  <c:v>0.59999999999998721</c:v>
                </c:pt>
                <c:pt idx="206">
                  <c:v>-1.4999999999999858</c:v>
                </c:pt>
                <c:pt idx="207">
                  <c:v>-2.8000000000000114</c:v>
                </c:pt>
                <c:pt idx="208">
                  <c:v>-1.1999999999999922</c:v>
                </c:pt>
                <c:pt idx="209">
                  <c:v>-1.6999999999999993</c:v>
                </c:pt>
                <c:pt idx="210">
                  <c:v>0.99999999999999645</c:v>
                </c:pt>
                <c:pt idx="211">
                  <c:v>-0.70000000000000284</c:v>
                </c:pt>
                <c:pt idx="212">
                  <c:v>9.9999999999997868E-2</c:v>
                </c:pt>
                <c:pt idx="213">
                  <c:v>-1.899999999999995</c:v>
                </c:pt>
                <c:pt idx="214">
                  <c:v>-0.89999999999999858</c:v>
                </c:pt>
                <c:pt idx="215">
                  <c:v>0.50000000000000711</c:v>
                </c:pt>
                <c:pt idx="216">
                  <c:v>-0.10000000000001563</c:v>
                </c:pt>
                <c:pt idx="217">
                  <c:v>-0.80000000000000071</c:v>
                </c:pt>
                <c:pt idx="218">
                  <c:v>1.6000000000000014</c:v>
                </c:pt>
                <c:pt idx="219">
                  <c:v>-1.2999999999999901</c:v>
                </c:pt>
                <c:pt idx="220">
                  <c:v>-0.70000000000000284</c:v>
                </c:pt>
                <c:pt idx="221">
                  <c:v>0</c:v>
                </c:pt>
                <c:pt idx="222">
                  <c:v>-1.5000000000000036</c:v>
                </c:pt>
                <c:pt idx="223">
                  <c:v>2.3000000000000043</c:v>
                </c:pt>
                <c:pt idx="224">
                  <c:v>1.4000000000000057</c:v>
                </c:pt>
                <c:pt idx="225">
                  <c:v>0.29999999999999361</c:v>
                </c:pt>
                <c:pt idx="226">
                  <c:v>-0.99999999999999645</c:v>
                </c:pt>
                <c:pt idx="227">
                  <c:v>-9.9999999999997868E-2</c:v>
                </c:pt>
                <c:pt idx="228">
                  <c:v>2.5999999999999979</c:v>
                </c:pt>
                <c:pt idx="229">
                  <c:v>1.1999999999999922</c:v>
                </c:pt>
                <c:pt idx="230">
                  <c:v>-0.29999999999999361</c:v>
                </c:pt>
                <c:pt idx="231">
                  <c:v>-0.30000000000001137</c:v>
                </c:pt>
                <c:pt idx="232">
                  <c:v>-2.0999999999999908</c:v>
                </c:pt>
                <c:pt idx="233">
                  <c:v>0.39999999999999147</c:v>
                </c:pt>
                <c:pt idx="234">
                  <c:v>2.5</c:v>
                </c:pt>
                <c:pt idx="235">
                  <c:v>-1.2999999999999901</c:v>
                </c:pt>
                <c:pt idx="236">
                  <c:v>-0.50000000000000711</c:v>
                </c:pt>
                <c:pt idx="237">
                  <c:v>0.80000000000000071</c:v>
                </c:pt>
                <c:pt idx="238">
                  <c:v>-0.49999999999998934</c:v>
                </c:pt>
                <c:pt idx="239">
                  <c:v>-1.5000000000000036</c:v>
                </c:pt>
                <c:pt idx="240">
                  <c:v>-4.1000000000000014</c:v>
                </c:pt>
                <c:pt idx="241">
                  <c:v>0.80000000000000071</c:v>
                </c:pt>
                <c:pt idx="242">
                  <c:v>0.70000000000000284</c:v>
                </c:pt>
                <c:pt idx="243">
                  <c:v>1.2999999999999901</c:v>
                </c:pt>
                <c:pt idx="244">
                  <c:v>0.89999999999999858</c:v>
                </c:pt>
                <c:pt idx="245">
                  <c:v>-0.59999999999998721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FE-4A61-9985-F6D587D38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785760"/>
        <c:axId val="435786744"/>
      </c:lineChart>
      <c:catAx>
        <c:axId val="435785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Reading Number (5Hz)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6744"/>
        <c:crosses val="autoZero"/>
        <c:auto val="1"/>
        <c:lblAlgn val="ctr"/>
        <c:lblOffset val="100"/>
        <c:tickLblSkip val="50"/>
        <c:noMultiLvlLbl val="0"/>
      </c:catAx>
      <c:valAx>
        <c:axId val="43578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 (m/s</a:t>
                </a:r>
                <a:r>
                  <a:rPr lang="en-GB" sz="1000" b="0" i="0" u="none" strike="noStrike" baseline="0">
                    <a:effectLst/>
                  </a:rPr>
                  <a:t>²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78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29</xdr:col>
      <xdr:colOff>523875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FCDE40-03F1-4399-BB32-E8EEF99B5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2</xdr:row>
      <xdr:rowOff>0</xdr:rowOff>
    </xdr:from>
    <xdr:to>
      <xdr:col>39</xdr:col>
      <xdr:colOff>523875</xdr:colOff>
      <xdr:row>22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EEDD7E-0373-4540-ADAE-72B5D6B36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33</xdr:col>
      <xdr:colOff>523875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79939C-C401-4D5C-A409-26D66F8C7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23</xdr:row>
      <xdr:rowOff>0</xdr:rowOff>
    </xdr:from>
    <xdr:to>
      <xdr:col>33</xdr:col>
      <xdr:colOff>523875</xdr:colOff>
      <xdr:row>43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25DAB0-EA54-4A1A-817E-D4CEE24BD1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123824</xdr:colOff>
      <xdr:row>2</xdr:row>
      <xdr:rowOff>180975</xdr:rowOff>
    </xdr:from>
    <xdr:to>
      <xdr:col>34</xdr:col>
      <xdr:colOff>38099</xdr:colOff>
      <xdr:row>23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B654D1-02C7-4985-9806-65CA784F4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25</xdr:row>
      <xdr:rowOff>0</xdr:rowOff>
    </xdr:from>
    <xdr:to>
      <xdr:col>33</xdr:col>
      <xdr:colOff>523875</xdr:colOff>
      <xdr:row>45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0E9270-C928-48CB-A53E-8B56B5D75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24</xdr:row>
      <xdr:rowOff>0</xdr:rowOff>
    </xdr:from>
    <xdr:to>
      <xdr:col>29</xdr:col>
      <xdr:colOff>523875</xdr:colOff>
      <xdr:row>44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129A625-00FB-4810-A64A-1B0BF2605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3</xdr:row>
      <xdr:rowOff>0</xdr:rowOff>
    </xdr:from>
    <xdr:to>
      <xdr:col>29</xdr:col>
      <xdr:colOff>523875</xdr:colOff>
      <xdr:row>23</xdr:row>
      <xdr:rowOff>114300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A9C07B8-35E5-400B-961C-6C1597F0D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24</xdr:row>
      <xdr:rowOff>0</xdr:rowOff>
    </xdr:from>
    <xdr:to>
      <xdr:col>19</xdr:col>
      <xdr:colOff>523875</xdr:colOff>
      <xdr:row>44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FDDA66A-C10B-459D-B542-66CF39132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9</xdr:col>
      <xdr:colOff>523875</xdr:colOff>
      <xdr:row>44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2318896-ADAB-48B9-BE6C-E3ACC545F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9</xdr:col>
      <xdr:colOff>523875</xdr:colOff>
      <xdr:row>23</xdr:row>
      <xdr:rowOff>114300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8F60B7C-F934-4D5A-9B46-F3C9EFE878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19</xdr:col>
      <xdr:colOff>523875</xdr:colOff>
      <xdr:row>23</xdr:row>
      <xdr:rowOff>114300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3356DAF-B17F-4834-A354-6F6535B58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C340-F6DE-4950-B297-E9FE33AFEF89}">
  <dimension ref="A1:R525"/>
  <sheetViews>
    <sheetView topLeftCell="A15" workbookViewId="0">
      <selection activeCell="A52" sqref="A5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Q1" s="2"/>
      <c r="R1" s="2"/>
    </row>
    <row r="2" spans="1:18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Q2" s="2" t="s">
        <v>17</v>
      </c>
      <c r="R2" s="2" t="s">
        <v>19</v>
      </c>
    </row>
    <row r="3" spans="1:18" x14ac:dyDescent="0.25">
      <c r="A3" t="s">
        <v>16</v>
      </c>
      <c r="C3">
        <v>52.047106399999997</v>
      </c>
      <c r="D3">
        <v>-0.57210950000000005</v>
      </c>
      <c r="E3">
        <v>4</v>
      </c>
      <c r="F3">
        <v>4</v>
      </c>
      <c r="G3">
        <v>2022</v>
      </c>
      <c r="H3">
        <v>12</v>
      </c>
      <c r="I3">
        <v>55</v>
      </c>
      <c r="J3">
        <v>16</v>
      </c>
      <c r="K3">
        <v>93.38</v>
      </c>
      <c r="L3">
        <v>0</v>
      </c>
      <c r="M3">
        <v>37.512</v>
      </c>
      <c r="N3">
        <v>0.39600000000000002</v>
      </c>
      <c r="P3">
        <v>1</v>
      </c>
      <c r="Q3" s="1">
        <f t="shared" ref="Q3:Q34" si="0">M3*1000/3600</f>
        <v>10.42</v>
      </c>
    </row>
    <row r="4" spans="1:18" x14ac:dyDescent="0.25">
      <c r="A4" t="s">
        <v>16</v>
      </c>
      <c r="C4">
        <v>52.047191499999997</v>
      </c>
      <c r="D4">
        <v>-0.57218619999999998</v>
      </c>
      <c r="E4">
        <v>4</v>
      </c>
      <c r="F4">
        <v>4</v>
      </c>
      <c r="G4">
        <v>2022</v>
      </c>
      <c r="H4">
        <v>12</v>
      </c>
      <c r="I4">
        <v>55</v>
      </c>
      <c r="J4">
        <v>17</v>
      </c>
      <c r="K4">
        <v>93.35</v>
      </c>
      <c r="L4">
        <v>0</v>
      </c>
      <c r="M4">
        <v>39.06</v>
      </c>
      <c r="N4">
        <v>0.39600000000000002</v>
      </c>
      <c r="P4">
        <f>P3+1</f>
        <v>2</v>
      </c>
      <c r="Q4" s="1">
        <f t="shared" si="0"/>
        <v>10.85</v>
      </c>
      <c r="R4" s="3">
        <f>($Q4-$Q3)</f>
        <v>0.42999999999999972</v>
      </c>
    </row>
    <row r="5" spans="1:18" x14ac:dyDescent="0.25">
      <c r="A5" t="s">
        <v>16</v>
      </c>
      <c r="C5">
        <v>52.047280299999997</v>
      </c>
      <c r="D5">
        <v>-0.57226449999999995</v>
      </c>
      <c r="E5">
        <v>4</v>
      </c>
      <c r="F5">
        <v>4</v>
      </c>
      <c r="G5">
        <v>2022</v>
      </c>
      <c r="H5">
        <v>12</v>
      </c>
      <c r="I5">
        <v>55</v>
      </c>
      <c r="J5">
        <v>18</v>
      </c>
      <c r="K5">
        <v>93.29</v>
      </c>
      <c r="L5">
        <v>0</v>
      </c>
      <c r="M5">
        <v>40.536000000000001</v>
      </c>
      <c r="N5">
        <v>0.432</v>
      </c>
      <c r="P5">
        <f t="shared" ref="P5:P52" si="1">P4+1</f>
        <v>3</v>
      </c>
      <c r="Q5" s="1">
        <f t="shared" si="0"/>
        <v>11.26</v>
      </c>
      <c r="R5" s="3">
        <f t="shared" ref="R5:R52" si="2">($Q5-$Q4)</f>
        <v>0.41000000000000014</v>
      </c>
    </row>
    <row r="6" spans="1:18" x14ac:dyDescent="0.25">
      <c r="A6" t="s">
        <v>16</v>
      </c>
      <c r="C6">
        <v>52.047373999999998</v>
      </c>
      <c r="D6">
        <v>-0.57233970000000001</v>
      </c>
      <c r="E6">
        <v>4</v>
      </c>
      <c r="F6">
        <v>4</v>
      </c>
      <c r="G6">
        <v>2022</v>
      </c>
      <c r="H6">
        <v>12</v>
      </c>
      <c r="I6">
        <v>55</v>
      </c>
      <c r="J6">
        <v>19</v>
      </c>
      <c r="K6">
        <v>93.42</v>
      </c>
      <c r="L6">
        <v>0</v>
      </c>
      <c r="M6">
        <v>42.048000000000002</v>
      </c>
      <c r="N6">
        <v>0.39600000000000002</v>
      </c>
      <c r="P6">
        <f t="shared" si="1"/>
        <v>4</v>
      </c>
      <c r="Q6" s="1">
        <f t="shared" si="0"/>
        <v>11.68</v>
      </c>
      <c r="R6" s="3">
        <f t="shared" si="2"/>
        <v>0.41999999999999993</v>
      </c>
    </row>
    <row r="7" spans="1:18" x14ac:dyDescent="0.25">
      <c r="A7" t="s">
        <v>16</v>
      </c>
      <c r="C7">
        <v>52.047471199999997</v>
      </c>
      <c r="D7">
        <v>-0.5724129</v>
      </c>
      <c r="E7">
        <v>4</v>
      </c>
      <c r="F7">
        <v>4</v>
      </c>
      <c r="G7">
        <v>2022</v>
      </c>
      <c r="H7">
        <v>12</v>
      </c>
      <c r="I7">
        <v>55</v>
      </c>
      <c r="J7">
        <v>20</v>
      </c>
      <c r="K7">
        <v>93.56</v>
      </c>
      <c r="L7">
        <v>0</v>
      </c>
      <c r="M7">
        <v>42.84</v>
      </c>
      <c r="N7">
        <v>0.432</v>
      </c>
      <c r="P7">
        <f t="shared" si="1"/>
        <v>5</v>
      </c>
      <c r="Q7" s="1">
        <f t="shared" si="0"/>
        <v>11.9</v>
      </c>
      <c r="R7" s="3">
        <f t="shared" si="2"/>
        <v>0.22000000000000064</v>
      </c>
    </row>
    <row r="8" spans="1:18" x14ac:dyDescent="0.25">
      <c r="A8" t="s">
        <v>16</v>
      </c>
      <c r="C8">
        <v>52.047571400000002</v>
      </c>
      <c r="D8">
        <v>-0.57248069999999995</v>
      </c>
      <c r="E8">
        <v>4</v>
      </c>
      <c r="F8">
        <v>4</v>
      </c>
      <c r="G8">
        <v>2022</v>
      </c>
      <c r="H8">
        <v>12</v>
      </c>
      <c r="I8">
        <v>55</v>
      </c>
      <c r="J8">
        <v>21</v>
      </c>
      <c r="K8">
        <v>93.67</v>
      </c>
      <c r="L8">
        <v>0</v>
      </c>
      <c r="M8">
        <v>43.2</v>
      </c>
      <c r="N8">
        <v>0.39600000000000002</v>
      </c>
      <c r="P8">
        <f t="shared" si="1"/>
        <v>6</v>
      </c>
      <c r="Q8" s="1">
        <f t="shared" si="0"/>
        <v>12</v>
      </c>
      <c r="R8" s="3">
        <f t="shared" si="2"/>
        <v>9.9999999999999645E-2</v>
      </c>
    </row>
    <row r="9" spans="1:18" x14ac:dyDescent="0.25">
      <c r="A9" t="s">
        <v>16</v>
      </c>
      <c r="C9">
        <v>52.047673400000001</v>
      </c>
      <c r="D9">
        <v>-0.57254349999999998</v>
      </c>
      <c r="E9">
        <v>4</v>
      </c>
      <c r="F9">
        <v>4</v>
      </c>
      <c r="G9">
        <v>2022</v>
      </c>
      <c r="H9">
        <v>12</v>
      </c>
      <c r="I9">
        <v>55</v>
      </c>
      <c r="J9">
        <v>22</v>
      </c>
      <c r="K9">
        <v>93.67</v>
      </c>
      <c r="L9">
        <v>0</v>
      </c>
      <c r="M9">
        <v>43.308</v>
      </c>
      <c r="N9">
        <v>0.39600000000000002</v>
      </c>
      <c r="P9">
        <f t="shared" si="1"/>
        <v>7</v>
      </c>
      <c r="Q9" s="1">
        <f t="shared" si="0"/>
        <v>12.03</v>
      </c>
      <c r="R9" s="3">
        <f t="shared" si="2"/>
        <v>2.9999999999999361E-2</v>
      </c>
    </row>
    <row r="10" spans="1:18" x14ac:dyDescent="0.25">
      <c r="A10" t="s">
        <v>16</v>
      </c>
      <c r="C10">
        <v>52.047775799999997</v>
      </c>
      <c r="D10">
        <v>-0.57260610000000001</v>
      </c>
      <c r="E10">
        <v>4</v>
      </c>
      <c r="F10">
        <v>4</v>
      </c>
      <c r="G10">
        <v>2022</v>
      </c>
      <c r="H10">
        <v>12</v>
      </c>
      <c r="I10">
        <v>55</v>
      </c>
      <c r="J10">
        <v>23</v>
      </c>
      <c r="K10">
        <v>93.67</v>
      </c>
      <c r="L10">
        <v>0</v>
      </c>
      <c r="M10">
        <v>43.524000000000001</v>
      </c>
      <c r="N10">
        <v>0.39600000000000002</v>
      </c>
      <c r="P10">
        <f t="shared" si="1"/>
        <v>8</v>
      </c>
      <c r="Q10" s="1">
        <f t="shared" si="0"/>
        <v>12.09</v>
      </c>
      <c r="R10" s="3">
        <f t="shared" si="2"/>
        <v>6.0000000000000497E-2</v>
      </c>
    </row>
    <row r="11" spans="1:18" x14ac:dyDescent="0.25">
      <c r="A11" t="s">
        <v>16</v>
      </c>
      <c r="C11">
        <v>52.047876700000003</v>
      </c>
      <c r="D11">
        <v>-0.57267279999999998</v>
      </c>
      <c r="E11">
        <v>4</v>
      </c>
      <c r="F11">
        <v>4</v>
      </c>
      <c r="G11">
        <v>2022</v>
      </c>
      <c r="H11">
        <v>12</v>
      </c>
      <c r="I11">
        <v>55</v>
      </c>
      <c r="J11">
        <v>24</v>
      </c>
      <c r="K11">
        <v>93.75</v>
      </c>
      <c r="L11">
        <v>0</v>
      </c>
      <c r="M11">
        <v>42.948</v>
      </c>
      <c r="N11">
        <v>0.39600000000000002</v>
      </c>
      <c r="P11">
        <f t="shared" si="1"/>
        <v>9</v>
      </c>
      <c r="Q11" s="1">
        <f t="shared" si="0"/>
        <v>11.93</v>
      </c>
      <c r="R11" s="3">
        <f t="shared" si="2"/>
        <v>-0.16000000000000014</v>
      </c>
    </row>
    <row r="12" spans="1:18" x14ac:dyDescent="0.25">
      <c r="A12" t="s">
        <v>16</v>
      </c>
      <c r="C12">
        <v>52.047975999999998</v>
      </c>
      <c r="D12">
        <v>-0.57274179999999997</v>
      </c>
      <c r="E12">
        <v>4</v>
      </c>
      <c r="F12">
        <v>4</v>
      </c>
      <c r="G12">
        <v>2022</v>
      </c>
      <c r="H12">
        <v>12</v>
      </c>
      <c r="I12">
        <v>55</v>
      </c>
      <c r="J12">
        <v>25</v>
      </c>
      <c r="K12">
        <v>93.86</v>
      </c>
      <c r="L12">
        <v>0</v>
      </c>
      <c r="M12">
        <v>42.731999999999999</v>
      </c>
      <c r="N12">
        <v>0.432</v>
      </c>
      <c r="P12">
        <f t="shared" si="1"/>
        <v>10</v>
      </c>
      <c r="Q12" s="1">
        <f t="shared" si="0"/>
        <v>11.87</v>
      </c>
      <c r="R12" s="3">
        <f t="shared" si="2"/>
        <v>-6.0000000000000497E-2</v>
      </c>
    </row>
    <row r="13" spans="1:18" x14ac:dyDescent="0.25">
      <c r="A13" t="s">
        <v>16</v>
      </c>
      <c r="C13">
        <v>52.048075300000001</v>
      </c>
      <c r="D13">
        <v>-0.57280920000000002</v>
      </c>
      <c r="E13">
        <v>4</v>
      </c>
      <c r="F13">
        <v>4</v>
      </c>
      <c r="G13">
        <v>2022</v>
      </c>
      <c r="H13">
        <v>12</v>
      </c>
      <c r="I13">
        <v>55</v>
      </c>
      <c r="J13">
        <v>26</v>
      </c>
      <c r="K13">
        <v>93.82</v>
      </c>
      <c r="L13">
        <v>0</v>
      </c>
      <c r="M13">
        <v>42.84</v>
      </c>
      <c r="N13">
        <v>0.432</v>
      </c>
      <c r="P13">
        <f t="shared" si="1"/>
        <v>11</v>
      </c>
      <c r="Q13" s="1">
        <f t="shared" si="0"/>
        <v>11.9</v>
      </c>
      <c r="R13" s="3">
        <f t="shared" si="2"/>
        <v>3.0000000000001137E-2</v>
      </c>
    </row>
    <row r="14" spans="1:18" x14ac:dyDescent="0.25">
      <c r="A14" t="s">
        <v>16</v>
      </c>
      <c r="C14">
        <v>52.048176699999999</v>
      </c>
      <c r="D14">
        <v>-0.57287030000000005</v>
      </c>
      <c r="E14">
        <v>4</v>
      </c>
      <c r="F14">
        <v>4</v>
      </c>
      <c r="G14">
        <v>2022</v>
      </c>
      <c r="H14">
        <v>12</v>
      </c>
      <c r="I14">
        <v>55</v>
      </c>
      <c r="J14">
        <v>27</v>
      </c>
      <c r="K14">
        <v>93.68</v>
      </c>
      <c r="L14">
        <v>0</v>
      </c>
      <c r="M14">
        <v>43.128</v>
      </c>
      <c r="N14">
        <v>0.39600000000000002</v>
      </c>
      <c r="P14">
        <f t="shared" si="1"/>
        <v>12</v>
      </c>
      <c r="Q14" s="1">
        <f t="shared" si="0"/>
        <v>11.98</v>
      </c>
      <c r="R14" s="3">
        <f t="shared" si="2"/>
        <v>8.0000000000000071E-2</v>
      </c>
    </row>
    <row r="15" spans="1:18" x14ac:dyDescent="0.25">
      <c r="A15" t="s">
        <v>16</v>
      </c>
      <c r="C15">
        <v>52.048282</v>
      </c>
      <c r="D15">
        <v>-0.57292359999999998</v>
      </c>
      <c r="E15">
        <v>4</v>
      </c>
      <c r="F15">
        <v>4</v>
      </c>
      <c r="G15">
        <v>2022</v>
      </c>
      <c r="H15">
        <v>12</v>
      </c>
      <c r="I15">
        <v>55</v>
      </c>
      <c r="J15">
        <v>28</v>
      </c>
      <c r="K15">
        <v>93.79</v>
      </c>
      <c r="L15">
        <v>0</v>
      </c>
      <c r="M15">
        <v>44.387999999999998</v>
      </c>
      <c r="N15">
        <v>0.46800000000000003</v>
      </c>
      <c r="P15">
        <f t="shared" si="1"/>
        <v>13</v>
      </c>
      <c r="Q15" s="1">
        <f t="shared" si="0"/>
        <v>12.33</v>
      </c>
      <c r="R15" s="3">
        <f t="shared" si="2"/>
        <v>0.34999999999999964</v>
      </c>
    </row>
    <row r="16" spans="1:18" x14ac:dyDescent="0.25">
      <c r="A16" t="s">
        <v>16</v>
      </c>
      <c r="C16">
        <v>52.048391000000002</v>
      </c>
      <c r="D16">
        <v>-0.5729725</v>
      </c>
      <c r="E16">
        <v>4</v>
      </c>
      <c r="F16">
        <v>4</v>
      </c>
      <c r="G16">
        <v>2022</v>
      </c>
      <c r="H16">
        <v>12</v>
      </c>
      <c r="I16">
        <v>55</v>
      </c>
      <c r="J16">
        <v>29</v>
      </c>
      <c r="K16">
        <v>94.03</v>
      </c>
      <c r="L16">
        <v>0</v>
      </c>
      <c r="M16">
        <v>45.287999999999997</v>
      </c>
      <c r="N16">
        <v>0.432</v>
      </c>
      <c r="P16">
        <f t="shared" si="1"/>
        <v>14</v>
      </c>
      <c r="Q16" s="1">
        <f t="shared" si="0"/>
        <v>12.58</v>
      </c>
      <c r="R16" s="3">
        <f t="shared" si="2"/>
        <v>0.25</v>
      </c>
    </row>
    <row r="17" spans="1:18" x14ac:dyDescent="0.25">
      <c r="A17" t="s">
        <v>16</v>
      </c>
      <c r="C17">
        <v>52.0485033</v>
      </c>
      <c r="D17">
        <v>-0.57301729999999995</v>
      </c>
      <c r="E17">
        <v>4</v>
      </c>
      <c r="F17">
        <v>4</v>
      </c>
      <c r="G17">
        <v>2022</v>
      </c>
      <c r="H17">
        <v>12</v>
      </c>
      <c r="I17">
        <v>55</v>
      </c>
      <c r="J17">
        <v>30</v>
      </c>
      <c r="K17">
        <v>93.96</v>
      </c>
      <c r="L17">
        <v>0</v>
      </c>
      <c r="M17">
        <v>46.728000000000002</v>
      </c>
      <c r="N17">
        <v>0.432</v>
      </c>
      <c r="P17">
        <f t="shared" si="1"/>
        <v>15</v>
      </c>
      <c r="Q17" s="1">
        <f t="shared" si="0"/>
        <v>12.98</v>
      </c>
      <c r="R17" s="3">
        <f t="shared" si="2"/>
        <v>0.40000000000000036</v>
      </c>
    </row>
    <row r="18" spans="1:18" x14ac:dyDescent="0.25">
      <c r="A18" t="s">
        <v>16</v>
      </c>
      <c r="C18">
        <v>52.048616699999997</v>
      </c>
      <c r="D18">
        <v>-0.57306270000000004</v>
      </c>
      <c r="E18">
        <v>4</v>
      </c>
      <c r="F18">
        <v>4</v>
      </c>
      <c r="G18">
        <v>2022</v>
      </c>
      <c r="H18">
        <v>12</v>
      </c>
      <c r="I18">
        <v>55</v>
      </c>
      <c r="J18">
        <v>31</v>
      </c>
      <c r="K18">
        <v>94.17</v>
      </c>
      <c r="L18">
        <v>0</v>
      </c>
      <c r="M18">
        <v>46.008000000000003</v>
      </c>
      <c r="N18">
        <v>0.46800000000000003</v>
      </c>
      <c r="P18">
        <f t="shared" si="1"/>
        <v>16</v>
      </c>
      <c r="Q18" s="1">
        <f t="shared" si="0"/>
        <v>12.78</v>
      </c>
      <c r="R18" s="3">
        <f t="shared" si="2"/>
        <v>-0.20000000000000107</v>
      </c>
    </row>
    <row r="19" spans="1:18" x14ac:dyDescent="0.25">
      <c r="A19" t="s">
        <v>16</v>
      </c>
      <c r="C19">
        <v>52.048728199999999</v>
      </c>
      <c r="D19">
        <v>-0.57311570000000001</v>
      </c>
      <c r="E19">
        <v>4</v>
      </c>
      <c r="F19">
        <v>4</v>
      </c>
      <c r="G19">
        <v>2022</v>
      </c>
      <c r="H19">
        <v>12</v>
      </c>
      <c r="I19">
        <v>55</v>
      </c>
      <c r="J19">
        <v>32</v>
      </c>
      <c r="K19">
        <v>94.16</v>
      </c>
      <c r="L19">
        <v>0</v>
      </c>
      <c r="M19">
        <v>46.475999999999999</v>
      </c>
      <c r="N19">
        <v>0.46800000000000003</v>
      </c>
      <c r="P19">
        <f t="shared" si="1"/>
        <v>17</v>
      </c>
      <c r="Q19" s="1">
        <f t="shared" si="0"/>
        <v>12.91</v>
      </c>
      <c r="R19" s="3">
        <f t="shared" si="2"/>
        <v>0.13000000000000078</v>
      </c>
    </row>
    <row r="20" spans="1:18" x14ac:dyDescent="0.25">
      <c r="A20" t="s">
        <v>16</v>
      </c>
      <c r="C20">
        <v>52.048839800000003</v>
      </c>
      <c r="D20">
        <v>-0.57317479999999998</v>
      </c>
      <c r="E20">
        <v>4</v>
      </c>
      <c r="F20">
        <v>4</v>
      </c>
      <c r="G20">
        <v>2022</v>
      </c>
      <c r="H20">
        <v>12</v>
      </c>
      <c r="I20">
        <v>55</v>
      </c>
      <c r="J20">
        <v>33</v>
      </c>
      <c r="K20">
        <v>94.17</v>
      </c>
      <c r="L20">
        <v>0</v>
      </c>
      <c r="M20">
        <v>46.908000000000001</v>
      </c>
      <c r="N20">
        <v>0.46800000000000003</v>
      </c>
      <c r="P20">
        <f t="shared" si="1"/>
        <v>18</v>
      </c>
      <c r="Q20" s="1">
        <f t="shared" si="0"/>
        <v>13.03</v>
      </c>
      <c r="R20" s="3">
        <f t="shared" si="2"/>
        <v>0.11999999999999922</v>
      </c>
    </row>
    <row r="21" spans="1:18" x14ac:dyDescent="0.25">
      <c r="A21" t="s">
        <v>16</v>
      </c>
      <c r="C21">
        <v>52.048950599999998</v>
      </c>
      <c r="D21">
        <v>-0.57323780000000002</v>
      </c>
      <c r="E21">
        <v>4</v>
      </c>
      <c r="F21">
        <v>4</v>
      </c>
      <c r="G21">
        <v>2022</v>
      </c>
      <c r="H21">
        <v>12</v>
      </c>
      <c r="I21">
        <v>55</v>
      </c>
      <c r="J21">
        <v>34</v>
      </c>
      <c r="K21">
        <v>94.19</v>
      </c>
      <c r="L21">
        <v>0</v>
      </c>
      <c r="M21">
        <v>46.44</v>
      </c>
      <c r="N21">
        <v>0.46800000000000003</v>
      </c>
      <c r="P21">
        <f t="shared" si="1"/>
        <v>19</v>
      </c>
      <c r="Q21" s="1">
        <f t="shared" si="0"/>
        <v>12.9</v>
      </c>
      <c r="R21" s="3">
        <f t="shared" si="2"/>
        <v>-0.12999999999999901</v>
      </c>
    </row>
    <row r="22" spans="1:18" x14ac:dyDescent="0.25">
      <c r="A22" t="s">
        <v>16</v>
      </c>
      <c r="C22">
        <v>52.0490639</v>
      </c>
      <c r="D22">
        <v>-0.57329350000000001</v>
      </c>
      <c r="E22">
        <v>4</v>
      </c>
      <c r="F22">
        <v>4</v>
      </c>
      <c r="G22">
        <v>2022</v>
      </c>
      <c r="H22">
        <v>12</v>
      </c>
      <c r="I22">
        <v>55</v>
      </c>
      <c r="J22">
        <v>35</v>
      </c>
      <c r="K22">
        <v>94.2</v>
      </c>
      <c r="L22">
        <v>0</v>
      </c>
      <c r="M22">
        <v>47.808</v>
      </c>
      <c r="N22">
        <v>0.46800000000000003</v>
      </c>
      <c r="P22">
        <f t="shared" si="1"/>
        <v>20</v>
      </c>
      <c r="Q22" s="1">
        <f t="shared" si="0"/>
        <v>13.28</v>
      </c>
      <c r="R22" s="3">
        <f t="shared" si="2"/>
        <v>0.37999999999999901</v>
      </c>
    </row>
    <row r="23" spans="1:18" x14ac:dyDescent="0.25">
      <c r="A23" t="s">
        <v>16</v>
      </c>
      <c r="C23">
        <v>52.0491788</v>
      </c>
      <c r="D23">
        <v>-0.57333440000000002</v>
      </c>
      <c r="E23">
        <v>4</v>
      </c>
      <c r="F23">
        <v>4</v>
      </c>
      <c r="G23">
        <v>2022</v>
      </c>
      <c r="H23">
        <v>12</v>
      </c>
      <c r="I23">
        <v>55</v>
      </c>
      <c r="J23">
        <v>36</v>
      </c>
      <c r="K23">
        <v>94.58</v>
      </c>
      <c r="L23">
        <v>0</v>
      </c>
      <c r="M23">
        <v>45.648000000000003</v>
      </c>
      <c r="N23">
        <v>0.504</v>
      </c>
      <c r="P23">
        <f t="shared" si="1"/>
        <v>21</v>
      </c>
      <c r="Q23" s="1">
        <f t="shared" si="0"/>
        <v>12.68</v>
      </c>
      <c r="R23" s="3">
        <f t="shared" si="2"/>
        <v>-0.59999999999999964</v>
      </c>
    </row>
    <row r="24" spans="1:18" x14ac:dyDescent="0.25">
      <c r="A24" t="s">
        <v>16</v>
      </c>
      <c r="C24">
        <v>52.049288500000003</v>
      </c>
      <c r="D24">
        <v>-0.5733625</v>
      </c>
      <c r="E24">
        <v>4</v>
      </c>
      <c r="F24">
        <v>4</v>
      </c>
      <c r="G24">
        <v>2022</v>
      </c>
      <c r="H24">
        <v>12</v>
      </c>
      <c r="I24">
        <v>55</v>
      </c>
      <c r="J24">
        <v>37</v>
      </c>
      <c r="K24">
        <v>94.67</v>
      </c>
      <c r="L24">
        <v>0</v>
      </c>
      <c r="M24">
        <v>42.948</v>
      </c>
      <c r="N24">
        <v>0.504</v>
      </c>
      <c r="P24">
        <f t="shared" si="1"/>
        <v>22</v>
      </c>
      <c r="Q24" s="1">
        <f t="shared" si="0"/>
        <v>11.93</v>
      </c>
      <c r="R24" s="3">
        <f t="shared" si="2"/>
        <v>-0.75</v>
      </c>
    </row>
    <row r="25" spans="1:18" x14ac:dyDescent="0.25">
      <c r="A25" t="s">
        <v>16</v>
      </c>
      <c r="C25">
        <v>52.049393799999997</v>
      </c>
      <c r="D25">
        <v>-0.57336540000000003</v>
      </c>
      <c r="E25">
        <v>4</v>
      </c>
      <c r="F25">
        <v>4</v>
      </c>
      <c r="G25">
        <v>2022</v>
      </c>
      <c r="H25">
        <v>12</v>
      </c>
      <c r="I25">
        <v>55</v>
      </c>
      <c r="J25">
        <v>38</v>
      </c>
      <c r="K25">
        <v>94.51</v>
      </c>
      <c r="L25">
        <v>0</v>
      </c>
      <c r="M25">
        <v>41.868000000000002</v>
      </c>
      <c r="N25">
        <v>0.57599999999999996</v>
      </c>
      <c r="P25">
        <f t="shared" si="1"/>
        <v>23</v>
      </c>
      <c r="Q25" s="1">
        <f t="shared" si="0"/>
        <v>11.63</v>
      </c>
      <c r="R25" s="3">
        <f t="shared" si="2"/>
        <v>-0.29999999999999893</v>
      </c>
    </row>
    <row r="26" spans="1:18" x14ac:dyDescent="0.25">
      <c r="A26" t="s">
        <v>16</v>
      </c>
      <c r="C26">
        <v>52.049492700000002</v>
      </c>
      <c r="D26">
        <v>-0.57332919999999998</v>
      </c>
      <c r="E26">
        <v>4</v>
      </c>
      <c r="F26">
        <v>4</v>
      </c>
      <c r="G26">
        <v>2022</v>
      </c>
      <c r="H26">
        <v>12</v>
      </c>
      <c r="I26">
        <v>55</v>
      </c>
      <c r="J26">
        <v>39</v>
      </c>
      <c r="K26">
        <v>94.57</v>
      </c>
      <c r="L26">
        <v>0</v>
      </c>
      <c r="M26">
        <v>39.636000000000003</v>
      </c>
      <c r="N26">
        <v>0.46800000000000003</v>
      </c>
      <c r="P26">
        <f t="shared" si="1"/>
        <v>24</v>
      </c>
      <c r="Q26" s="1">
        <f t="shared" si="0"/>
        <v>11.01</v>
      </c>
      <c r="R26" s="3">
        <f t="shared" si="2"/>
        <v>-0.62000000000000099</v>
      </c>
    </row>
    <row r="27" spans="1:18" x14ac:dyDescent="0.25">
      <c r="A27" t="s">
        <v>16</v>
      </c>
      <c r="C27">
        <v>52.049574999999997</v>
      </c>
      <c r="D27">
        <v>-0.57325289999999995</v>
      </c>
      <c r="E27">
        <v>4</v>
      </c>
      <c r="F27">
        <v>4</v>
      </c>
      <c r="G27">
        <v>2022</v>
      </c>
      <c r="H27">
        <v>12</v>
      </c>
      <c r="I27">
        <v>55</v>
      </c>
      <c r="J27">
        <v>40</v>
      </c>
      <c r="K27">
        <v>94.46</v>
      </c>
      <c r="L27">
        <v>0</v>
      </c>
      <c r="M27">
        <v>37.26</v>
      </c>
      <c r="N27">
        <v>0.504</v>
      </c>
      <c r="P27">
        <f t="shared" si="1"/>
        <v>25</v>
      </c>
      <c r="Q27" s="1">
        <f t="shared" si="0"/>
        <v>10.35</v>
      </c>
      <c r="R27" s="3">
        <f t="shared" si="2"/>
        <v>-0.66000000000000014</v>
      </c>
    </row>
    <row r="28" spans="1:18" x14ac:dyDescent="0.25">
      <c r="A28" t="s">
        <v>16</v>
      </c>
      <c r="C28">
        <v>52.049635700000003</v>
      </c>
      <c r="D28">
        <v>-0.57314290000000001</v>
      </c>
      <c r="E28">
        <v>4</v>
      </c>
      <c r="F28">
        <v>4</v>
      </c>
      <c r="G28">
        <v>2022</v>
      </c>
      <c r="H28">
        <v>12</v>
      </c>
      <c r="I28">
        <v>55</v>
      </c>
      <c r="J28">
        <v>41</v>
      </c>
      <c r="K28">
        <v>94.35</v>
      </c>
      <c r="L28">
        <v>0</v>
      </c>
      <c r="M28">
        <v>36.18</v>
      </c>
      <c r="N28">
        <v>1.8360000000000001</v>
      </c>
      <c r="P28">
        <f t="shared" si="1"/>
        <v>26</v>
      </c>
      <c r="Q28" s="1">
        <f t="shared" si="0"/>
        <v>10.050000000000001</v>
      </c>
      <c r="R28" s="3">
        <f t="shared" si="2"/>
        <v>-0.29999999999999893</v>
      </c>
    </row>
    <row r="29" spans="1:18" x14ac:dyDescent="0.25">
      <c r="A29" t="s">
        <v>16</v>
      </c>
      <c r="C29">
        <v>52.049668099999998</v>
      </c>
      <c r="D29">
        <v>-0.57300739999999994</v>
      </c>
      <c r="E29">
        <v>4</v>
      </c>
      <c r="F29">
        <v>4</v>
      </c>
      <c r="G29">
        <v>2022</v>
      </c>
      <c r="H29">
        <v>12</v>
      </c>
      <c r="I29">
        <v>55</v>
      </c>
      <c r="J29">
        <v>42</v>
      </c>
      <c r="K29">
        <v>94.43</v>
      </c>
      <c r="L29">
        <v>0</v>
      </c>
      <c r="M29">
        <v>34.56</v>
      </c>
      <c r="N29">
        <v>1.3680000000000001</v>
      </c>
      <c r="P29">
        <f t="shared" si="1"/>
        <v>27</v>
      </c>
      <c r="Q29" s="1">
        <f t="shared" si="0"/>
        <v>9.6</v>
      </c>
      <c r="R29" s="3">
        <f t="shared" si="2"/>
        <v>-0.45000000000000107</v>
      </c>
    </row>
    <row r="30" spans="1:18" x14ac:dyDescent="0.25">
      <c r="A30" t="s">
        <v>16</v>
      </c>
      <c r="C30">
        <v>52.049674500000002</v>
      </c>
      <c r="D30">
        <v>-0.57287350000000004</v>
      </c>
      <c r="E30">
        <v>4</v>
      </c>
      <c r="F30">
        <v>4</v>
      </c>
      <c r="G30">
        <v>2022</v>
      </c>
      <c r="H30">
        <v>12</v>
      </c>
      <c r="I30">
        <v>55</v>
      </c>
      <c r="J30">
        <v>43</v>
      </c>
      <c r="K30">
        <v>94.43</v>
      </c>
      <c r="L30">
        <v>0</v>
      </c>
      <c r="M30">
        <v>31.248000000000001</v>
      </c>
      <c r="N30">
        <v>2.1960000000000002</v>
      </c>
      <c r="P30">
        <f t="shared" si="1"/>
        <v>28</v>
      </c>
      <c r="Q30" s="1">
        <f t="shared" si="0"/>
        <v>8.68</v>
      </c>
      <c r="R30" s="3">
        <f t="shared" si="2"/>
        <v>-0.91999999999999993</v>
      </c>
    </row>
    <row r="31" spans="1:18" x14ac:dyDescent="0.25">
      <c r="A31" t="s">
        <v>16</v>
      </c>
      <c r="C31">
        <v>52.049648300000001</v>
      </c>
      <c r="D31">
        <v>-0.57275279999999995</v>
      </c>
      <c r="E31">
        <v>4</v>
      </c>
      <c r="F31">
        <v>4</v>
      </c>
      <c r="G31">
        <v>2022</v>
      </c>
      <c r="H31">
        <v>12</v>
      </c>
      <c r="I31">
        <v>55</v>
      </c>
      <c r="J31">
        <v>44</v>
      </c>
      <c r="K31">
        <v>94.25</v>
      </c>
      <c r="L31">
        <v>0</v>
      </c>
      <c r="M31">
        <v>29.736000000000001</v>
      </c>
      <c r="N31">
        <v>2.1960000000000002</v>
      </c>
      <c r="P31">
        <f t="shared" si="1"/>
        <v>29</v>
      </c>
      <c r="Q31" s="1">
        <f t="shared" si="0"/>
        <v>8.26</v>
      </c>
      <c r="R31" s="3">
        <f t="shared" si="2"/>
        <v>-0.41999999999999993</v>
      </c>
    </row>
    <row r="32" spans="1:18" x14ac:dyDescent="0.25">
      <c r="A32" t="s">
        <v>16</v>
      </c>
      <c r="C32">
        <v>52.049597599999998</v>
      </c>
      <c r="D32">
        <v>-0.57265120000000003</v>
      </c>
      <c r="E32">
        <v>4</v>
      </c>
      <c r="F32">
        <v>4</v>
      </c>
      <c r="G32">
        <v>2022</v>
      </c>
      <c r="H32">
        <v>12</v>
      </c>
      <c r="I32">
        <v>55</v>
      </c>
      <c r="J32">
        <v>45</v>
      </c>
      <c r="K32">
        <v>94.15</v>
      </c>
      <c r="L32">
        <v>0</v>
      </c>
      <c r="M32">
        <v>30.167999999999999</v>
      </c>
      <c r="N32">
        <v>1.6559999999999999</v>
      </c>
      <c r="P32">
        <f t="shared" si="1"/>
        <v>30</v>
      </c>
      <c r="Q32" s="1">
        <f t="shared" si="0"/>
        <v>8.3800000000000008</v>
      </c>
      <c r="R32" s="3">
        <f t="shared" si="2"/>
        <v>0.12000000000000099</v>
      </c>
    </row>
    <row r="33" spans="1:18" x14ac:dyDescent="0.25">
      <c r="A33" t="s">
        <v>16</v>
      </c>
      <c r="C33">
        <v>52.049533099999998</v>
      </c>
      <c r="D33">
        <v>-0.57256839999999998</v>
      </c>
      <c r="E33">
        <v>4</v>
      </c>
      <c r="F33">
        <v>4</v>
      </c>
      <c r="G33">
        <v>2022</v>
      </c>
      <c r="H33">
        <v>12</v>
      </c>
      <c r="I33">
        <v>55</v>
      </c>
      <c r="J33">
        <v>46</v>
      </c>
      <c r="K33">
        <v>94.16</v>
      </c>
      <c r="L33">
        <v>0</v>
      </c>
      <c r="M33">
        <v>31.391999999999999</v>
      </c>
      <c r="N33">
        <v>0.54</v>
      </c>
      <c r="P33">
        <f t="shared" si="1"/>
        <v>31</v>
      </c>
      <c r="Q33" s="1">
        <f t="shared" si="0"/>
        <v>8.7200000000000006</v>
      </c>
      <c r="R33" s="3">
        <f t="shared" si="2"/>
        <v>0.33999999999999986</v>
      </c>
    </row>
    <row r="34" spans="1:18" x14ac:dyDescent="0.25">
      <c r="A34" t="s">
        <v>16</v>
      </c>
      <c r="C34">
        <v>52.049456499999998</v>
      </c>
      <c r="D34">
        <v>-0.57249989999999995</v>
      </c>
      <c r="E34">
        <v>4</v>
      </c>
      <c r="F34">
        <v>4</v>
      </c>
      <c r="G34">
        <v>2022</v>
      </c>
      <c r="H34">
        <v>12</v>
      </c>
      <c r="I34">
        <v>55</v>
      </c>
      <c r="J34">
        <v>47</v>
      </c>
      <c r="K34">
        <v>93.96</v>
      </c>
      <c r="L34">
        <v>0</v>
      </c>
      <c r="M34">
        <v>34.631999999999998</v>
      </c>
      <c r="N34">
        <v>0.64800000000000002</v>
      </c>
      <c r="P34">
        <f t="shared" si="1"/>
        <v>32</v>
      </c>
      <c r="Q34" s="1">
        <f t="shared" si="0"/>
        <v>9.6199999999999992</v>
      </c>
      <c r="R34" s="3">
        <f t="shared" si="2"/>
        <v>0.89999999999999858</v>
      </c>
    </row>
    <row r="35" spans="1:18" x14ac:dyDescent="0.25">
      <c r="A35" t="s">
        <v>16</v>
      </c>
      <c r="C35">
        <v>52.049368600000001</v>
      </c>
      <c r="D35">
        <v>-0.57244030000000001</v>
      </c>
      <c r="E35">
        <v>4</v>
      </c>
      <c r="F35">
        <v>4</v>
      </c>
      <c r="G35">
        <v>2022</v>
      </c>
      <c r="H35">
        <v>12</v>
      </c>
      <c r="I35">
        <v>55</v>
      </c>
      <c r="J35">
        <v>48</v>
      </c>
      <c r="K35">
        <v>93.94</v>
      </c>
      <c r="L35">
        <v>0</v>
      </c>
      <c r="M35">
        <v>37.404000000000003</v>
      </c>
      <c r="N35">
        <v>0.504</v>
      </c>
      <c r="P35">
        <f t="shared" si="1"/>
        <v>33</v>
      </c>
      <c r="Q35" s="1">
        <f t="shared" ref="Q35:Q52" si="3">M35*1000/3600</f>
        <v>10.39</v>
      </c>
      <c r="R35" s="3">
        <f t="shared" si="2"/>
        <v>0.77000000000000135</v>
      </c>
    </row>
    <row r="36" spans="1:18" x14ac:dyDescent="0.25">
      <c r="A36" t="s">
        <v>16</v>
      </c>
      <c r="C36">
        <v>52.049274599999997</v>
      </c>
      <c r="D36">
        <v>-0.57238699999999998</v>
      </c>
      <c r="E36">
        <v>4</v>
      </c>
      <c r="F36">
        <v>4</v>
      </c>
      <c r="G36">
        <v>2022</v>
      </c>
      <c r="H36">
        <v>12</v>
      </c>
      <c r="I36">
        <v>55</v>
      </c>
      <c r="J36">
        <v>49</v>
      </c>
      <c r="K36">
        <v>93.59</v>
      </c>
      <c r="L36">
        <v>0</v>
      </c>
      <c r="M36">
        <v>38.591999999999999</v>
      </c>
      <c r="N36">
        <v>0.504</v>
      </c>
      <c r="P36">
        <f t="shared" si="1"/>
        <v>34</v>
      </c>
      <c r="Q36" s="1">
        <f t="shared" si="3"/>
        <v>10.72</v>
      </c>
      <c r="R36" s="3">
        <f t="shared" si="2"/>
        <v>0.33000000000000007</v>
      </c>
    </row>
    <row r="37" spans="1:18" x14ac:dyDescent="0.25">
      <c r="A37" t="s">
        <v>16</v>
      </c>
      <c r="C37">
        <v>52.049176500000002</v>
      </c>
      <c r="D37">
        <v>-0.57233500000000004</v>
      </c>
      <c r="E37">
        <v>4</v>
      </c>
      <c r="F37">
        <v>4</v>
      </c>
      <c r="G37">
        <v>2022</v>
      </c>
      <c r="H37">
        <v>12</v>
      </c>
      <c r="I37">
        <v>55</v>
      </c>
      <c r="J37">
        <v>50</v>
      </c>
      <c r="K37">
        <v>93.44</v>
      </c>
      <c r="L37">
        <v>0</v>
      </c>
      <c r="M37">
        <v>40.787999999999997</v>
      </c>
      <c r="N37">
        <v>0.504</v>
      </c>
      <c r="P37">
        <f t="shared" si="1"/>
        <v>35</v>
      </c>
      <c r="Q37" s="1">
        <f t="shared" si="3"/>
        <v>11.33</v>
      </c>
      <c r="R37" s="3">
        <f t="shared" si="2"/>
        <v>0.60999999999999943</v>
      </c>
    </row>
    <row r="38" spans="1:18" x14ac:dyDescent="0.25">
      <c r="A38" t="s">
        <v>16</v>
      </c>
      <c r="C38">
        <v>52.049075199999997</v>
      </c>
      <c r="D38">
        <v>-0.57228290000000004</v>
      </c>
      <c r="E38">
        <v>4</v>
      </c>
      <c r="F38">
        <v>4</v>
      </c>
      <c r="G38">
        <v>2022</v>
      </c>
      <c r="H38">
        <v>12</v>
      </c>
      <c r="I38">
        <v>55</v>
      </c>
      <c r="J38">
        <v>51</v>
      </c>
      <c r="K38">
        <v>93.15</v>
      </c>
      <c r="L38">
        <v>0</v>
      </c>
      <c r="M38">
        <v>41.543999999999997</v>
      </c>
      <c r="N38">
        <v>0.54</v>
      </c>
      <c r="P38">
        <f t="shared" si="1"/>
        <v>36</v>
      </c>
      <c r="Q38" s="1">
        <f t="shared" si="3"/>
        <v>11.54</v>
      </c>
      <c r="R38" s="3">
        <f t="shared" si="2"/>
        <v>0.20999999999999908</v>
      </c>
    </row>
    <row r="39" spans="1:18" x14ac:dyDescent="0.25">
      <c r="A39" t="s">
        <v>16</v>
      </c>
      <c r="C39">
        <v>52.0489721</v>
      </c>
      <c r="D39">
        <v>-0.57222989999999996</v>
      </c>
      <c r="E39">
        <v>4</v>
      </c>
      <c r="F39">
        <v>4</v>
      </c>
      <c r="G39">
        <v>2022</v>
      </c>
      <c r="H39">
        <v>12</v>
      </c>
      <c r="I39">
        <v>55</v>
      </c>
      <c r="J39">
        <v>52</v>
      </c>
      <c r="K39">
        <v>92.99</v>
      </c>
      <c r="L39">
        <v>0</v>
      </c>
      <c r="M39">
        <v>42.515999999999998</v>
      </c>
      <c r="N39">
        <v>0.54</v>
      </c>
      <c r="P39">
        <f t="shared" si="1"/>
        <v>37</v>
      </c>
      <c r="Q39" s="1">
        <f t="shared" si="3"/>
        <v>11.81</v>
      </c>
      <c r="R39" s="3">
        <f t="shared" si="2"/>
        <v>0.27000000000000135</v>
      </c>
    </row>
    <row r="40" spans="1:18" x14ac:dyDescent="0.25">
      <c r="A40" t="s">
        <v>16</v>
      </c>
      <c r="C40">
        <v>52.048869400000001</v>
      </c>
      <c r="D40">
        <v>-0.57217600000000002</v>
      </c>
      <c r="E40">
        <v>4</v>
      </c>
      <c r="F40">
        <v>4</v>
      </c>
      <c r="G40">
        <v>2022</v>
      </c>
      <c r="H40">
        <v>12</v>
      </c>
      <c r="I40">
        <v>55</v>
      </c>
      <c r="J40">
        <v>53</v>
      </c>
      <c r="K40">
        <v>92.9</v>
      </c>
      <c r="L40">
        <v>0</v>
      </c>
      <c r="M40">
        <v>41.543999999999997</v>
      </c>
      <c r="N40">
        <v>0.54</v>
      </c>
      <c r="P40">
        <f t="shared" si="1"/>
        <v>38</v>
      </c>
      <c r="Q40" s="1">
        <f t="shared" si="3"/>
        <v>11.54</v>
      </c>
      <c r="R40" s="3">
        <f t="shared" si="2"/>
        <v>-0.27000000000000135</v>
      </c>
    </row>
    <row r="41" spans="1:18" x14ac:dyDescent="0.25">
      <c r="A41" t="s">
        <v>16</v>
      </c>
      <c r="C41">
        <v>52.048767499999997</v>
      </c>
      <c r="D41">
        <v>-0.57212560000000001</v>
      </c>
      <c r="E41">
        <v>4</v>
      </c>
      <c r="F41">
        <v>4</v>
      </c>
      <c r="G41">
        <v>2022</v>
      </c>
      <c r="H41">
        <v>12</v>
      </c>
      <c r="I41">
        <v>55</v>
      </c>
      <c r="J41">
        <v>54</v>
      </c>
      <c r="K41">
        <v>92.71</v>
      </c>
      <c r="L41">
        <v>0</v>
      </c>
      <c r="M41">
        <v>41.616</v>
      </c>
      <c r="N41">
        <v>0.57599999999999996</v>
      </c>
      <c r="P41">
        <f t="shared" si="1"/>
        <v>39</v>
      </c>
      <c r="Q41" s="1">
        <f t="shared" si="3"/>
        <v>11.56</v>
      </c>
      <c r="R41" s="3">
        <f t="shared" si="2"/>
        <v>2.000000000000135E-2</v>
      </c>
    </row>
    <row r="42" spans="1:18" x14ac:dyDescent="0.25">
      <c r="A42" t="s">
        <v>16</v>
      </c>
      <c r="C42">
        <v>52.048663500000004</v>
      </c>
      <c r="D42">
        <v>-0.57208550000000002</v>
      </c>
      <c r="E42">
        <v>4</v>
      </c>
      <c r="F42">
        <v>4</v>
      </c>
      <c r="G42">
        <v>2022</v>
      </c>
      <c r="H42">
        <v>12</v>
      </c>
      <c r="I42">
        <v>55</v>
      </c>
      <c r="J42">
        <v>55</v>
      </c>
      <c r="K42">
        <v>92.62</v>
      </c>
      <c r="L42">
        <v>0</v>
      </c>
      <c r="M42">
        <v>41.904000000000003</v>
      </c>
      <c r="N42">
        <v>0.54</v>
      </c>
      <c r="P42">
        <f t="shared" si="1"/>
        <v>40</v>
      </c>
      <c r="Q42" s="1">
        <f t="shared" si="3"/>
        <v>11.64</v>
      </c>
      <c r="R42" s="3">
        <f t="shared" si="2"/>
        <v>8.0000000000000071E-2</v>
      </c>
    </row>
    <row r="43" spans="1:18" x14ac:dyDescent="0.25">
      <c r="A43" t="s">
        <v>16</v>
      </c>
      <c r="C43">
        <v>52.048557899999999</v>
      </c>
      <c r="D43">
        <v>-0.57205459999999997</v>
      </c>
      <c r="E43">
        <v>4</v>
      </c>
      <c r="F43">
        <v>4</v>
      </c>
      <c r="G43">
        <v>2022</v>
      </c>
      <c r="H43">
        <v>12</v>
      </c>
      <c r="I43">
        <v>55</v>
      </c>
      <c r="J43">
        <v>56</v>
      </c>
      <c r="K43">
        <v>92.51</v>
      </c>
      <c r="L43">
        <v>0</v>
      </c>
      <c r="M43">
        <v>41.904000000000003</v>
      </c>
      <c r="N43">
        <v>0.504</v>
      </c>
      <c r="P43">
        <f t="shared" si="1"/>
        <v>41</v>
      </c>
      <c r="Q43" s="1">
        <f t="shared" si="3"/>
        <v>11.64</v>
      </c>
      <c r="R43" s="3">
        <f t="shared" si="2"/>
        <v>0</v>
      </c>
    </row>
    <row r="44" spans="1:18" x14ac:dyDescent="0.25">
      <c r="A44" t="s">
        <v>16</v>
      </c>
      <c r="C44">
        <v>52.048451300000004</v>
      </c>
      <c r="D44">
        <v>-0.57202459999999999</v>
      </c>
      <c r="E44">
        <v>4</v>
      </c>
      <c r="F44">
        <v>4</v>
      </c>
      <c r="G44">
        <v>2022</v>
      </c>
      <c r="H44">
        <v>12</v>
      </c>
      <c r="I44">
        <v>55</v>
      </c>
      <c r="J44">
        <v>57</v>
      </c>
      <c r="K44">
        <v>92.4</v>
      </c>
      <c r="L44">
        <v>0</v>
      </c>
      <c r="M44">
        <v>42.695999999999998</v>
      </c>
      <c r="N44">
        <v>0.504</v>
      </c>
      <c r="P44">
        <f t="shared" si="1"/>
        <v>42</v>
      </c>
      <c r="Q44" s="1">
        <f t="shared" si="3"/>
        <v>11.86</v>
      </c>
      <c r="R44" s="3">
        <f t="shared" si="2"/>
        <v>0.21999999999999886</v>
      </c>
    </row>
    <row r="45" spans="1:18" x14ac:dyDescent="0.25">
      <c r="A45" t="s">
        <v>16</v>
      </c>
      <c r="C45">
        <v>52.0483476</v>
      </c>
      <c r="D45">
        <v>-0.5719959</v>
      </c>
      <c r="E45">
        <v>4</v>
      </c>
      <c r="F45">
        <v>4</v>
      </c>
      <c r="G45">
        <v>2022</v>
      </c>
      <c r="H45">
        <v>12</v>
      </c>
      <c r="I45">
        <v>55</v>
      </c>
      <c r="J45">
        <v>58</v>
      </c>
      <c r="K45">
        <v>92.34</v>
      </c>
      <c r="L45">
        <v>0</v>
      </c>
      <c r="M45">
        <v>40.14</v>
      </c>
      <c r="N45">
        <v>0.54</v>
      </c>
      <c r="P45">
        <f t="shared" si="1"/>
        <v>43</v>
      </c>
      <c r="Q45" s="1">
        <f t="shared" si="3"/>
        <v>11.15</v>
      </c>
      <c r="R45" s="3">
        <f t="shared" si="2"/>
        <v>-0.70999999999999908</v>
      </c>
    </row>
    <row r="46" spans="1:18" x14ac:dyDescent="0.25">
      <c r="A46" t="s">
        <v>16</v>
      </c>
      <c r="C46">
        <v>52.048247799999999</v>
      </c>
      <c r="D46">
        <v>-0.57196800000000003</v>
      </c>
      <c r="E46">
        <v>4</v>
      </c>
      <c r="F46">
        <v>4</v>
      </c>
      <c r="G46">
        <v>2022</v>
      </c>
      <c r="H46">
        <v>12</v>
      </c>
      <c r="I46">
        <v>55</v>
      </c>
      <c r="J46">
        <v>59</v>
      </c>
      <c r="K46">
        <v>92.32</v>
      </c>
      <c r="L46">
        <v>0</v>
      </c>
      <c r="M46">
        <v>39.491999999999997</v>
      </c>
      <c r="N46">
        <v>0.54</v>
      </c>
      <c r="P46">
        <f t="shared" si="1"/>
        <v>44</v>
      </c>
      <c r="Q46" s="1">
        <f t="shared" si="3"/>
        <v>10.97</v>
      </c>
      <c r="R46" s="3">
        <f t="shared" si="2"/>
        <v>-0.17999999999999972</v>
      </c>
    </row>
    <row r="47" spans="1:18" x14ac:dyDescent="0.25">
      <c r="A47" t="s">
        <v>16</v>
      </c>
      <c r="C47">
        <v>52.048149700000003</v>
      </c>
      <c r="D47">
        <v>-0.57194389999999995</v>
      </c>
      <c r="E47">
        <v>4</v>
      </c>
      <c r="F47">
        <v>4</v>
      </c>
      <c r="G47">
        <v>2022</v>
      </c>
      <c r="H47">
        <v>12</v>
      </c>
      <c r="I47">
        <v>56</v>
      </c>
      <c r="J47">
        <v>0</v>
      </c>
      <c r="K47">
        <v>92.3</v>
      </c>
      <c r="L47">
        <v>0</v>
      </c>
      <c r="M47">
        <v>38.808</v>
      </c>
      <c r="N47">
        <v>0.54</v>
      </c>
      <c r="P47">
        <f t="shared" si="1"/>
        <v>45</v>
      </c>
      <c r="Q47" s="1">
        <f t="shared" si="3"/>
        <v>10.78</v>
      </c>
      <c r="R47" s="3">
        <f t="shared" si="2"/>
        <v>-0.19000000000000128</v>
      </c>
    </row>
    <row r="48" spans="1:18" x14ac:dyDescent="0.25">
      <c r="A48" t="s">
        <v>16</v>
      </c>
      <c r="C48">
        <v>52.048051200000003</v>
      </c>
      <c r="D48">
        <v>-0.57192960000000004</v>
      </c>
      <c r="E48">
        <v>4</v>
      </c>
      <c r="F48">
        <v>4</v>
      </c>
      <c r="G48">
        <v>2022</v>
      </c>
      <c r="H48">
        <v>12</v>
      </c>
      <c r="I48">
        <v>56</v>
      </c>
      <c r="J48">
        <v>1</v>
      </c>
      <c r="K48">
        <v>92.32</v>
      </c>
      <c r="L48">
        <v>0</v>
      </c>
      <c r="M48">
        <v>39.204000000000001</v>
      </c>
      <c r="N48">
        <v>0.54</v>
      </c>
      <c r="P48">
        <f t="shared" si="1"/>
        <v>46</v>
      </c>
      <c r="Q48" s="1">
        <f t="shared" si="3"/>
        <v>10.89</v>
      </c>
      <c r="R48" s="3">
        <f t="shared" si="2"/>
        <v>0.11000000000000121</v>
      </c>
    </row>
    <row r="49" spans="1:18" x14ac:dyDescent="0.25">
      <c r="A49" t="s">
        <v>16</v>
      </c>
      <c r="C49">
        <v>52.047950999999998</v>
      </c>
      <c r="D49">
        <v>-0.57191720000000001</v>
      </c>
      <c r="E49">
        <v>4</v>
      </c>
      <c r="F49">
        <v>4</v>
      </c>
      <c r="G49">
        <v>2022</v>
      </c>
      <c r="H49">
        <v>12</v>
      </c>
      <c r="I49">
        <v>56</v>
      </c>
      <c r="J49">
        <v>2</v>
      </c>
      <c r="K49">
        <v>92.22</v>
      </c>
      <c r="L49">
        <v>0</v>
      </c>
      <c r="M49">
        <v>40.031999999999996</v>
      </c>
      <c r="N49">
        <v>0.504</v>
      </c>
      <c r="P49">
        <f t="shared" si="1"/>
        <v>47</v>
      </c>
      <c r="Q49" s="1">
        <f t="shared" si="3"/>
        <v>11.12</v>
      </c>
      <c r="R49" s="3">
        <f t="shared" si="2"/>
        <v>0.22999999999999865</v>
      </c>
    </row>
    <row r="50" spans="1:18" x14ac:dyDescent="0.25">
      <c r="A50" t="s">
        <v>16</v>
      </c>
      <c r="C50">
        <v>52.047850099999998</v>
      </c>
      <c r="D50">
        <v>-0.57189909999999999</v>
      </c>
      <c r="E50">
        <v>4</v>
      </c>
      <c r="F50">
        <v>4</v>
      </c>
      <c r="G50">
        <v>2022</v>
      </c>
      <c r="H50">
        <v>12</v>
      </c>
      <c r="I50">
        <v>56</v>
      </c>
      <c r="J50">
        <v>3</v>
      </c>
      <c r="K50">
        <v>92.27</v>
      </c>
      <c r="L50">
        <v>0</v>
      </c>
      <c r="M50">
        <v>40.212000000000003</v>
      </c>
      <c r="N50">
        <v>0.504</v>
      </c>
      <c r="P50">
        <f t="shared" si="1"/>
        <v>48</v>
      </c>
      <c r="Q50" s="1">
        <f t="shared" si="3"/>
        <v>11.17</v>
      </c>
      <c r="R50" s="3">
        <f t="shared" si="2"/>
        <v>5.0000000000000711E-2</v>
      </c>
    </row>
    <row r="51" spans="1:18" x14ac:dyDescent="0.25">
      <c r="A51" t="s">
        <v>16</v>
      </c>
      <c r="C51">
        <v>52.047749699999997</v>
      </c>
      <c r="D51">
        <v>-0.57188510000000004</v>
      </c>
      <c r="E51">
        <v>4</v>
      </c>
      <c r="F51">
        <v>4</v>
      </c>
      <c r="G51">
        <v>2022</v>
      </c>
      <c r="H51">
        <v>12</v>
      </c>
      <c r="I51">
        <v>56</v>
      </c>
      <c r="J51">
        <v>4</v>
      </c>
      <c r="K51">
        <v>92.12</v>
      </c>
      <c r="L51">
        <v>0</v>
      </c>
      <c r="M51">
        <v>39.456000000000003</v>
      </c>
      <c r="N51">
        <v>0.504</v>
      </c>
      <c r="P51">
        <f t="shared" si="1"/>
        <v>49</v>
      </c>
      <c r="Q51" s="1">
        <f t="shared" si="3"/>
        <v>10.96</v>
      </c>
      <c r="R51" s="3">
        <f t="shared" si="2"/>
        <v>-0.20999999999999908</v>
      </c>
    </row>
    <row r="52" spans="1:18" x14ac:dyDescent="0.25">
      <c r="A52" t="s">
        <v>16</v>
      </c>
      <c r="C52">
        <v>52.047650500000003</v>
      </c>
      <c r="D52">
        <v>-0.57187949999999999</v>
      </c>
      <c r="E52">
        <v>4</v>
      </c>
      <c r="F52">
        <v>4</v>
      </c>
      <c r="G52">
        <v>2022</v>
      </c>
      <c r="H52">
        <v>12</v>
      </c>
      <c r="I52">
        <v>56</v>
      </c>
      <c r="J52">
        <v>5</v>
      </c>
      <c r="K52">
        <v>92.25</v>
      </c>
      <c r="L52">
        <v>0</v>
      </c>
      <c r="M52">
        <v>39.204000000000001</v>
      </c>
      <c r="N52">
        <v>0.504</v>
      </c>
      <c r="P52">
        <f t="shared" si="1"/>
        <v>50</v>
      </c>
      <c r="Q52" s="1">
        <f t="shared" si="3"/>
        <v>10.89</v>
      </c>
      <c r="R52" s="3">
        <f t="shared" si="2"/>
        <v>-7.0000000000000284E-2</v>
      </c>
    </row>
    <row r="53" spans="1:18" x14ac:dyDescent="0.25">
      <c r="Q53" s="1"/>
      <c r="R53" s="3"/>
    </row>
    <row r="54" spans="1:18" x14ac:dyDescent="0.25">
      <c r="Q54" s="1"/>
      <c r="R54" s="3">
        <f>MAX(R4:R52)</f>
        <v>0.89999999999999858</v>
      </c>
    </row>
    <row r="55" spans="1:18" x14ac:dyDescent="0.25">
      <c r="Q55" s="1"/>
      <c r="R55" s="3"/>
    </row>
    <row r="56" spans="1:18" x14ac:dyDescent="0.25">
      <c r="Q56" s="1"/>
      <c r="R56" s="3"/>
    </row>
    <row r="57" spans="1:18" x14ac:dyDescent="0.25">
      <c r="Q57" s="1"/>
      <c r="R57" s="3"/>
    </row>
    <row r="58" spans="1:18" x14ac:dyDescent="0.25">
      <c r="Q58" s="1"/>
      <c r="R58" s="3"/>
    </row>
    <row r="59" spans="1:18" x14ac:dyDescent="0.25">
      <c r="Q59" s="1"/>
      <c r="R59" s="3"/>
    </row>
    <row r="60" spans="1:18" x14ac:dyDescent="0.25">
      <c r="Q60" s="1"/>
      <c r="R60" s="3"/>
    </row>
    <row r="61" spans="1:18" x14ac:dyDescent="0.25">
      <c r="Q61" s="1"/>
      <c r="R61" s="3"/>
    </row>
    <row r="62" spans="1:18" x14ac:dyDescent="0.25">
      <c r="Q62" s="1"/>
      <c r="R62" s="3"/>
    </row>
    <row r="63" spans="1:18" x14ac:dyDescent="0.25">
      <c r="Q63" s="1"/>
      <c r="R63" s="3"/>
    </row>
    <row r="64" spans="1:18" x14ac:dyDescent="0.25">
      <c r="Q64" s="1"/>
      <c r="R64" s="3"/>
    </row>
    <row r="65" spans="17:18" x14ac:dyDescent="0.25">
      <c r="Q65" s="1"/>
      <c r="R65" s="3"/>
    </row>
    <row r="66" spans="17:18" x14ac:dyDescent="0.25">
      <c r="Q66" s="1"/>
      <c r="R66" s="3"/>
    </row>
    <row r="67" spans="17:18" x14ac:dyDescent="0.25">
      <c r="Q67" s="1"/>
      <c r="R67" s="3"/>
    </row>
    <row r="68" spans="17:18" x14ac:dyDescent="0.25">
      <c r="Q68" s="1"/>
      <c r="R68" s="3"/>
    </row>
    <row r="69" spans="17:18" x14ac:dyDescent="0.25">
      <c r="Q69" s="1"/>
      <c r="R69" s="3"/>
    </row>
    <row r="70" spans="17:18" x14ac:dyDescent="0.25">
      <c r="Q70" s="1"/>
      <c r="R70" s="3"/>
    </row>
    <row r="71" spans="17:18" x14ac:dyDescent="0.25">
      <c r="Q71" s="1"/>
      <c r="R71" s="3"/>
    </row>
    <row r="72" spans="17:18" x14ac:dyDescent="0.25">
      <c r="Q72" s="1"/>
      <c r="R72" s="3"/>
    </row>
    <row r="73" spans="17:18" x14ac:dyDescent="0.25">
      <c r="Q73" s="1"/>
      <c r="R73" s="3"/>
    </row>
    <row r="74" spans="17:18" x14ac:dyDescent="0.25">
      <c r="Q74" s="1"/>
      <c r="R74" s="3"/>
    </row>
    <row r="75" spans="17:18" x14ac:dyDescent="0.25">
      <c r="Q75" s="1"/>
      <c r="R75" s="3"/>
    </row>
    <row r="76" spans="17:18" x14ac:dyDescent="0.25">
      <c r="Q76" s="1"/>
      <c r="R76" s="3"/>
    </row>
    <row r="77" spans="17:18" x14ac:dyDescent="0.25">
      <c r="Q77" s="1"/>
      <c r="R77" s="3"/>
    </row>
    <row r="78" spans="17:18" x14ac:dyDescent="0.25">
      <c r="Q78" s="1"/>
      <c r="R78" s="3"/>
    </row>
    <row r="79" spans="17:18" x14ac:dyDescent="0.25">
      <c r="Q79" s="1"/>
      <c r="R79" s="3"/>
    </row>
    <row r="80" spans="17:18" x14ac:dyDescent="0.25">
      <c r="Q80" s="1"/>
      <c r="R80" s="3"/>
    </row>
    <row r="81" spans="17:18" x14ac:dyDescent="0.25">
      <c r="Q81" s="1"/>
      <c r="R81" s="3"/>
    </row>
    <row r="82" spans="17:18" x14ac:dyDescent="0.25">
      <c r="Q82" s="1"/>
      <c r="R82" s="3"/>
    </row>
    <row r="83" spans="17:18" x14ac:dyDescent="0.25">
      <c r="Q83" s="1"/>
      <c r="R83" s="3"/>
    </row>
    <row r="84" spans="17:18" x14ac:dyDescent="0.25">
      <c r="Q84" s="1"/>
      <c r="R84" s="3"/>
    </row>
    <row r="85" spans="17:18" x14ac:dyDescent="0.25">
      <c r="Q85" s="1"/>
      <c r="R85" s="3"/>
    </row>
    <row r="86" spans="17:18" x14ac:dyDescent="0.25">
      <c r="Q86" s="1"/>
      <c r="R86" s="3"/>
    </row>
    <row r="87" spans="17:18" x14ac:dyDescent="0.25">
      <c r="Q87" s="1"/>
      <c r="R87" s="3"/>
    </row>
    <row r="88" spans="17:18" x14ac:dyDescent="0.25">
      <c r="Q88" s="1"/>
      <c r="R88" s="3"/>
    </row>
    <row r="89" spans="17:18" x14ac:dyDescent="0.25">
      <c r="Q89" s="1"/>
      <c r="R89" s="3"/>
    </row>
    <row r="90" spans="17:18" x14ac:dyDescent="0.25">
      <c r="Q90" s="1"/>
      <c r="R90" s="3"/>
    </row>
    <row r="91" spans="17:18" x14ac:dyDescent="0.25">
      <c r="Q91" s="1"/>
      <c r="R91" s="3"/>
    </row>
    <row r="92" spans="17:18" x14ac:dyDescent="0.25">
      <c r="Q92" s="1"/>
      <c r="R92" s="3"/>
    </row>
    <row r="93" spans="17:18" x14ac:dyDescent="0.25">
      <c r="Q93" s="1"/>
      <c r="R93" s="3"/>
    </row>
    <row r="94" spans="17:18" x14ac:dyDescent="0.25">
      <c r="Q94" s="1"/>
      <c r="R94" s="3"/>
    </row>
    <row r="95" spans="17:18" x14ac:dyDescent="0.25">
      <c r="Q95" s="1"/>
      <c r="R95" s="3"/>
    </row>
    <row r="96" spans="17:18" x14ac:dyDescent="0.25">
      <c r="Q96" s="1"/>
      <c r="R96" s="3"/>
    </row>
    <row r="97" spans="17:18" x14ac:dyDescent="0.25">
      <c r="Q97" s="1"/>
      <c r="R97" s="3"/>
    </row>
    <row r="98" spans="17:18" x14ac:dyDescent="0.25">
      <c r="Q98" s="1"/>
      <c r="R98" s="3"/>
    </row>
    <row r="99" spans="17:18" x14ac:dyDescent="0.25">
      <c r="Q99" s="1"/>
      <c r="R99" s="3"/>
    </row>
    <row r="100" spans="17:18" x14ac:dyDescent="0.25">
      <c r="Q100" s="1"/>
      <c r="R100" s="3"/>
    </row>
    <row r="101" spans="17:18" x14ac:dyDescent="0.25">
      <c r="Q101" s="1"/>
      <c r="R101" s="3"/>
    </row>
    <row r="102" spans="17:18" x14ac:dyDescent="0.25">
      <c r="Q102" s="1"/>
      <c r="R102" s="3"/>
    </row>
    <row r="103" spans="17:18" x14ac:dyDescent="0.25">
      <c r="Q103" s="1"/>
      <c r="R103" s="3"/>
    </row>
    <row r="104" spans="17:18" x14ac:dyDescent="0.25">
      <c r="Q104" s="1"/>
      <c r="R104" s="3"/>
    </row>
    <row r="105" spans="17:18" x14ac:dyDescent="0.25">
      <c r="Q105" s="1"/>
      <c r="R105" s="3"/>
    </row>
    <row r="106" spans="17:18" x14ac:dyDescent="0.25">
      <c r="Q106" s="1"/>
      <c r="R106" s="3"/>
    </row>
    <row r="107" spans="17:18" x14ac:dyDescent="0.25">
      <c r="Q107" s="1"/>
      <c r="R107" s="3"/>
    </row>
    <row r="108" spans="17:18" x14ac:dyDescent="0.25">
      <c r="Q108" s="1"/>
      <c r="R108" s="3"/>
    </row>
    <row r="109" spans="17:18" x14ac:dyDescent="0.25">
      <c r="Q109" s="1"/>
      <c r="R109" s="3"/>
    </row>
    <row r="110" spans="17:18" x14ac:dyDescent="0.25">
      <c r="Q110" s="1"/>
      <c r="R110" s="3"/>
    </row>
    <row r="111" spans="17:18" x14ac:dyDescent="0.25">
      <c r="Q111" s="1"/>
      <c r="R111" s="3"/>
    </row>
    <row r="112" spans="17:18" x14ac:dyDescent="0.25">
      <c r="Q112" s="1"/>
      <c r="R112" s="3"/>
    </row>
    <row r="113" spans="17:18" x14ac:dyDescent="0.25">
      <c r="Q113" s="1"/>
      <c r="R113" s="3"/>
    </row>
    <row r="114" spans="17:18" x14ac:dyDescent="0.25">
      <c r="Q114" s="1"/>
      <c r="R114" s="3"/>
    </row>
    <row r="115" spans="17:18" x14ac:dyDescent="0.25">
      <c r="Q115" s="1"/>
      <c r="R115" s="3"/>
    </row>
    <row r="116" spans="17:18" x14ac:dyDescent="0.25">
      <c r="Q116" s="1"/>
      <c r="R116" s="3"/>
    </row>
    <row r="117" spans="17:18" x14ac:dyDescent="0.25">
      <c r="Q117" s="1"/>
      <c r="R117" s="3"/>
    </row>
    <row r="118" spans="17:18" x14ac:dyDescent="0.25">
      <c r="Q118" s="1"/>
      <c r="R118" s="3"/>
    </row>
    <row r="119" spans="17:18" x14ac:dyDescent="0.25">
      <c r="Q119" s="1"/>
      <c r="R119" s="3"/>
    </row>
    <row r="120" spans="17:18" x14ac:dyDescent="0.25">
      <c r="Q120" s="1"/>
      <c r="R120" s="3"/>
    </row>
    <row r="121" spans="17:18" x14ac:dyDescent="0.25">
      <c r="Q121" s="1"/>
      <c r="R121" s="3"/>
    </row>
    <row r="122" spans="17:18" x14ac:dyDescent="0.25">
      <c r="Q122" s="1"/>
      <c r="R122" s="3"/>
    </row>
    <row r="123" spans="17:18" x14ac:dyDescent="0.25">
      <c r="Q123" s="1"/>
      <c r="R123" s="3"/>
    </row>
    <row r="124" spans="17:18" x14ac:dyDescent="0.25">
      <c r="Q124" s="1"/>
      <c r="R124" s="3"/>
    </row>
    <row r="125" spans="17:18" x14ac:dyDescent="0.25">
      <c r="Q125" s="1"/>
      <c r="R125" s="3"/>
    </row>
    <row r="126" spans="17:18" x14ac:dyDescent="0.25">
      <c r="Q126" s="1"/>
      <c r="R126" s="3"/>
    </row>
    <row r="127" spans="17:18" x14ac:dyDescent="0.25">
      <c r="Q127" s="1"/>
      <c r="R127" s="3"/>
    </row>
    <row r="128" spans="17:18" x14ac:dyDescent="0.25">
      <c r="Q128" s="1"/>
      <c r="R128" s="3"/>
    </row>
    <row r="129" spans="17:18" x14ac:dyDescent="0.25">
      <c r="Q129" s="1"/>
      <c r="R129" s="3"/>
    </row>
    <row r="130" spans="17:18" x14ac:dyDescent="0.25">
      <c r="Q130" s="1"/>
      <c r="R130" s="3"/>
    </row>
    <row r="131" spans="17:18" x14ac:dyDescent="0.25">
      <c r="Q131" s="1"/>
      <c r="R131" s="3"/>
    </row>
    <row r="132" spans="17:18" x14ac:dyDescent="0.25">
      <c r="Q132" s="1"/>
      <c r="R132" s="3"/>
    </row>
    <row r="133" spans="17:18" x14ac:dyDescent="0.25">
      <c r="Q133" s="1"/>
      <c r="R133" s="3"/>
    </row>
    <row r="134" spans="17:18" x14ac:dyDescent="0.25">
      <c r="Q134" s="1"/>
      <c r="R134" s="3"/>
    </row>
    <row r="135" spans="17:18" x14ac:dyDescent="0.25">
      <c r="Q135" s="1"/>
      <c r="R135" s="3"/>
    </row>
    <row r="136" spans="17:18" x14ac:dyDescent="0.25">
      <c r="Q136" s="1"/>
      <c r="R136" s="3"/>
    </row>
    <row r="137" spans="17:18" x14ac:dyDescent="0.25">
      <c r="Q137" s="1"/>
      <c r="R137" s="3"/>
    </row>
    <row r="138" spans="17:18" x14ac:dyDescent="0.25">
      <c r="Q138" s="1"/>
      <c r="R138" s="3"/>
    </row>
    <row r="139" spans="17:18" x14ac:dyDescent="0.25">
      <c r="Q139" s="1"/>
      <c r="R139" s="3"/>
    </row>
    <row r="140" spans="17:18" x14ac:dyDescent="0.25">
      <c r="Q140" s="1"/>
      <c r="R140" s="3"/>
    </row>
    <row r="141" spans="17:18" x14ac:dyDescent="0.25">
      <c r="Q141" s="1"/>
      <c r="R141" s="3"/>
    </row>
    <row r="142" spans="17:18" x14ac:dyDescent="0.25">
      <c r="Q142" s="1"/>
      <c r="R142" s="3"/>
    </row>
    <row r="143" spans="17:18" x14ac:dyDescent="0.25">
      <c r="Q143" s="1"/>
      <c r="R143" s="3"/>
    </row>
    <row r="144" spans="17:18" x14ac:dyDescent="0.25">
      <c r="Q144" s="1"/>
      <c r="R144" s="3"/>
    </row>
    <row r="145" spans="17:18" x14ac:dyDescent="0.25">
      <c r="Q145" s="1"/>
      <c r="R145" s="3"/>
    </row>
    <row r="146" spans="17:18" x14ac:dyDescent="0.25">
      <c r="Q146" s="1"/>
      <c r="R146" s="3"/>
    </row>
    <row r="147" spans="17:18" x14ac:dyDescent="0.25">
      <c r="Q147" s="1"/>
      <c r="R147" s="3"/>
    </row>
    <row r="148" spans="17:18" x14ac:dyDescent="0.25">
      <c r="Q148" s="1"/>
      <c r="R148" s="3"/>
    </row>
    <row r="149" spans="17:18" x14ac:dyDescent="0.25">
      <c r="Q149" s="1"/>
      <c r="R149" s="3"/>
    </row>
    <row r="150" spans="17:18" x14ac:dyDescent="0.25">
      <c r="Q150" s="1"/>
      <c r="R150" s="3"/>
    </row>
    <row r="151" spans="17:18" x14ac:dyDescent="0.25">
      <c r="Q151" s="1"/>
      <c r="R151" s="3"/>
    </row>
    <row r="152" spans="17:18" x14ac:dyDescent="0.25">
      <c r="Q152" s="1"/>
      <c r="R152" s="3"/>
    </row>
    <row r="153" spans="17:18" x14ac:dyDescent="0.25">
      <c r="Q153" s="1"/>
      <c r="R153" s="3"/>
    </row>
    <row r="154" spans="17:18" x14ac:dyDescent="0.25">
      <c r="Q154" s="1"/>
      <c r="R154" s="3"/>
    </row>
    <row r="155" spans="17:18" x14ac:dyDescent="0.25">
      <c r="Q155" s="1"/>
      <c r="R155" s="3"/>
    </row>
    <row r="156" spans="17:18" x14ac:dyDescent="0.25">
      <c r="Q156" s="1"/>
      <c r="R156" s="3"/>
    </row>
    <row r="157" spans="17:18" x14ac:dyDescent="0.25">
      <c r="Q157" s="1"/>
      <c r="R157" s="3"/>
    </row>
    <row r="158" spans="17:18" x14ac:dyDescent="0.25">
      <c r="Q158" s="1"/>
      <c r="R158" s="3"/>
    </row>
    <row r="159" spans="17:18" x14ac:dyDescent="0.25">
      <c r="Q159" s="1"/>
      <c r="R159" s="3"/>
    </row>
    <row r="160" spans="17:18" x14ac:dyDescent="0.25">
      <c r="Q160" s="1"/>
      <c r="R160" s="3"/>
    </row>
    <row r="161" spans="17:18" x14ac:dyDescent="0.25">
      <c r="Q161" s="1"/>
      <c r="R161" s="3"/>
    </row>
    <row r="162" spans="17:18" x14ac:dyDescent="0.25">
      <c r="Q162" s="1"/>
      <c r="R162" s="3"/>
    </row>
    <row r="163" spans="17:18" x14ac:dyDescent="0.25">
      <c r="Q163" s="1"/>
      <c r="R163" s="3"/>
    </row>
    <row r="164" spans="17:18" x14ac:dyDescent="0.25">
      <c r="Q164" s="1"/>
      <c r="R164" s="3"/>
    </row>
    <row r="165" spans="17:18" x14ac:dyDescent="0.25">
      <c r="Q165" s="1"/>
      <c r="R165" s="3"/>
    </row>
    <row r="166" spans="17:18" x14ac:dyDescent="0.25">
      <c r="Q166" s="1"/>
      <c r="R166" s="3"/>
    </row>
    <row r="167" spans="17:18" x14ac:dyDescent="0.25">
      <c r="Q167" s="1"/>
      <c r="R167" s="3"/>
    </row>
    <row r="168" spans="17:18" x14ac:dyDescent="0.25">
      <c r="Q168" s="1"/>
      <c r="R168" s="3"/>
    </row>
    <row r="169" spans="17:18" x14ac:dyDescent="0.25">
      <c r="Q169" s="1"/>
      <c r="R169" s="3"/>
    </row>
    <row r="170" spans="17:18" x14ac:dyDescent="0.25">
      <c r="Q170" s="1"/>
      <c r="R170" s="3"/>
    </row>
    <row r="171" spans="17:18" x14ac:dyDescent="0.25">
      <c r="Q171" s="1"/>
      <c r="R171" s="3"/>
    </row>
    <row r="172" spans="17:18" x14ac:dyDescent="0.25">
      <c r="Q172" s="1"/>
      <c r="R172" s="3"/>
    </row>
    <row r="173" spans="17:18" x14ac:dyDescent="0.25">
      <c r="Q173" s="1"/>
      <c r="R173" s="3"/>
    </row>
    <row r="174" spans="17:18" x14ac:dyDescent="0.25">
      <c r="Q174" s="1"/>
      <c r="R174" s="3"/>
    </row>
    <row r="175" spans="17:18" x14ac:dyDescent="0.25">
      <c r="Q175" s="1"/>
      <c r="R175" s="3"/>
    </row>
    <row r="176" spans="17:18" x14ac:dyDescent="0.25">
      <c r="Q176" s="1"/>
      <c r="R176" s="3"/>
    </row>
    <row r="177" spans="17:18" x14ac:dyDescent="0.25">
      <c r="Q177" s="1"/>
      <c r="R177" s="3"/>
    </row>
    <row r="178" spans="17:18" x14ac:dyDescent="0.25">
      <c r="Q178" s="1"/>
      <c r="R178" s="3"/>
    </row>
    <row r="179" spans="17:18" x14ac:dyDescent="0.25">
      <c r="Q179" s="1"/>
      <c r="R179" s="3"/>
    </row>
    <row r="180" spans="17:18" x14ac:dyDescent="0.25">
      <c r="Q180" s="1"/>
      <c r="R180" s="3"/>
    </row>
    <row r="181" spans="17:18" x14ac:dyDescent="0.25">
      <c r="Q181" s="1"/>
      <c r="R181" s="3"/>
    </row>
    <row r="182" spans="17:18" x14ac:dyDescent="0.25">
      <c r="Q182" s="1"/>
      <c r="R182" s="3"/>
    </row>
    <row r="183" spans="17:18" x14ac:dyDescent="0.25">
      <c r="Q183" s="1"/>
      <c r="R183" s="3"/>
    </row>
    <row r="184" spans="17:18" x14ac:dyDescent="0.25">
      <c r="Q184" s="1"/>
      <c r="R184" s="3"/>
    </row>
    <row r="185" spans="17:18" x14ac:dyDescent="0.25">
      <c r="Q185" s="1"/>
      <c r="R185" s="3"/>
    </row>
    <row r="186" spans="17:18" x14ac:dyDescent="0.25">
      <c r="Q186" s="1"/>
      <c r="R186" s="3"/>
    </row>
    <row r="187" spans="17:18" x14ac:dyDescent="0.25">
      <c r="Q187" s="1"/>
      <c r="R187" s="3"/>
    </row>
    <row r="188" spans="17:18" x14ac:dyDescent="0.25">
      <c r="Q188" s="1"/>
      <c r="R188" s="3"/>
    </row>
    <row r="189" spans="17:18" x14ac:dyDescent="0.25">
      <c r="Q189" s="1"/>
      <c r="R189" s="3"/>
    </row>
    <row r="190" spans="17:18" x14ac:dyDescent="0.25">
      <c r="Q190" s="1"/>
      <c r="R190" s="3"/>
    </row>
    <row r="191" spans="17:18" x14ac:dyDescent="0.25">
      <c r="Q191" s="1"/>
      <c r="R191" s="3"/>
    </row>
    <row r="192" spans="17:18" x14ac:dyDescent="0.25">
      <c r="Q192" s="1"/>
      <c r="R192" s="3"/>
    </row>
    <row r="193" spans="17:18" x14ac:dyDescent="0.25">
      <c r="Q193" s="1"/>
      <c r="R193" s="3"/>
    </row>
    <row r="194" spans="17:18" x14ac:dyDescent="0.25">
      <c r="Q194" s="1"/>
      <c r="R194" s="3"/>
    </row>
    <row r="195" spans="17:18" x14ac:dyDescent="0.25">
      <c r="Q195" s="1"/>
      <c r="R195" s="3"/>
    </row>
    <row r="196" spans="17:18" x14ac:dyDescent="0.25">
      <c r="Q196" s="1"/>
      <c r="R196" s="3"/>
    </row>
    <row r="197" spans="17:18" x14ac:dyDescent="0.25">
      <c r="Q197" s="1"/>
      <c r="R197" s="3"/>
    </row>
    <row r="198" spans="17:18" x14ac:dyDescent="0.25">
      <c r="Q198" s="1"/>
      <c r="R198" s="3"/>
    </row>
    <row r="199" spans="17:18" x14ac:dyDescent="0.25">
      <c r="Q199" s="1"/>
      <c r="R199" s="3"/>
    </row>
    <row r="200" spans="17:18" x14ac:dyDescent="0.25">
      <c r="Q200" s="1"/>
      <c r="R200" s="3"/>
    </row>
    <row r="201" spans="17:18" x14ac:dyDescent="0.25">
      <c r="Q201" s="1"/>
      <c r="R201" s="3"/>
    </row>
    <row r="202" spans="17:18" x14ac:dyDescent="0.25">
      <c r="Q202" s="1"/>
      <c r="R202" s="3"/>
    </row>
    <row r="203" spans="17:18" x14ac:dyDescent="0.25">
      <c r="Q203" s="1"/>
      <c r="R203" s="3"/>
    </row>
    <row r="204" spans="17:18" x14ac:dyDescent="0.25">
      <c r="Q204" s="1"/>
      <c r="R204" s="3"/>
    </row>
    <row r="205" spans="17:18" x14ac:dyDescent="0.25">
      <c r="Q205" s="1"/>
      <c r="R205" s="3"/>
    </row>
    <row r="206" spans="17:18" x14ac:dyDescent="0.25">
      <c r="Q206" s="1"/>
      <c r="R206" s="3"/>
    </row>
    <row r="207" spans="17:18" x14ac:dyDescent="0.25">
      <c r="Q207" s="1"/>
      <c r="R207" s="3"/>
    </row>
    <row r="208" spans="17:18" x14ac:dyDescent="0.25">
      <c r="Q208" s="1"/>
      <c r="R208" s="3"/>
    </row>
    <row r="209" spans="17:18" x14ac:dyDescent="0.25">
      <c r="Q209" s="1"/>
      <c r="R209" s="3"/>
    </row>
    <row r="210" spans="17:18" x14ac:dyDescent="0.25">
      <c r="Q210" s="1"/>
      <c r="R210" s="3"/>
    </row>
    <row r="211" spans="17:18" x14ac:dyDescent="0.25">
      <c r="Q211" s="1"/>
      <c r="R211" s="3"/>
    </row>
    <row r="212" spans="17:18" x14ac:dyDescent="0.25">
      <c r="Q212" s="1"/>
      <c r="R212" s="3"/>
    </row>
    <row r="213" spans="17:18" x14ac:dyDescent="0.25">
      <c r="Q213" s="1"/>
      <c r="R213" s="3"/>
    </row>
    <row r="214" spans="17:18" x14ac:dyDescent="0.25">
      <c r="Q214" s="1"/>
      <c r="R214" s="3"/>
    </row>
    <row r="215" spans="17:18" x14ac:dyDescent="0.25">
      <c r="Q215" s="1"/>
      <c r="R215" s="3"/>
    </row>
    <row r="216" spans="17:18" x14ac:dyDescent="0.25">
      <c r="Q216" s="1"/>
      <c r="R216" s="3"/>
    </row>
    <row r="217" spans="17:18" x14ac:dyDescent="0.25">
      <c r="Q217" s="1"/>
      <c r="R217" s="3"/>
    </row>
    <row r="218" spans="17:18" x14ac:dyDescent="0.25">
      <c r="Q218" s="1"/>
      <c r="R218" s="3"/>
    </row>
    <row r="219" spans="17:18" x14ac:dyDescent="0.25">
      <c r="Q219" s="1"/>
      <c r="R219" s="3"/>
    </row>
    <row r="220" spans="17:18" x14ac:dyDescent="0.25">
      <c r="Q220" s="1"/>
      <c r="R220" s="3"/>
    </row>
    <row r="221" spans="17:18" x14ac:dyDescent="0.25">
      <c r="Q221" s="1"/>
      <c r="R221" s="3"/>
    </row>
    <row r="222" spans="17:18" x14ac:dyDescent="0.25">
      <c r="Q222" s="1"/>
      <c r="R222" s="3"/>
    </row>
    <row r="223" spans="17:18" x14ac:dyDescent="0.25">
      <c r="Q223" s="1"/>
      <c r="R223" s="3"/>
    </row>
    <row r="224" spans="17:18" x14ac:dyDescent="0.25">
      <c r="Q224" s="1"/>
      <c r="R224" s="3"/>
    </row>
    <row r="225" spans="17:18" x14ac:dyDescent="0.25">
      <c r="Q225" s="1"/>
      <c r="R225" s="3"/>
    </row>
    <row r="226" spans="17:18" x14ac:dyDescent="0.25">
      <c r="Q226" s="1"/>
      <c r="R226" s="3"/>
    </row>
    <row r="227" spans="17:18" x14ac:dyDescent="0.25">
      <c r="Q227" s="1"/>
      <c r="R227" s="3"/>
    </row>
    <row r="228" spans="17:18" x14ac:dyDescent="0.25">
      <c r="Q228" s="1"/>
      <c r="R228" s="3"/>
    </row>
    <row r="229" spans="17:18" x14ac:dyDescent="0.25">
      <c r="Q229" s="1"/>
      <c r="R229" s="3"/>
    </row>
    <row r="230" spans="17:18" x14ac:dyDescent="0.25">
      <c r="Q230" s="1"/>
      <c r="R230" s="3"/>
    </row>
    <row r="231" spans="17:18" x14ac:dyDescent="0.25">
      <c r="Q231" s="1"/>
      <c r="R231" s="3"/>
    </row>
    <row r="232" spans="17:18" x14ac:dyDescent="0.25">
      <c r="Q232" s="1"/>
      <c r="R232" s="3"/>
    </row>
    <row r="233" spans="17:18" x14ac:dyDescent="0.25">
      <c r="Q233" s="1"/>
      <c r="R233" s="3"/>
    </row>
    <row r="234" spans="17:18" x14ac:dyDescent="0.25">
      <c r="Q234" s="1"/>
      <c r="R234" s="3"/>
    </row>
    <row r="235" spans="17:18" x14ac:dyDescent="0.25">
      <c r="Q235" s="1"/>
      <c r="R235" s="3"/>
    </row>
    <row r="236" spans="17:18" x14ac:dyDescent="0.25">
      <c r="Q236" s="1"/>
      <c r="R236" s="3"/>
    </row>
    <row r="237" spans="17:18" x14ac:dyDescent="0.25">
      <c r="Q237" s="1"/>
      <c r="R237" s="3"/>
    </row>
    <row r="238" spans="17:18" x14ac:dyDescent="0.25">
      <c r="Q238" s="1"/>
      <c r="R238" s="3"/>
    </row>
    <row r="239" spans="17:18" x14ac:dyDescent="0.25">
      <c r="Q239" s="1"/>
      <c r="R239" s="3"/>
    </row>
    <row r="240" spans="17:18" x14ac:dyDescent="0.25">
      <c r="Q240" s="1"/>
      <c r="R240" s="3"/>
    </row>
    <row r="241" spans="17:18" x14ac:dyDescent="0.25">
      <c r="Q241" s="1"/>
      <c r="R241" s="3"/>
    </row>
    <row r="242" spans="17:18" x14ac:dyDescent="0.25">
      <c r="Q242" s="1"/>
      <c r="R242" s="3"/>
    </row>
    <row r="243" spans="17:18" x14ac:dyDescent="0.25">
      <c r="Q243" s="1"/>
      <c r="R243" s="3"/>
    </row>
    <row r="244" spans="17:18" x14ac:dyDescent="0.25">
      <c r="Q244" s="1"/>
      <c r="R244" s="3"/>
    </row>
    <row r="245" spans="17:18" x14ac:dyDescent="0.25">
      <c r="Q245" s="1"/>
      <c r="R245" s="3"/>
    </row>
    <row r="246" spans="17:18" x14ac:dyDescent="0.25">
      <c r="Q246" s="1"/>
      <c r="R246" s="3"/>
    </row>
    <row r="247" spans="17:18" x14ac:dyDescent="0.25">
      <c r="Q247" s="1"/>
      <c r="R247" s="3"/>
    </row>
    <row r="248" spans="17:18" x14ac:dyDescent="0.25">
      <c r="Q248" s="1"/>
      <c r="R248" s="3"/>
    </row>
    <row r="249" spans="17:18" x14ac:dyDescent="0.25">
      <c r="Q249" s="1"/>
      <c r="R249" s="3"/>
    </row>
    <row r="250" spans="17:18" x14ac:dyDescent="0.25">
      <c r="Q250" s="1"/>
      <c r="R250" s="3"/>
    </row>
    <row r="251" spans="17:18" x14ac:dyDescent="0.25">
      <c r="Q251" s="1"/>
      <c r="R251" s="3"/>
    </row>
    <row r="252" spans="17:18" x14ac:dyDescent="0.25">
      <c r="Q252" s="1"/>
      <c r="R252" s="3"/>
    </row>
    <row r="253" spans="17:18" x14ac:dyDescent="0.25">
      <c r="Q253" s="1"/>
      <c r="R253" s="3"/>
    </row>
    <row r="254" spans="17:18" x14ac:dyDescent="0.25">
      <c r="Q254" s="1"/>
      <c r="R254" s="3"/>
    </row>
    <row r="255" spans="17:18" x14ac:dyDescent="0.25">
      <c r="Q255" s="1"/>
      <c r="R255" s="3"/>
    </row>
    <row r="256" spans="17:18" x14ac:dyDescent="0.25">
      <c r="Q256" s="1"/>
      <c r="R256" s="3"/>
    </row>
    <row r="257" spans="17:18" x14ac:dyDescent="0.25">
      <c r="Q257" s="1"/>
      <c r="R257" s="3"/>
    </row>
    <row r="258" spans="17:18" x14ac:dyDescent="0.25">
      <c r="Q258" s="1"/>
      <c r="R258" s="3"/>
    </row>
    <row r="259" spans="17:18" x14ac:dyDescent="0.25">
      <c r="Q259" s="1"/>
      <c r="R259" s="3"/>
    </row>
    <row r="260" spans="17:18" x14ac:dyDescent="0.25">
      <c r="Q260" s="1"/>
      <c r="R260" s="3"/>
    </row>
    <row r="261" spans="17:18" x14ac:dyDescent="0.25">
      <c r="Q261" s="1"/>
      <c r="R261" s="3"/>
    </row>
    <row r="262" spans="17:18" x14ac:dyDescent="0.25">
      <c r="Q262" s="1"/>
      <c r="R262" s="3"/>
    </row>
    <row r="263" spans="17:18" x14ac:dyDescent="0.25">
      <c r="Q263" s="1"/>
      <c r="R263" s="3"/>
    </row>
    <row r="264" spans="17:18" x14ac:dyDescent="0.25">
      <c r="Q264" s="1"/>
      <c r="R264" s="3"/>
    </row>
    <row r="265" spans="17:18" x14ac:dyDescent="0.25">
      <c r="Q265" s="1"/>
      <c r="R265" s="3"/>
    </row>
    <row r="266" spans="17:18" x14ac:dyDescent="0.25">
      <c r="Q266" s="1"/>
      <c r="R266" s="3"/>
    </row>
    <row r="267" spans="17:18" x14ac:dyDescent="0.25">
      <c r="Q267" s="1"/>
      <c r="R267" s="3"/>
    </row>
    <row r="268" spans="17:18" x14ac:dyDescent="0.25">
      <c r="Q268" s="1"/>
      <c r="R268" s="3"/>
    </row>
    <row r="269" spans="17:18" x14ac:dyDescent="0.25">
      <c r="Q269" s="1"/>
      <c r="R269" s="3"/>
    </row>
    <row r="270" spans="17:18" x14ac:dyDescent="0.25">
      <c r="Q270" s="1"/>
      <c r="R270" s="3"/>
    </row>
    <row r="271" spans="17:18" x14ac:dyDescent="0.25">
      <c r="Q271" s="1"/>
      <c r="R271" s="3"/>
    </row>
    <row r="272" spans="17:18" x14ac:dyDescent="0.25">
      <c r="Q272" s="1"/>
      <c r="R272" s="3"/>
    </row>
    <row r="273" spans="17:18" x14ac:dyDescent="0.25">
      <c r="Q273" s="1"/>
      <c r="R273" s="3"/>
    </row>
    <row r="274" spans="17:18" x14ac:dyDescent="0.25">
      <c r="Q274" s="1"/>
      <c r="R274" s="3"/>
    </row>
    <row r="275" spans="17:18" x14ac:dyDescent="0.25">
      <c r="Q275" s="1"/>
      <c r="R275" s="3"/>
    </row>
    <row r="276" spans="17:18" x14ac:dyDescent="0.25">
      <c r="Q276" s="1"/>
      <c r="R276" s="3"/>
    </row>
    <row r="277" spans="17:18" x14ac:dyDescent="0.25">
      <c r="Q277" s="1"/>
      <c r="R277" s="3"/>
    </row>
    <row r="278" spans="17:18" x14ac:dyDescent="0.25">
      <c r="Q278" s="1"/>
      <c r="R278" s="3"/>
    </row>
    <row r="279" spans="17:18" x14ac:dyDescent="0.25">
      <c r="Q279" s="1"/>
      <c r="R279" s="3"/>
    </row>
    <row r="280" spans="17:18" x14ac:dyDescent="0.25">
      <c r="Q280" s="1"/>
      <c r="R280" s="3"/>
    </row>
    <row r="281" spans="17:18" x14ac:dyDescent="0.25">
      <c r="Q281" s="1"/>
      <c r="R281" s="3"/>
    </row>
    <row r="282" spans="17:18" x14ac:dyDescent="0.25">
      <c r="Q282" s="1"/>
      <c r="R282" s="3"/>
    </row>
    <row r="283" spans="17:18" x14ac:dyDescent="0.25">
      <c r="Q283" s="1"/>
      <c r="R283" s="3"/>
    </row>
    <row r="284" spans="17:18" x14ac:dyDescent="0.25">
      <c r="Q284" s="1"/>
      <c r="R284" s="3"/>
    </row>
    <row r="285" spans="17:18" x14ac:dyDescent="0.25">
      <c r="Q285" s="1"/>
      <c r="R285" s="3"/>
    </row>
    <row r="286" spans="17:18" x14ac:dyDescent="0.25">
      <c r="Q286" s="1"/>
      <c r="R286" s="3"/>
    </row>
    <row r="287" spans="17:18" x14ac:dyDescent="0.25">
      <c r="Q287" s="1"/>
      <c r="R287" s="3"/>
    </row>
    <row r="288" spans="17:18" x14ac:dyDescent="0.25">
      <c r="Q288" s="1"/>
      <c r="R288" s="3"/>
    </row>
    <row r="289" spans="17:18" x14ac:dyDescent="0.25">
      <c r="Q289" s="1"/>
      <c r="R289" s="3"/>
    </row>
    <row r="290" spans="17:18" x14ac:dyDescent="0.25">
      <c r="Q290" s="1"/>
      <c r="R290" s="3"/>
    </row>
    <row r="291" spans="17:18" x14ac:dyDescent="0.25">
      <c r="Q291" s="1"/>
      <c r="R291" s="3"/>
    </row>
    <row r="292" spans="17:18" x14ac:dyDescent="0.25">
      <c r="Q292" s="1"/>
      <c r="R292" s="3"/>
    </row>
    <row r="293" spans="17:18" x14ac:dyDescent="0.25">
      <c r="Q293" s="1"/>
      <c r="R293" s="3"/>
    </row>
    <row r="294" spans="17:18" x14ac:dyDescent="0.25">
      <c r="Q294" s="1"/>
      <c r="R294" s="3"/>
    </row>
    <row r="295" spans="17:18" x14ac:dyDescent="0.25">
      <c r="Q295" s="1"/>
      <c r="R295" s="3"/>
    </row>
    <row r="296" spans="17:18" x14ac:dyDescent="0.25">
      <c r="Q296" s="1"/>
      <c r="R296" s="3"/>
    </row>
    <row r="297" spans="17:18" x14ac:dyDescent="0.25">
      <c r="Q297" s="1"/>
      <c r="R297" s="3"/>
    </row>
    <row r="298" spans="17:18" x14ac:dyDescent="0.25">
      <c r="Q298" s="1"/>
      <c r="R298" s="3"/>
    </row>
    <row r="299" spans="17:18" x14ac:dyDescent="0.25">
      <c r="Q299" s="1"/>
      <c r="R299" s="3"/>
    </row>
    <row r="300" spans="17:18" x14ac:dyDescent="0.25">
      <c r="Q300" s="1"/>
      <c r="R300" s="3"/>
    </row>
    <row r="301" spans="17:18" x14ac:dyDescent="0.25">
      <c r="Q301" s="1"/>
      <c r="R301" s="3"/>
    </row>
    <row r="302" spans="17:18" x14ac:dyDescent="0.25">
      <c r="Q302" s="1"/>
      <c r="R302" s="3"/>
    </row>
    <row r="303" spans="17:18" x14ac:dyDescent="0.25">
      <c r="Q303" s="1"/>
      <c r="R303" s="3"/>
    </row>
    <row r="304" spans="17:18" x14ac:dyDescent="0.25">
      <c r="Q304" s="1"/>
      <c r="R304" s="3"/>
    </row>
    <row r="305" spans="17:18" x14ac:dyDescent="0.25">
      <c r="Q305" s="1"/>
      <c r="R305" s="3"/>
    </row>
    <row r="306" spans="17:18" x14ac:dyDescent="0.25">
      <c r="Q306" s="1"/>
      <c r="R306" s="3"/>
    </row>
    <row r="307" spans="17:18" x14ac:dyDescent="0.25">
      <c r="Q307" s="1"/>
      <c r="R307" s="3"/>
    </row>
    <row r="308" spans="17:18" x14ac:dyDescent="0.25">
      <c r="Q308" s="1"/>
      <c r="R308" s="3"/>
    </row>
    <row r="309" spans="17:18" x14ac:dyDescent="0.25">
      <c r="Q309" s="1"/>
      <c r="R309" s="3"/>
    </row>
    <row r="310" spans="17:18" x14ac:dyDescent="0.25">
      <c r="Q310" s="1"/>
      <c r="R310" s="3"/>
    </row>
    <row r="311" spans="17:18" x14ac:dyDescent="0.25">
      <c r="Q311" s="1"/>
      <c r="R311" s="3"/>
    </row>
    <row r="312" spans="17:18" x14ac:dyDescent="0.25">
      <c r="Q312" s="1"/>
      <c r="R312" s="3"/>
    </row>
    <row r="313" spans="17:18" x14ac:dyDescent="0.25">
      <c r="Q313" s="1"/>
      <c r="R313" s="3"/>
    </row>
    <row r="314" spans="17:18" x14ac:dyDescent="0.25">
      <c r="Q314" s="1"/>
      <c r="R314" s="3"/>
    </row>
    <row r="315" spans="17:18" x14ac:dyDescent="0.25">
      <c r="Q315" s="1"/>
      <c r="R315" s="3"/>
    </row>
    <row r="316" spans="17:18" x14ac:dyDescent="0.25">
      <c r="Q316" s="1"/>
      <c r="R316" s="3"/>
    </row>
    <row r="317" spans="17:18" x14ac:dyDescent="0.25">
      <c r="Q317" s="1"/>
      <c r="R317" s="3"/>
    </row>
    <row r="318" spans="17:18" x14ac:dyDescent="0.25">
      <c r="Q318" s="1"/>
      <c r="R318" s="3"/>
    </row>
    <row r="319" spans="17:18" x14ac:dyDescent="0.25">
      <c r="Q319" s="1"/>
      <c r="R319" s="3"/>
    </row>
    <row r="320" spans="17:18" x14ac:dyDescent="0.25">
      <c r="Q320" s="1"/>
      <c r="R320" s="3"/>
    </row>
    <row r="321" spans="17:18" x14ac:dyDescent="0.25">
      <c r="Q321" s="1"/>
      <c r="R321" s="3"/>
    </row>
    <row r="322" spans="17:18" x14ac:dyDescent="0.25">
      <c r="Q322" s="1"/>
      <c r="R322" s="3"/>
    </row>
    <row r="323" spans="17:18" x14ac:dyDescent="0.25">
      <c r="Q323" s="1"/>
      <c r="R323" s="3"/>
    </row>
    <row r="324" spans="17:18" x14ac:dyDescent="0.25">
      <c r="Q324" s="1"/>
      <c r="R324" s="3"/>
    </row>
    <row r="325" spans="17:18" x14ac:dyDescent="0.25">
      <c r="Q325" s="1"/>
      <c r="R325" s="3"/>
    </row>
    <row r="326" spans="17:18" x14ac:dyDescent="0.25">
      <c r="Q326" s="1"/>
      <c r="R326" s="3"/>
    </row>
    <row r="327" spans="17:18" x14ac:dyDescent="0.25">
      <c r="Q327" s="1"/>
      <c r="R327" s="3"/>
    </row>
    <row r="328" spans="17:18" x14ac:dyDescent="0.25">
      <c r="Q328" s="1"/>
      <c r="R328" s="3"/>
    </row>
    <row r="329" spans="17:18" x14ac:dyDescent="0.25">
      <c r="Q329" s="1"/>
      <c r="R329" s="3"/>
    </row>
    <row r="330" spans="17:18" x14ac:dyDescent="0.25">
      <c r="Q330" s="1"/>
      <c r="R330" s="3"/>
    </row>
    <row r="331" spans="17:18" x14ac:dyDescent="0.25">
      <c r="Q331" s="1"/>
      <c r="R331" s="3"/>
    </row>
    <row r="332" spans="17:18" x14ac:dyDescent="0.25">
      <c r="Q332" s="1"/>
      <c r="R332" s="3"/>
    </row>
    <row r="333" spans="17:18" x14ac:dyDescent="0.25">
      <c r="Q333" s="1"/>
      <c r="R333" s="3"/>
    </row>
    <row r="334" spans="17:18" x14ac:dyDescent="0.25">
      <c r="Q334" s="1"/>
      <c r="R334" s="3"/>
    </row>
    <row r="335" spans="17:18" x14ac:dyDescent="0.25">
      <c r="Q335" s="1"/>
      <c r="R335" s="3"/>
    </row>
    <row r="336" spans="17:18" x14ac:dyDescent="0.25">
      <c r="Q336" s="1"/>
      <c r="R336" s="3"/>
    </row>
    <row r="337" spans="17:18" x14ac:dyDescent="0.25">
      <c r="Q337" s="1"/>
      <c r="R337" s="3"/>
    </row>
    <row r="338" spans="17:18" x14ac:dyDescent="0.25">
      <c r="Q338" s="1"/>
      <c r="R338" s="3"/>
    </row>
    <row r="339" spans="17:18" x14ac:dyDescent="0.25">
      <c r="Q339" s="1"/>
      <c r="R339" s="3"/>
    </row>
    <row r="340" spans="17:18" x14ac:dyDescent="0.25">
      <c r="Q340" s="1"/>
      <c r="R340" s="3"/>
    </row>
    <row r="341" spans="17:18" x14ac:dyDescent="0.25">
      <c r="Q341" s="1"/>
      <c r="R341" s="3"/>
    </row>
    <row r="342" spans="17:18" x14ac:dyDescent="0.25">
      <c r="Q342" s="1"/>
      <c r="R342" s="3"/>
    </row>
    <row r="343" spans="17:18" x14ac:dyDescent="0.25">
      <c r="Q343" s="1"/>
      <c r="R343" s="3"/>
    </row>
    <row r="344" spans="17:18" x14ac:dyDescent="0.25">
      <c r="Q344" s="1"/>
      <c r="R344" s="3"/>
    </row>
    <row r="345" spans="17:18" x14ac:dyDescent="0.25">
      <c r="Q345" s="1"/>
      <c r="R345" s="3"/>
    </row>
    <row r="346" spans="17:18" x14ac:dyDescent="0.25">
      <c r="Q346" s="1"/>
      <c r="R346" s="3"/>
    </row>
    <row r="347" spans="17:18" x14ac:dyDescent="0.25">
      <c r="Q347" s="1"/>
      <c r="R347" s="3"/>
    </row>
    <row r="348" spans="17:18" x14ac:dyDescent="0.25">
      <c r="Q348" s="1"/>
      <c r="R348" s="3"/>
    </row>
    <row r="349" spans="17:18" x14ac:dyDescent="0.25">
      <c r="Q349" s="1"/>
      <c r="R349" s="3"/>
    </row>
    <row r="350" spans="17:18" x14ac:dyDescent="0.25">
      <c r="Q350" s="1"/>
      <c r="R350" s="3"/>
    </row>
    <row r="351" spans="17:18" x14ac:dyDescent="0.25">
      <c r="Q351" s="1"/>
      <c r="R351" s="3"/>
    </row>
    <row r="352" spans="17:18" x14ac:dyDescent="0.25">
      <c r="Q352" s="1"/>
      <c r="R352" s="3"/>
    </row>
    <row r="353" spans="17:18" x14ac:dyDescent="0.25">
      <c r="Q353" s="1"/>
      <c r="R353" s="3"/>
    </row>
    <row r="354" spans="17:18" x14ac:dyDescent="0.25">
      <c r="Q354" s="1"/>
      <c r="R354" s="3"/>
    </row>
    <row r="355" spans="17:18" x14ac:dyDescent="0.25">
      <c r="Q355" s="1"/>
      <c r="R355" s="3"/>
    </row>
    <row r="356" spans="17:18" x14ac:dyDescent="0.25">
      <c r="Q356" s="1"/>
      <c r="R356" s="3"/>
    </row>
    <row r="357" spans="17:18" x14ac:dyDescent="0.25">
      <c r="Q357" s="1"/>
      <c r="R357" s="3"/>
    </row>
    <row r="358" spans="17:18" x14ac:dyDescent="0.25">
      <c r="Q358" s="1"/>
      <c r="R358" s="3"/>
    </row>
    <row r="359" spans="17:18" x14ac:dyDescent="0.25">
      <c r="Q359" s="1"/>
      <c r="R359" s="3"/>
    </row>
    <row r="360" spans="17:18" x14ac:dyDescent="0.25">
      <c r="Q360" s="1"/>
      <c r="R360" s="3"/>
    </row>
    <row r="361" spans="17:18" x14ac:dyDescent="0.25">
      <c r="Q361" s="1"/>
      <c r="R361" s="3"/>
    </row>
    <row r="362" spans="17:18" x14ac:dyDescent="0.25">
      <c r="Q362" s="1"/>
      <c r="R362" s="3"/>
    </row>
    <row r="363" spans="17:18" x14ac:dyDescent="0.25">
      <c r="Q363" s="1"/>
      <c r="R363" s="3"/>
    </row>
    <row r="364" spans="17:18" x14ac:dyDescent="0.25">
      <c r="Q364" s="1"/>
      <c r="R364" s="3"/>
    </row>
    <row r="365" spans="17:18" x14ac:dyDescent="0.25">
      <c r="Q365" s="1"/>
      <c r="R365" s="3"/>
    </row>
    <row r="366" spans="17:18" x14ac:dyDescent="0.25">
      <c r="Q366" s="1"/>
      <c r="R366" s="3"/>
    </row>
    <row r="367" spans="17:18" x14ac:dyDescent="0.25">
      <c r="Q367" s="1"/>
      <c r="R367" s="3"/>
    </row>
    <row r="368" spans="17:18" x14ac:dyDescent="0.25">
      <c r="Q368" s="1"/>
      <c r="R368" s="3"/>
    </row>
    <row r="369" spans="17:18" x14ac:dyDescent="0.25">
      <c r="Q369" s="1"/>
      <c r="R369" s="3"/>
    </row>
    <row r="370" spans="17:18" x14ac:dyDescent="0.25">
      <c r="Q370" s="1"/>
      <c r="R370" s="3"/>
    </row>
    <row r="371" spans="17:18" x14ac:dyDescent="0.25">
      <c r="Q371" s="1"/>
      <c r="R371" s="3"/>
    </row>
    <row r="372" spans="17:18" x14ac:dyDescent="0.25">
      <c r="Q372" s="1"/>
      <c r="R372" s="3"/>
    </row>
    <row r="373" spans="17:18" x14ac:dyDescent="0.25">
      <c r="Q373" s="1"/>
      <c r="R373" s="3"/>
    </row>
    <row r="374" spans="17:18" x14ac:dyDescent="0.25">
      <c r="Q374" s="1"/>
      <c r="R374" s="3"/>
    </row>
    <row r="375" spans="17:18" x14ac:dyDescent="0.25">
      <c r="Q375" s="1"/>
      <c r="R375" s="3"/>
    </row>
    <row r="376" spans="17:18" x14ac:dyDescent="0.25">
      <c r="Q376" s="1"/>
      <c r="R376" s="3"/>
    </row>
    <row r="377" spans="17:18" x14ac:dyDescent="0.25">
      <c r="Q377" s="1"/>
      <c r="R377" s="3"/>
    </row>
    <row r="378" spans="17:18" x14ac:dyDescent="0.25">
      <c r="Q378" s="1"/>
      <c r="R378" s="3"/>
    </row>
    <row r="379" spans="17:18" x14ac:dyDescent="0.25">
      <c r="Q379" s="1"/>
      <c r="R379" s="3"/>
    </row>
    <row r="380" spans="17:18" x14ac:dyDescent="0.25">
      <c r="Q380" s="1"/>
      <c r="R380" s="3"/>
    </row>
    <row r="381" spans="17:18" x14ac:dyDescent="0.25">
      <c r="Q381" s="1"/>
      <c r="R381" s="3"/>
    </row>
    <row r="382" spans="17:18" x14ac:dyDescent="0.25">
      <c r="Q382" s="1"/>
      <c r="R382" s="3"/>
    </row>
    <row r="383" spans="17:18" x14ac:dyDescent="0.25">
      <c r="Q383" s="1"/>
      <c r="R383" s="3"/>
    </row>
    <row r="384" spans="17:18" x14ac:dyDescent="0.25">
      <c r="Q384" s="1"/>
      <c r="R384" s="3"/>
    </row>
    <row r="385" spans="17:18" x14ac:dyDescent="0.25">
      <c r="Q385" s="1"/>
      <c r="R385" s="3"/>
    </row>
    <row r="386" spans="17:18" x14ac:dyDescent="0.25">
      <c r="Q386" s="1"/>
      <c r="R386" s="3"/>
    </row>
    <row r="387" spans="17:18" x14ac:dyDescent="0.25">
      <c r="Q387" s="1"/>
      <c r="R387" s="3"/>
    </row>
    <row r="388" spans="17:18" x14ac:dyDescent="0.25">
      <c r="Q388" s="1"/>
      <c r="R388" s="3"/>
    </row>
    <row r="389" spans="17:18" x14ac:dyDescent="0.25">
      <c r="Q389" s="1"/>
      <c r="R389" s="3"/>
    </row>
    <row r="390" spans="17:18" x14ac:dyDescent="0.25">
      <c r="Q390" s="1"/>
      <c r="R390" s="3"/>
    </row>
    <row r="391" spans="17:18" x14ac:dyDescent="0.25">
      <c r="Q391" s="1"/>
      <c r="R391" s="3"/>
    </row>
    <row r="392" spans="17:18" x14ac:dyDescent="0.25">
      <c r="Q392" s="1"/>
      <c r="R392" s="3"/>
    </row>
    <row r="393" spans="17:18" x14ac:dyDescent="0.25">
      <c r="Q393" s="1"/>
      <c r="R393" s="3"/>
    </row>
    <row r="394" spans="17:18" x14ac:dyDescent="0.25">
      <c r="Q394" s="1"/>
      <c r="R394" s="3"/>
    </row>
    <row r="395" spans="17:18" x14ac:dyDescent="0.25">
      <c r="Q395" s="1"/>
      <c r="R395" s="3"/>
    </row>
    <row r="396" spans="17:18" x14ac:dyDescent="0.25">
      <c r="Q396" s="1"/>
      <c r="R396" s="3"/>
    </row>
    <row r="397" spans="17:18" x14ac:dyDescent="0.25">
      <c r="Q397" s="1"/>
      <c r="R397" s="3"/>
    </row>
    <row r="398" spans="17:18" x14ac:dyDescent="0.25">
      <c r="Q398" s="1"/>
      <c r="R398" s="3"/>
    </row>
    <row r="399" spans="17:18" x14ac:dyDescent="0.25">
      <c r="Q399" s="1"/>
      <c r="R399" s="3"/>
    </row>
    <row r="400" spans="17:18" x14ac:dyDescent="0.25">
      <c r="Q400" s="1"/>
      <c r="R400" s="3"/>
    </row>
    <row r="401" spans="17:18" x14ac:dyDescent="0.25">
      <c r="Q401" s="1"/>
      <c r="R401" s="3"/>
    </row>
    <row r="402" spans="17:18" x14ac:dyDescent="0.25">
      <c r="Q402" s="1"/>
      <c r="R402" s="3"/>
    </row>
    <row r="403" spans="17:18" x14ac:dyDescent="0.25">
      <c r="Q403" s="1"/>
      <c r="R403" s="3"/>
    </row>
    <row r="404" spans="17:18" x14ac:dyDescent="0.25">
      <c r="Q404" s="1"/>
      <c r="R404" s="3"/>
    </row>
    <row r="405" spans="17:18" x14ac:dyDescent="0.25">
      <c r="Q405" s="1"/>
      <c r="R405" s="3"/>
    </row>
    <row r="406" spans="17:18" x14ac:dyDescent="0.25">
      <c r="Q406" s="1"/>
      <c r="R406" s="3"/>
    </row>
    <row r="407" spans="17:18" x14ac:dyDescent="0.25">
      <c r="Q407" s="1"/>
      <c r="R407" s="3"/>
    </row>
    <row r="408" spans="17:18" x14ac:dyDescent="0.25">
      <c r="Q408" s="1"/>
      <c r="R408" s="3"/>
    </row>
    <row r="409" spans="17:18" x14ac:dyDescent="0.25">
      <c r="Q409" s="1"/>
      <c r="R409" s="3"/>
    </row>
    <row r="410" spans="17:18" x14ac:dyDescent="0.25">
      <c r="Q410" s="1"/>
      <c r="R410" s="3"/>
    </row>
    <row r="411" spans="17:18" x14ac:dyDescent="0.25">
      <c r="Q411" s="1"/>
      <c r="R411" s="3"/>
    </row>
    <row r="412" spans="17:18" x14ac:dyDescent="0.25">
      <c r="Q412" s="1"/>
      <c r="R412" s="3"/>
    </row>
    <row r="413" spans="17:18" x14ac:dyDescent="0.25">
      <c r="Q413" s="1"/>
      <c r="R413" s="3"/>
    </row>
    <row r="414" spans="17:18" x14ac:dyDescent="0.25">
      <c r="Q414" s="1"/>
      <c r="R414" s="3"/>
    </row>
    <row r="415" spans="17:18" x14ac:dyDescent="0.25">
      <c r="Q415" s="1"/>
      <c r="R415" s="3"/>
    </row>
    <row r="416" spans="17:18" x14ac:dyDescent="0.25">
      <c r="Q416" s="1"/>
      <c r="R416" s="3"/>
    </row>
    <row r="417" spans="17:18" x14ac:dyDescent="0.25">
      <c r="Q417" s="1"/>
      <c r="R417" s="3"/>
    </row>
    <row r="418" spans="17:18" x14ac:dyDescent="0.25">
      <c r="Q418" s="1"/>
      <c r="R418" s="3"/>
    </row>
    <row r="419" spans="17:18" x14ac:dyDescent="0.25">
      <c r="Q419" s="1"/>
      <c r="R419" s="3"/>
    </row>
    <row r="420" spans="17:18" x14ac:dyDescent="0.25">
      <c r="Q420" s="1"/>
      <c r="R420" s="3"/>
    </row>
    <row r="421" spans="17:18" x14ac:dyDescent="0.25">
      <c r="Q421" s="1"/>
      <c r="R421" s="3"/>
    </row>
    <row r="422" spans="17:18" x14ac:dyDescent="0.25">
      <c r="Q422" s="1"/>
      <c r="R422" s="3"/>
    </row>
    <row r="423" spans="17:18" x14ac:dyDescent="0.25">
      <c r="Q423" s="1"/>
      <c r="R423" s="3"/>
    </row>
    <row r="424" spans="17:18" x14ac:dyDescent="0.25">
      <c r="Q424" s="1"/>
      <c r="R424" s="3"/>
    </row>
    <row r="425" spans="17:18" x14ac:dyDescent="0.25">
      <c r="Q425" s="1"/>
      <c r="R425" s="3"/>
    </row>
    <row r="426" spans="17:18" x14ac:dyDescent="0.25">
      <c r="Q426" s="1"/>
      <c r="R426" s="3"/>
    </row>
    <row r="427" spans="17:18" x14ac:dyDescent="0.25">
      <c r="Q427" s="1"/>
      <c r="R427" s="3"/>
    </row>
    <row r="428" spans="17:18" x14ac:dyDescent="0.25">
      <c r="Q428" s="1"/>
      <c r="R428" s="3"/>
    </row>
    <row r="429" spans="17:18" x14ac:dyDescent="0.25">
      <c r="Q429" s="1"/>
      <c r="R429" s="3"/>
    </row>
    <row r="430" spans="17:18" x14ac:dyDescent="0.25">
      <c r="Q430" s="1"/>
      <c r="R430" s="3"/>
    </row>
    <row r="431" spans="17:18" x14ac:dyDescent="0.25">
      <c r="Q431" s="1"/>
      <c r="R431" s="3"/>
    </row>
    <row r="432" spans="17:18" x14ac:dyDescent="0.25">
      <c r="Q432" s="1"/>
      <c r="R432" s="3"/>
    </row>
    <row r="433" spans="17:18" x14ac:dyDescent="0.25">
      <c r="Q433" s="1"/>
      <c r="R433" s="3"/>
    </row>
    <row r="434" spans="17:18" x14ac:dyDescent="0.25">
      <c r="Q434" s="1"/>
      <c r="R434" s="3"/>
    </row>
    <row r="435" spans="17:18" x14ac:dyDescent="0.25">
      <c r="Q435" s="1"/>
      <c r="R435" s="3"/>
    </row>
    <row r="436" spans="17:18" x14ac:dyDescent="0.25">
      <c r="Q436" s="1"/>
      <c r="R436" s="3"/>
    </row>
    <row r="437" spans="17:18" x14ac:dyDescent="0.25">
      <c r="Q437" s="1"/>
      <c r="R437" s="3"/>
    </row>
    <row r="438" spans="17:18" x14ac:dyDescent="0.25">
      <c r="Q438" s="1"/>
      <c r="R438" s="3"/>
    </row>
    <row r="439" spans="17:18" x14ac:dyDescent="0.25">
      <c r="Q439" s="1"/>
      <c r="R439" s="3"/>
    </row>
    <row r="440" spans="17:18" x14ac:dyDescent="0.25">
      <c r="Q440" s="1"/>
      <c r="R440" s="3"/>
    </row>
    <row r="441" spans="17:18" x14ac:dyDescent="0.25">
      <c r="Q441" s="1"/>
      <c r="R441" s="3"/>
    </row>
    <row r="442" spans="17:18" x14ac:dyDescent="0.25">
      <c r="Q442" s="1"/>
      <c r="R442" s="3"/>
    </row>
    <row r="443" spans="17:18" x14ac:dyDescent="0.25">
      <c r="Q443" s="1"/>
      <c r="R443" s="3"/>
    </row>
    <row r="444" spans="17:18" x14ac:dyDescent="0.25">
      <c r="Q444" s="1"/>
      <c r="R444" s="3"/>
    </row>
    <row r="445" spans="17:18" x14ac:dyDescent="0.25">
      <c r="Q445" s="1"/>
      <c r="R445" s="3"/>
    </row>
    <row r="446" spans="17:18" x14ac:dyDescent="0.25">
      <c r="Q446" s="1"/>
      <c r="R446" s="3"/>
    </row>
    <row r="447" spans="17:18" x14ac:dyDescent="0.25">
      <c r="Q447" s="1"/>
      <c r="R447" s="3"/>
    </row>
    <row r="448" spans="17:18" x14ac:dyDescent="0.25">
      <c r="Q448" s="1"/>
      <c r="R448" s="3"/>
    </row>
    <row r="449" spans="17:18" x14ac:dyDescent="0.25">
      <c r="Q449" s="1"/>
      <c r="R449" s="3"/>
    </row>
    <row r="450" spans="17:18" x14ac:dyDescent="0.25">
      <c r="Q450" s="1"/>
      <c r="R450" s="3"/>
    </row>
    <row r="451" spans="17:18" x14ac:dyDescent="0.25">
      <c r="Q451" s="1"/>
      <c r="R451" s="3"/>
    </row>
    <row r="452" spans="17:18" x14ac:dyDescent="0.25">
      <c r="Q452" s="1"/>
      <c r="R452" s="3"/>
    </row>
    <row r="453" spans="17:18" x14ac:dyDescent="0.25">
      <c r="Q453" s="1"/>
      <c r="R453" s="3"/>
    </row>
    <row r="454" spans="17:18" x14ac:dyDescent="0.25">
      <c r="Q454" s="1"/>
      <c r="R454" s="3"/>
    </row>
    <row r="455" spans="17:18" x14ac:dyDescent="0.25">
      <c r="Q455" s="1"/>
      <c r="R455" s="3"/>
    </row>
    <row r="456" spans="17:18" x14ac:dyDescent="0.25">
      <c r="Q456" s="1"/>
      <c r="R456" s="3"/>
    </row>
    <row r="457" spans="17:18" x14ac:dyDescent="0.25">
      <c r="Q457" s="1"/>
      <c r="R457" s="3"/>
    </row>
    <row r="458" spans="17:18" x14ac:dyDescent="0.25">
      <c r="Q458" s="1"/>
      <c r="R458" s="3"/>
    </row>
    <row r="459" spans="17:18" x14ac:dyDescent="0.25">
      <c r="Q459" s="1"/>
      <c r="R459" s="3"/>
    </row>
    <row r="460" spans="17:18" x14ac:dyDescent="0.25">
      <c r="Q460" s="1"/>
      <c r="R460" s="3"/>
    </row>
    <row r="461" spans="17:18" x14ac:dyDescent="0.25">
      <c r="Q461" s="1"/>
      <c r="R461" s="3"/>
    </row>
    <row r="462" spans="17:18" x14ac:dyDescent="0.25">
      <c r="Q462" s="1"/>
      <c r="R462" s="3"/>
    </row>
    <row r="463" spans="17:18" x14ac:dyDescent="0.25">
      <c r="Q463" s="1"/>
      <c r="R463" s="3"/>
    </row>
    <row r="464" spans="17:18" x14ac:dyDescent="0.25">
      <c r="Q464" s="1"/>
      <c r="R464" s="3"/>
    </row>
    <row r="465" spans="17:18" x14ac:dyDescent="0.25">
      <c r="Q465" s="1"/>
      <c r="R465" s="3"/>
    </row>
    <row r="466" spans="17:18" x14ac:dyDescent="0.25">
      <c r="Q466" s="1"/>
      <c r="R466" s="3"/>
    </row>
    <row r="467" spans="17:18" x14ac:dyDescent="0.25">
      <c r="Q467" s="1"/>
      <c r="R467" s="3"/>
    </row>
    <row r="468" spans="17:18" x14ac:dyDescent="0.25">
      <c r="Q468" s="1"/>
      <c r="R468" s="3"/>
    </row>
    <row r="469" spans="17:18" x14ac:dyDescent="0.25">
      <c r="Q469" s="1"/>
      <c r="R469" s="3"/>
    </row>
    <row r="470" spans="17:18" x14ac:dyDescent="0.25">
      <c r="Q470" s="1"/>
      <c r="R470" s="3"/>
    </row>
    <row r="471" spans="17:18" x14ac:dyDescent="0.25">
      <c r="Q471" s="1"/>
      <c r="R471" s="3"/>
    </row>
    <row r="472" spans="17:18" x14ac:dyDescent="0.25">
      <c r="Q472" s="1"/>
      <c r="R472" s="3"/>
    </row>
    <row r="473" spans="17:18" x14ac:dyDescent="0.25">
      <c r="Q473" s="1"/>
      <c r="R473" s="3"/>
    </row>
    <row r="474" spans="17:18" x14ac:dyDescent="0.25">
      <c r="Q474" s="1"/>
      <c r="R474" s="3"/>
    </row>
    <row r="475" spans="17:18" x14ac:dyDescent="0.25">
      <c r="Q475" s="1"/>
      <c r="R475" s="3"/>
    </row>
    <row r="476" spans="17:18" x14ac:dyDescent="0.25">
      <c r="Q476" s="1"/>
      <c r="R476" s="3"/>
    </row>
    <row r="477" spans="17:18" x14ac:dyDescent="0.25">
      <c r="Q477" s="1"/>
      <c r="R477" s="3"/>
    </row>
    <row r="478" spans="17:18" x14ac:dyDescent="0.25">
      <c r="Q478" s="1"/>
      <c r="R478" s="3"/>
    </row>
    <row r="479" spans="17:18" x14ac:dyDescent="0.25">
      <c r="Q479" s="1"/>
      <c r="R479" s="3"/>
    </row>
    <row r="480" spans="17:18" x14ac:dyDescent="0.25">
      <c r="Q480" s="1"/>
      <c r="R480" s="3"/>
    </row>
    <row r="481" spans="17:18" x14ac:dyDescent="0.25">
      <c r="Q481" s="1"/>
      <c r="R481" s="3"/>
    </row>
    <row r="482" spans="17:18" x14ac:dyDescent="0.25">
      <c r="Q482" s="1"/>
      <c r="R482" s="3"/>
    </row>
    <row r="483" spans="17:18" x14ac:dyDescent="0.25">
      <c r="Q483" s="1"/>
      <c r="R483" s="3"/>
    </row>
    <row r="484" spans="17:18" x14ac:dyDescent="0.25">
      <c r="Q484" s="1"/>
      <c r="R484" s="3"/>
    </row>
    <row r="485" spans="17:18" x14ac:dyDescent="0.25">
      <c r="Q485" s="1"/>
      <c r="R485" s="3"/>
    </row>
    <row r="486" spans="17:18" x14ac:dyDescent="0.25">
      <c r="Q486" s="1"/>
      <c r="R486" s="3"/>
    </row>
    <row r="487" spans="17:18" x14ac:dyDescent="0.25">
      <c r="Q487" s="1"/>
      <c r="R487" s="3"/>
    </row>
    <row r="488" spans="17:18" x14ac:dyDescent="0.25">
      <c r="Q488" s="1"/>
      <c r="R488" s="3"/>
    </row>
    <row r="489" spans="17:18" x14ac:dyDescent="0.25">
      <c r="Q489" s="1"/>
      <c r="R489" s="3"/>
    </row>
    <row r="490" spans="17:18" x14ac:dyDescent="0.25">
      <c r="Q490" s="1"/>
      <c r="R490" s="3"/>
    </row>
    <row r="491" spans="17:18" x14ac:dyDescent="0.25">
      <c r="Q491" s="1"/>
      <c r="R491" s="3"/>
    </row>
    <row r="492" spans="17:18" x14ac:dyDescent="0.25">
      <c r="Q492" s="1"/>
      <c r="R492" s="3"/>
    </row>
    <row r="493" spans="17:18" x14ac:dyDescent="0.25">
      <c r="Q493" s="1"/>
      <c r="R493" s="3"/>
    </row>
    <row r="494" spans="17:18" x14ac:dyDescent="0.25">
      <c r="Q494" s="1"/>
      <c r="R494" s="3"/>
    </row>
    <row r="495" spans="17:18" x14ac:dyDescent="0.25">
      <c r="Q495" s="1"/>
      <c r="R495" s="3"/>
    </row>
    <row r="496" spans="17:18" x14ac:dyDescent="0.25">
      <c r="Q496" s="1"/>
      <c r="R496" s="3"/>
    </row>
    <row r="497" spans="17:18" x14ac:dyDescent="0.25">
      <c r="Q497" s="1"/>
      <c r="R497" s="3"/>
    </row>
    <row r="498" spans="17:18" x14ac:dyDescent="0.25">
      <c r="Q498" s="1"/>
      <c r="R498" s="3"/>
    </row>
    <row r="499" spans="17:18" x14ac:dyDescent="0.25">
      <c r="Q499" s="1"/>
      <c r="R499" s="3"/>
    </row>
    <row r="500" spans="17:18" x14ac:dyDescent="0.25">
      <c r="Q500" s="1"/>
      <c r="R500" s="3"/>
    </row>
    <row r="501" spans="17:18" x14ac:dyDescent="0.25">
      <c r="Q501" s="1"/>
      <c r="R501" s="3"/>
    </row>
    <row r="502" spans="17:18" x14ac:dyDescent="0.25">
      <c r="Q502" s="1"/>
      <c r="R502" s="3"/>
    </row>
    <row r="503" spans="17:18" x14ac:dyDescent="0.25">
      <c r="Q503" s="1"/>
      <c r="R503" s="3"/>
    </row>
    <row r="504" spans="17:18" x14ac:dyDescent="0.25">
      <c r="Q504" s="1"/>
      <c r="R504" s="3"/>
    </row>
    <row r="505" spans="17:18" x14ac:dyDescent="0.25">
      <c r="Q505" s="1"/>
      <c r="R505" s="3"/>
    </row>
    <row r="506" spans="17:18" x14ac:dyDescent="0.25">
      <c r="Q506" s="1"/>
      <c r="R506" s="3"/>
    </row>
    <row r="507" spans="17:18" x14ac:dyDescent="0.25">
      <c r="Q507" s="1"/>
      <c r="R507" s="3"/>
    </row>
    <row r="508" spans="17:18" x14ac:dyDescent="0.25">
      <c r="Q508" s="1"/>
      <c r="R508" s="3"/>
    </row>
    <row r="509" spans="17:18" x14ac:dyDescent="0.25">
      <c r="Q509" s="1"/>
      <c r="R509" s="3"/>
    </row>
    <row r="510" spans="17:18" x14ac:dyDescent="0.25">
      <c r="Q510" s="1"/>
      <c r="R510" s="3"/>
    </row>
    <row r="511" spans="17:18" x14ac:dyDescent="0.25">
      <c r="Q511" s="1"/>
      <c r="R511" s="3"/>
    </row>
    <row r="512" spans="17:18" x14ac:dyDescent="0.25">
      <c r="Q512" s="1"/>
      <c r="R512" s="3"/>
    </row>
    <row r="513" spans="17:18" x14ac:dyDescent="0.25">
      <c r="Q513" s="1"/>
      <c r="R513" s="3"/>
    </row>
    <row r="514" spans="17:18" x14ac:dyDescent="0.25">
      <c r="Q514" s="1"/>
      <c r="R514" s="3"/>
    </row>
    <row r="515" spans="17:18" x14ac:dyDescent="0.25">
      <c r="Q515" s="1"/>
      <c r="R515" s="3"/>
    </row>
    <row r="516" spans="17:18" x14ac:dyDescent="0.25">
      <c r="Q516" s="1"/>
      <c r="R516" s="3"/>
    </row>
    <row r="517" spans="17:18" x14ac:dyDescent="0.25">
      <c r="Q517" s="1"/>
      <c r="R517" s="3"/>
    </row>
    <row r="518" spans="17:18" x14ac:dyDescent="0.25">
      <c r="Q518" s="1"/>
      <c r="R518" s="3"/>
    </row>
    <row r="519" spans="17:18" x14ac:dyDescent="0.25">
      <c r="Q519" s="1"/>
      <c r="R519" s="3"/>
    </row>
    <row r="520" spans="17:18" x14ac:dyDescent="0.25">
      <c r="Q520" s="1"/>
      <c r="R520" s="3"/>
    </row>
    <row r="521" spans="17:18" x14ac:dyDescent="0.25">
      <c r="Q521" s="1"/>
      <c r="R521" s="3"/>
    </row>
    <row r="522" spans="17:18" x14ac:dyDescent="0.25">
      <c r="Q522" s="1"/>
      <c r="R522" s="3"/>
    </row>
    <row r="523" spans="17:18" x14ac:dyDescent="0.25">
      <c r="R523" s="3"/>
    </row>
    <row r="524" spans="17:18" x14ac:dyDescent="0.25">
      <c r="Q524" s="1">
        <f>MAX(Q12:Q522)</f>
        <v>13.28</v>
      </c>
    </row>
    <row r="525" spans="17:18" x14ac:dyDescent="0.25">
      <c r="R525" s="1">
        <f>MAX(R13:R523)</f>
        <v>0.89999999999999858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D26B-96BD-432B-847A-36C5C48F4DD8}">
  <dimension ref="A1:X495"/>
  <sheetViews>
    <sheetView workbookViewId="0">
      <selection activeCell="U7" sqref="U7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P1" s="2"/>
      <c r="Q1" s="2"/>
      <c r="R1" s="2"/>
      <c r="S1" s="2"/>
      <c r="U1" s="2"/>
      <c r="V1" s="2"/>
      <c r="W1" s="2"/>
      <c r="X1" s="2"/>
    </row>
    <row r="2" spans="1:2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P2" s="2" t="s">
        <v>17</v>
      </c>
      <c r="Q2" s="2" t="s">
        <v>19</v>
      </c>
      <c r="R2" s="2" t="s">
        <v>20</v>
      </c>
      <c r="S2" s="2" t="s">
        <v>21</v>
      </c>
      <c r="U2" s="2" t="s">
        <v>24</v>
      </c>
      <c r="V2" s="2" t="s">
        <v>22</v>
      </c>
      <c r="W2" s="2" t="s">
        <v>23</v>
      </c>
      <c r="X2" s="2"/>
    </row>
    <row r="3" spans="1:24" x14ac:dyDescent="0.25">
      <c r="A3" t="s">
        <v>16</v>
      </c>
      <c r="C3">
        <v>52.047142200000003</v>
      </c>
      <c r="D3">
        <v>-0.57214449999999994</v>
      </c>
      <c r="E3">
        <v>4</v>
      </c>
      <c r="F3">
        <v>4</v>
      </c>
      <c r="G3">
        <v>2022</v>
      </c>
      <c r="H3">
        <v>12</v>
      </c>
      <c r="I3">
        <v>55</v>
      </c>
      <c r="J3">
        <v>16</v>
      </c>
      <c r="K3">
        <v>32.299999999999997</v>
      </c>
      <c r="L3">
        <v>0</v>
      </c>
      <c r="M3">
        <v>37.908000000000001</v>
      </c>
      <c r="N3">
        <v>0.39600000000000002</v>
      </c>
      <c r="P3" s="1">
        <f t="shared" ref="P3:P66" si="0">M3*1000/3600</f>
        <v>10.53</v>
      </c>
      <c r="S3" s="1"/>
      <c r="U3" s="1"/>
      <c r="W3" s="1"/>
      <c r="X3" s="1"/>
    </row>
    <row r="4" spans="1:24" x14ac:dyDescent="0.25">
      <c r="A4" t="s">
        <v>16</v>
      </c>
      <c r="C4">
        <v>52.047159000000001</v>
      </c>
      <c r="D4">
        <v>-0.57216080000000002</v>
      </c>
      <c r="E4">
        <v>4</v>
      </c>
      <c r="F4">
        <v>4</v>
      </c>
      <c r="G4">
        <v>2022</v>
      </c>
      <c r="H4">
        <v>12</v>
      </c>
      <c r="I4">
        <v>55</v>
      </c>
      <c r="J4">
        <v>16.2</v>
      </c>
      <c r="K4">
        <v>32.299999999999997</v>
      </c>
      <c r="L4">
        <v>0</v>
      </c>
      <c r="M4">
        <v>38.628</v>
      </c>
      <c r="N4">
        <v>0.39600000000000002</v>
      </c>
      <c r="P4" s="1">
        <f t="shared" si="0"/>
        <v>10.73</v>
      </c>
      <c r="Q4" s="3">
        <f>10*($P4-$P3)</f>
        <v>2.0000000000000107</v>
      </c>
      <c r="S4" s="1"/>
      <c r="U4" s="1"/>
      <c r="W4" s="1"/>
      <c r="X4" s="1"/>
    </row>
    <row r="5" spans="1:24" x14ac:dyDescent="0.25">
      <c r="A5" t="s">
        <v>16</v>
      </c>
      <c r="C5">
        <v>52.047176</v>
      </c>
      <c r="D5">
        <v>-0.57217700000000005</v>
      </c>
      <c r="E5">
        <v>4</v>
      </c>
      <c r="F5">
        <v>4</v>
      </c>
      <c r="G5">
        <v>2022</v>
      </c>
      <c r="H5">
        <v>12</v>
      </c>
      <c r="I5">
        <v>55</v>
      </c>
      <c r="J5">
        <v>16.399999999999999</v>
      </c>
      <c r="K5">
        <v>32.299999999999997</v>
      </c>
      <c r="L5">
        <v>0</v>
      </c>
      <c r="M5">
        <v>39.311999999999998</v>
      </c>
      <c r="N5">
        <v>0.28799999999999998</v>
      </c>
      <c r="P5" s="1">
        <f t="shared" si="0"/>
        <v>10.92</v>
      </c>
      <c r="Q5" s="3">
        <f t="shared" ref="Q5:Q68" si="1">10*($P5-$P4)</f>
        <v>1.899999999999995</v>
      </c>
      <c r="R5" s="3"/>
      <c r="S5" s="1"/>
      <c r="U5" s="1"/>
      <c r="W5" s="1"/>
      <c r="X5" s="1"/>
    </row>
    <row r="6" spans="1:24" x14ac:dyDescent="0.25">
      <c r="A6" t="s">
        <v>16</v>
      </c>
      <c r="C6">
        <v>52.047193200000002</v>
      </c>
      <c r="D6">
        <v>-0.5721927</v>
      </c>
      <c r="E6">
        <v>4</v>
      </c>
      <c r="F6">
        <v>4</v>
      </c>
      <c r="G6">
        <v>2022</v>
      </c>
      <c r="H6">
        <v>12</v>
      </c>
      <c r="I6">
        <v>55</v>
      </c>
      <c r="J6">
        <v>16.600000000000001</v>
      </c>
      <c r="K6">
        <v>32.299999999999997</v>
      </c>
      <c r="L6">
        <v>0</v>
      </c>
      <c r="M6">
        <v>39.24</v>
      </c>
      <c r="N6">
        <v>0.28799999999999998</v>
      </c>
      <c r="P6" s="1">
        <f t="shared" si="0"/>
        <v>10.9</v>
      </c>
      <c r="Q6" s="3">
        <f t="shared" si="1"/>
        <v>-0.19999999999999574</v>
      </c>
      <c r="R6" s="3">
        <f>($P9-$P3)</f>
        <v>0.44000000000000128</v>
      </c>
      <c r="S6" s="1"/>
      <c r="U6" s="1">
        <f>AVERAGE(P3:P9)</f>
        <v>10.835714285714285</v>
      </c>
      <c r="W6" s="1"/>
      <c r="X6" s="1"/>
    </row>
    <row r="7" spans="1:24" x14ac:dyDescent="0.25">
      <c r="A7" t="s">
        <v>16</v>
      </c>
      <c r="C7">
        <v>52.047210300000003</v>
      </c>
      <c r="D7">
        <v>-0.57220859999999996</v>
      </c>
      <c r="E7">
        <v>4</v>
      </c>
      <c r="F7">
        <v>4</v>
      </c>
      <c r="G7">
        <v>2022</v>
      </c>
      <c r="H7">
        <v>12</v>
      </c>
      <c r="I7">
        <v>55</v>
      </c>
      <c r="J7">
        <v>16.8</v>
      </c>
      <c r="K7">
        <v>32.299999999999997</v>
      </c>
      <c r="L7">
        <v>0</v>
      </c>
      <c r="M7">
        <v>39.42</v>
      </c>
      <c r="N7">
        <v>0.28799999999999998</v>
      </c>
      <c r="P7" s="1">
        <f t="shared" si="0"/>
        <v>10.95</v>
      </c>
      <c r="Q7" s="3">
        <f t="shared" si="1"/>
        <v>0.49999999999998934</v>
      </c>
      <c r="R7" s="3">
        <f t="shared" ref="R7:R70" si="2">($P10-$P4)</f>
        <v>0.48000000000000043</v>
      </c>
      <c r="S7" s="3"/>
      <c r="U7" s="1">
        <f t="shared" ref="U7:U70" si="3">AVERAGE(P4:P10)</f>
        <v>10.932857142857143</v>
      </c>
      <c r="W7" s="1"/>
      <c r="X7" s="1"/>
    </row>
    <row r="8" spans="1:24" x14ac:dyDescent="0.25">
      <c r="A8" t="s">
        <v>16</v>
      </c>
      <c r="C8">
        <v>52.047227200000002</v>
      </c>
      <c r="D8">
        <v>-0.57222479999999998</v>
      </c>
      <c r="E8">
        <v>4</v>
      </c>
      <c r="F8">
        <v>4</v>
      </c>
      <c r="G8">
        <v>2022</v>
      </c>
      <c r="H8">
        <v>12</v>
      </c>
      <c r="I8">
        <v>55</v>
      </c>
      <c r="J8">
        <v>17</v>
      </c>
      <c r="K8">
        <v>32.299999999999997</v>
      </c>
      <c r="L8">
        <v>0</v>
      </c>
      <c r="M8">
        <v>39.06</v>
      </c>
      <c r="N8">
        <v>0.252</v>
      </c>
      <c r="P8" s="1">
        <f t="shared" si="0"/>
        <v>10.85</v>
      </c>
      <c r="Q8" s="3">
        <f t="shared" si="1"/>
        <v>-0.99999999999999645</v>
      </c>
      <c r="R8" s="3">
        <f t="shared" si="2"/>
        <v>0.4399999999999995</v>
      </c>
      <c r="S8" s="3"/>
      <c r="U8" s="1">
        <f t="shared" si="3"/>
        <v>11.022857142857143</v>
      </c>
      <c r="V8" s="3"/>
      <c r="W8" s="1"/>
      <c r="X8" s="1"/>
    </row>
    <row r="9" spans="1:24" x14ac:dyDescent="0.25">
      <c r="A9" t="s">
        <v>16</v>
      </c>
      <c r="C9">
        <v>52.047244499999998</v>
      </c>
      <c r="D9">
        <v>-0.57224109999999995</v>
      </c>
      <c r="E9">
        <v>4</v>
      </c>
      <c r="F9">
        <v>4</v>
      </c>
      <c r="G9">
        <v>2022</v>
      </c>
      <c r="H9">
        <v>12</v>
      </c>
      <c r="I9">
        <v>55</v>
      </c>
      <c r="J9">
        <v>17.2</v>
      </c>
      <c r="K9">
        <v>32.299999999999997</v>
      </c>
      <c r="L9">
        <v>0</v>
      </c>
      <c r="M9">
        <v>39.491999999999997</v>
      </c>
      <c r="N9">
        <v>0.252</v>
      </c>
      <c r="P9" s="1">
        <f t="shared" si="0"/>
        <v>10.97</v>
      </c>
      <c r="Q9" s="3">
        <f t="shared" si="1"/>
        <v>1.2000000000000099</v>
      </c>
      <c r="R9" s="3">
        <f t="shared" si="2"/>
        <v>0.46999999999999886</v>
      </c>
      <c r="S9" s="3">
        <f>AVERAGE(R6:R12)</f>
        <v>0.44428571428571423</v>
      </c>
      <c r="U9" s="1">
        <f t="shared" si="3"/>
        <v>11.08714285714286</v>
      </c>
      <c r="V9" s="3">
        <f>($U12-$U6)</f>
        <v>0.44428571428571573</v>
      </c>
      <c r="W9" s="1"/>
      <c r="X9" s="1"/>
    </row>
    <row r="10" spans="1:24" x14ac:dyDescent="0.25">
      <c r="A10" t="s">
        <v>16</v>
      </c>
      <c r="C10">
        <v>52.047262000000003</v>
      </c>
      <c r="D10">
        <v>-0.57225700000000002</v>
      </c>
      <c r="E10">
        <v>4</v>
      </c>
      <c r="F10">
        <v>4</v>
      </c>
      <c r="G10">
        <v>2022</v>
      </c>
      <c r="H10">
        <v>12</v>
      </c>
      <c r="I10">
        <v>55</v>
      </c>
      <c r="J10">
        <v>17.399999999999999</v>
      </c>
      <c r="K10">
        <v>32.299999999999997</v>
      </c>
      <c r="L10">
        <v>0</v>
      </c>
      <c r="M10">
        <v>40.356000000000002</v>
      </c>
      <c r="N10">
        <v>0.252</v>
      </c>
      <c r="P10" s="1">
        <f t="shared" si="0"/>
        <v>11.21</v>
      </c>
      <c r="Q10" s="3">
        <f t="shared" si="1"/>
        <v>2.4000000000000021</v>
      </c>
      <c r="R10" s="3">
        <f t="shared" si="2"/>
        <v>0.3100000000000005</v>
      </c>
      <c r="S10" s="3">
        <f t="shared" ref="S10:S73" si="4">AVERAGE(R7:R13)</f>
        <v>0.47142857142857103</v>
      </c>
      <c r="U10" s="1">
        <f t="shared" si="3"/>
        <v>11.138571428571428</v>
      </c>
      <c r="V10" s="3">
        <f>($U13-$U7)</f>
        <v>0.47142857142857153</v>
      </c>
      <c r="W10" s="1"/>
      <c r="X10" s="1"/>
    </row>
    <row r="11" spans="1:24" x14ac:dyDescent="0.25">
      <c r="A11" t="s">
        <v>16</v>
      </c>
      <c r="C11">
        <v>52.047280299999997</v>
      </c>
      <c r="D11">
        <v>-0.57227220000000001</v>
      </c>
      <c r="E11">
        <v>4</v>
      </c>
      <c r="F11">
        <v>4</v>
      </c>
      <c r="G11">
        <v>2022</v>
      </c>
      <c r="H11">
        <v>12</v>
      </c>
      <c r="I11">
        <v>55</v>
      </c>
      <c r="J11">
        <v>17.600000000000001</v>
      </c>
      <c r="K11">
        <v>32.61</v>
      </c>
      <c r="L11">
        <v>0</v>
      </c>
      <c r="M11">
        <v>40.896000000000001</v>
      </c>
      <c r="N11">
        <v>0.216</v>
      </c>
      <c r="P11" s="1">
        <f t="shared" si="0"/>
        <v>11.36</v>
      </c>
      <c r="Q11" s="3">
        <f t="shared" si="1"/>
        <v>1.4999999999999858</v>
      </c>
      <c r="R11" s="3">
        <f t="shared" si="2"/>
        <v>0.50999999999999979</v>
      </c>
      <c r="S11" s="3">
        <f t="shared" si="4"/>
        <v>0.45999999999999958</v>
      </c>
      <c r="U11" s="1">
        <f t="shared" si="3"/>
        <v>11.197142857142856</v>
      </c>
      <c r="V11" s="3">
        <f>($U14-$U8)</f>
        <v>0.45999999999999908</v>
      </c>
      <c r="W11" s="1"/>
      <c r="X11" s="1"/>
    </row>
    <row r="12" spans="1:24" x14ac:dyDescent="0.25">
      <c r="A12" t="s">
        <v>16</v>
      </c>
      <c r="C12">
        <v>52.047298499999997</v>
      </c>
      <c r="D12">
        <v>-0.57228650000000003</v>
      </c>
      <c r="E12">
        <v>4</v>
      </c>
      <c r="F12">
        <v>4</v>
      </c>
      <c r="G12">
        <v>2022</v>
      </c>
      <c r="H12">
        <v>12</v>
      </c>
      <c r="I12">
        <v>55</v>
      </c>
      <c r="J12">
        <v>17.8</v>
      </c>
      <c r="K12">
        <v>32.299999999999997</v>
      </c>
      <c r="L12">
        <v>0</v>
      </c>
      <c r="M12">
        <v>40.932000000000002</v>
      </c>
      <c r="N12">
        <v>0.216</v>
      </c>
      <c r="P12" s="1">
        <f t="shared" si="0"/>
        <v>11.37</v>
      </c>
      <c r="Q12" s="3">
        <f t="shared" si="1"/>
        <v>9.9999999999997868E-2</v>
      </c>
      <c r="R12" s="3">
        <f t="shared" si="2"/>
        <v>0.45999999999999908</v>
      </c>
      <c r="S12" s="3">
        <f t="shared" si="4"/>
        <v>0.47428571428571409</v>
      </c>
      <c r="U12" s="1">
        <f t="shared" si="3"/>
        <v>11.280000000000001</v>
      </c>
      <c r="V12" s="3">
        <f t="shared" ref="V12:V75" si="5">($U15-$U9)</f>
        <v>0.47428571428570976</v>
      </c>
      <c r="W12" s="1">
        <f>AVERAGE(V9:V15)</f>
        <v>0.467959183673469</v>
      </c>
      <c r="X12" s="1"/>
    </row>
    <row r="13" spans="1:24" x14ac:dyDescent="0.25">
      <c r="A13" t="s">
        <v>16</v>
      </c>
      <c r="C13">
        <v>52.047316600000002</v>
      </c>
      <c r="D13">
        <v>-0.57230130000000001</v>
      </c>
      <c r="E13">
        <v>4</v>
      </c>
      <c r="F13">
        <v>4</v>
      </c>
      <c r="G13">
        <v>2022</v>
      </c>
      <c r="H13">
        <v>12</v>
      </c>
      <c r="I13">
        <v>55</v>
      </c>
      <c r="J13">
        <v>18</v>
      </c>
      <c r="K13">
        <v>32.299999999999997</v>
      </c>
      <c r="L13">
        <v>0</v>
      </c>
      <c r="M13">
        <v>40.536000000000001</v>
      </c>
      <c r="N13">
        <v>0.252</v>
      </c>
      <c r="P13" s="1">
        <f t="shared" si="0"/>
        <v>11.26</v>
      </c>
      <c r="Q13" s="3">
        <f t="shared" si="1"/>
        <v>-1.0999999999999943</v>
      </c>
      <c r="R13" s="3">
        <f t="shared" si="2"/>
        <v>0.62999999999999901</v>
      </c>
      <c r="S13" s="3">
        <f t="shared" si="4"/>
        <v>0.4642857142857143</v>
      </c>
      <c r="U13" s="1">
        <f t="shared" si="3"/>
        <v>11.404285714285715</v>
      </c>
      <c r="V13" s="3">
        <f t="shared" si="5"/>
        <v>0.4642857142857153</v>
      </c>
      <c r="W13" s="1">
        <f t="shared" ref="W13:W76" si="6">AVERAGE(V10:V16)</f>
        <v>0.46857142857142797</v>
      </c>
      <c r="X13" s="3"/>
    </row>
    <row r="14" spans="1:24" x14ac:dyDescent="0.25">
      <c r="A14" t="s">
        <v>16</v>
      </c>
      <c r="C14">
        <v>52.047334999999997</v>
      </c>
      <c r="D14">
        <v>-0.57231650000000001</v>
      </c>
      <c r="E14">
        <v>4</v>
      </c>
      <c r="F14">
        <v>4</v>
      </c>
      <c r="G14">
        <v>2022</v>
      </c>
      <c r="H14">
        <v>12</v>
      </c>
      <c r="I14">
        <v>55</v>
      </c>
      <c r="J14">
        <v>18.2</v>
      </c>
      <c r="K14">
        <v>32.61</v>
      </c>
      <c r="L14">
        <v>0</v>
      </c>
      <c r="M14">
        <v>40.896000000000001</v>
      </c>
      <c r="N14">
        <v>0.216</v>
      </c>
      <c r="P14" s="1">
        <f t="shared" si="0"/>
        <v>11.36</v>
      </c>
      <c r="Q14" s="3">
        <f t="shared" si="1"/>
        <v>0.99999999999999645</v>
      </c>
      <c r="R14" s="3">
        <f t="shared" si="2"/>
        <v>0.40000000000000036</v>
      </c>
      <c r="S14" s="3">
        <f t="shared" si="4"/>
        <v>0.47285714285714292</v>
      </c>
      <c r="U14" s="1">
        <f t="shared" si="3"/>
        <v>11.482857142857142</v>
      </c>
      <c r="V14" s="3">
        <f t="shared" si="5"/>
        <v>0.4728571428571442</v>
      </c>
      <c r="W14" s="1">
        <f t="shared" si="6"/>
        <v>0.45612244897959109</v>
      </c>
      <c r="X14" s="3"/>
    </row>
    <row r="15" spans="1:24" x14ac:dyDescent="0.25">
      <c r="A15" t="s">
        <v>16</v>
      </c>
      <c r="C15">
        <v>52.0473535</v>
      </c>
      <c r="D15">
        <v>-0.57233149999999999</v>
      </c>
      <c r="E15">
        <v>4</v>
      </c>
      <c r="F15">
        <v>4</v>
      </c>
      <c r="G15">
        <v>2022</v>
      </c>
      <c r="H15">
        <v>12</v>
      </c>
      <c r="I15">
        <v>55</v>
      </c>
      <c r="J15">
        <v>18.399999999999999</v>
      </c>
      <c r="K15">
        <v>32.61</v>
      </c>
      <c r="L15">
        <v>0</v>
      </c>
      <c r="M15">
        <v>41.148000000000003</v>
      </c>
      <c r="N15">
        <v>0.216</v>
      </c>
      <c r="P15" s="1">
        <f t="shared" si="0"/>
        <v>11.43</v>
      </c>
      <c r="Q15" s="3">
        <f t="shared" si="1"/>
        <v>0.70000000000000284</v>
      </c>
      <c r="R15" s="3">
        <f t="shared" si="2"/>
        <v>0.54000000000000092</v>
      </c>
      <c r="S15" s="3">
        <f t="shared" si="4"/>
        <v>0.48857142857142882</v>
      </c>
      <c r="U15" s="1">
        <f t="shared" si="3"/>
        <v>11.56142857142857</v>
      </c>
      <c r="V15" s="3">
        <f t="shared" si="5"/>
        <v>0.48857142857142755</v>
      </c>
      <c r="W15" s="1">
        <f t="shared" si="6"/>
        <v>0.4346938775510199</v>
      </c>
      <c r="X15" s="3"/>
    </row>
    <row r="16" spans="1:24" x14ac:dyDescent="0.25">
      <c r="A16" t="s">
        <v>16</v>
      </c>
      <c r="C16">
        <v>52.0473724</v>
      </c>
      <c r="D16">
        <v>-0.57234649999999998</v>
      </c>
      <c r="E16">
        <v>4</v>
      </c>
      <c r="F16">
        <v>4</v>
      </c>
      <c r="G16">
        <v>2022</v>
      </c>
      <c r="H16">
        <v>12</v>
      </c>
      <c r="I16">
        <v>55</v>
      </c>
      <c r="J16">
        <v>18.600000000000001</v>
      </c>
      <c r="K16">
        <v>32.61</v>
      </c>
      <c r="L16">
        <v>0</v>
      </c>
      <c r="M16">
        <v>42.624000000000002</v>
      </c>
      <c r="N16">
        <v>0.216</v>
      </c>
      <c r="P16" s="1">
        <f t="shared" si="0"/>
        <v>11.84</v>
      </c>
      <c r="Q16" s="3">
        <f t="shared" si="1"/>
        <v>4.1000000000000014</v>
      </c>
      <c r="R16" s="3">
        <f t="shared" si="2"/>
        <v>0.40000000000000036</v>
      </c>
      <c r="S16" s="3">
        <f t="shared" si="4"/>
        <v>0.4485714285714289</v>
      </c>
      <c r="U16" s="1">
        <f t="shared" si="3"/>
        <v>11.602857142857143</v>
      </c>
      <c r="V16" s="3">
        <f t="shared" si="5"/>
        <v>0.4485714285714284</v>
      </c>
      <c r="W16" s="1">
        <f t="shared" si="6"/>
        <v>0.40306122448979587</v>
      </c>
      <c r="X16" s="3"/>
    </row>
    <row r="17" spans="1:24" x14ac:dyDescent="0.25">
      <c r="A17" t="s">
        <v>16</v>
      </c>
      <c r="C17">
        <v>52.047391500000003</v>
      </c>
      <c r="D17">
        <v>-0.57236149999999997</v>
      </c>
      <c r="E17">
        <v>4</v>
      </c>
      <c r="F17">
        <v>4</v>
      </c>
      <c r="G17">
        <v>2022</v>
      </c>
      <c r="H17">
        <v>12</v>
      </c>
      <c r="I17">
        <v>55</v>
      </c>
      <c r="J17">
        <v>18.8</v>
      </c>
      <c r="K17">
        <v>32.61</v>
      </c>
      <c r="L17">
        <v>0</v>
      </c>
      <c r="M17">
        <v>42.335999999999999</v>
      </c>
      <c r="N17">
        <v>0.216</v>
      </c>
      <c r="P17" s="1">
        <f t="shared" si="0"/>
        <v>11.76</v>
      </c>
      <c r="Q17" s="3">
        <f t="shared" si="1"/>
        <v>-0.80000000000000071</v>
      </c>
      <c r="R17" s="3">
        <f t="shared" si="2"/>
        <v>0.37000000000000099</v>
      </c>
      <c r="S17" s="3">
        <f t="shared" si="4"/>
        <v>0.38428571428571473</v>
      </c>
      <c r="U17" s="1">
        <f t="shared" si="3"/>
        <v>11.67</v>
      </c>
      <c r="V17" s="3">
        <f t="shared" si="5"/>
        <v>0.38428571428571345</v>
      </c>
      <c r="W17" s="1">
        <f t="shared" si="6"/>
        <v>0.36979591836734677</v>
      </c>
      <c r="X17" s="3"/>
    </row>
    <row r="18" spans="1:24" x14ac:dyDescent="0.25">
      <c r="A18" t="s">
        <v>16</v>
      </c>
      <c r="C18">
        <v>52.0474107</v>
      </c>
      <c r="D18">
        <v>-0.57237660000000001</v>
      </c>
      <c r="E18">
        <v>4</v>
      </c>
      <c r="F18">
        <v>4</v>
      </c>
      <c r="G18">
        <v>2022</v>
      </c>
      <c r="H18">
        <v>12</v>
      </c>
      <c r="I18">
        <v>55</v>
      </c>
      <c r="J18">
        <v>19</v>
      </c>
      <c r="K18">
        <v>32.61</v>
      </c>
      <c r="L18">
        <v>0</v>
      </c>
      <c r="M18">
        <v>42.875999999999998</v>
      </c>
      <c r="N18">
        <v>0.252</v>
      </c>
      <c r="P18" s="1">
        <f t="shared" si="0"/>
        <v>11.91</v>
      </c>
      <c r="Q18" s="3">
        <f t="shared" si="1"/>
        <v>1.5000000000000036</v>
      </c>
      <c r="R18" s="3">
        <f t="shared" si="2"/>
        <v>0.62000000000000099</v>
      </c>
      <c r="S18" s="3">
        <f t="shared" si="4"/>
        <v>0.31000000000000022</v>
      </c>
      <c r="U18" s="1">
        <f t="shared" si="3"/>
        <v>11.768571428571429</v>
      </c>
      <c r="V18" s="3">
        <f t="shared" si="5"/>
        <v>0.3100000000000005</v>
      </c>
      <c r="W18" s="1">
        <f t="shared" si="6"/>
        <v>0.32857142857142818</v>
      </c>
      <c r="X18" s="3"/>
    </row>
    <row r="19" spans="1:24" x14ac:dyDescent="0.25">
      <c r="A19" t="s">
        <v>16</v>
      </c>
      <c r="C19">
        <v>52.047429999999999</v>
      </c>
      <c r="D19">
        <v>-0.57239200000000001</v>
      </c>
      <c r="E19">
        <v>4</v>
      </c>
      <c r="F19">
        <v>4</v>
      </c>
      <c r="G19">
        <v>2022</v>
      </c>
      <c r="H19">
        <v>12</v>
      </c>
      <c r="I19">
        <v>55</v>
      </c>
      <c r="J19">
        <v>19.2</v>
      </c>
      <c r="K19">
        <v>32.61</v>
      </c>
      <c r="L19">
        <v>0</v>
      </c>
      <c r="M19">
        <v>41.975999999999999</v>
      </c>
      <c r="N19">
        <v>0.252</v>
      </c>
      <c r="P19" s="1">
        <f t="shared" si="0"/>
        <v>11.66</v>
      </c>
      <c r="Q19" s="3">
        <f t="shared" si="1"/>
        <v>-2.5</v>
      </c>
      <c r="R19" s="3">
        <f t="shared" si="2"/>
        <v>0.17999999999999972</v>
      </c>
      <c r="S19" s="3">
        <f t="shared" si="4"/>
        <v>0.25285714285714306</v>
      </c>
      <c r="U19" s="1">
        <f t="shared" si="3"/>
        <v>11.852857142857143</v>
      </c>
      <c r="V19" s="3">
        <f t="shared" si="5"/>
        <v>0.25285714285714178</v>
      </c>
      <c r="W19" s="1">
        <f t="shared" si="6"/>
        <v>0.26714285714285702</v>
      </c>
      <c r="X19" s="3"/>
    </row>
    <row r="20" spans="1:24" x14ac:dyDescent="0.25">
      <c r="A20" t="s">
        <v>16</v>
      </c>
      <c r="C20">
        <v>52.047448799999998</v>
      </c>
      <c r="D20">
        <v>-0.57240740000000001</v>
      </c>
      <c r="E20">
        <v>4</v>
      </c>
      <c r="F20">
        <v>4</v>
      </c>
      <c r="G20">
        <v>2022</v>
      </c>
      <c r="H20">
        <v>12</v>
      </c>
      <c r="I20">
        <v>55</v>
      </c>
      <c r="J20">
        <v>19.399999999999999</v>
      </c>
      <c r="K20">
        <v>32.909999999999997</v>
      </c>
      <c r="L20">
        <v>0</v>
      </c>
      <c r="M20">
        <v>42.228000000000002</v>
      </c>
      <c r="N20">
        <v>0.216</v>
      </c>
      <c r="P20" s="1">
        <f t="shared" si="0"/>
        <v>11.73</v>
      </c>
      <c r="Q20" s="3">
        <f t="shared" si="1"/>
        <v>0.70000000000000284</v>
      </c>
      <c r="R20" s="3">
        <f t="shared" si="2"/>
        <v>0.17999999999999972</v>
      </c>
      <c r="S20" s="3">
        <f t="shared" si="4"/>
        <v>0.23142857142857157</v>
      </c>
      <c r="U20" s="1">
        <f t="shared" si="3"/>
        <v>11.867142857142856</v>
      </c>
      <c r="V20" s="3">
        <f t="shared" si="5"/>
        <v>0.23142857142857132</v>
      </c>
      <c r="W20" s="1">
        <f t="shared" si="6"/>
        <v>0.21102040816326553</v>
      </c>
      <c r="X20" s="3"/>
    </row>
    <row r="21" spans="1:24" x14ac:dyDescent="0.25">
      <c r="A21" t="s">
        <v>16</v>
      </c>
      <c r="C21">
        <v>52.047468199999997</v>
      </c>
      <c r="D21">
        <v>-0.57242219999999999</v>
      </c>
      <c r="E21">
        <v>4</v>
      </c>
      <c r="F21">
        <v>4</v>
      </c>
      <c r="G21">
        <v>2022</v>
      </c>
      <c r="H21">
        <v>12</v>
      </c>
      <c r="I21">
        <v>55</v>
      </c>
      <c r="J21">
        <v>19.600000000000001</v>
      </c>
      <c r="K21">
        <v>32.909999999999997</v>
      </c>
      <c r="L21">
        <v>0</v>
      </c>
      <c r="M21">
        <v>43.38</v>
      </c>
      <c r="N21">
        <v>0.32400000000000001</v>
      </c>
      <c r="P21" s="1">
        <f t="shared" si="0"/>
        <v>12.05</v>
      </c>
      <c r="Q21" s="3">
        <f t="shared" si="1"/>
        <v>3.2000000000000028</v>
      </c>
      <c r="R21" s="3">
        <f t="shared" si="2"/>
        <v>-0.12000000000000099</v>
      </c>
      <c r="S21" s="3">
        <f t="shared" si="4"/>
        <v>0.18428571428571416</v>
      </c>
      <c r="U21" s="1">
        <f t="shared" si="3"/>
        <v>11.87142857142857</v>
      </c>
      <c r="V21" s="3">
        <f t="shared" si="5"/>
        <v>0.18428571428571416</v>
      </c>
      <c r="W21" s="1">
        <f t="shared" si="6"/>
        <v>0.16714285714285765</v>
      </c>
      <c r="X21" s="3"/>
    </row>
    <row r="22" spans="1:24" x14ac:dyDescent="0.25">
      <c r="A22" t="s">
        <v>16</v>
      </c>
      <c r="C22">
        <v>52.0474879</v>
      </c>
      <c r="D22">
        <v>-0.57243599999999994</v>
      </c>
      <c r="E22">
        <v>4</v>
      </c>
      <c r="F22">
        <v>4</v>
      </c>
      <c r="G22">
        <v>2022</v>
      </c>
      <c r="H22">
        <v>12</v>
      </c>
      <c r="I22">
        <v>55</v>
      </c>
      <c r="J22">
        <v>19.8</v>
      </c>
      <c r="K22">
        <v>32.909999999999997</v>
      </c>
      <c r="L22">
        <v>0</v>
      </c>
      <c r="M22">
        <v>43.271999999999998</v>
      </c>
      <c r="N22">
        <v>0.39600000000000002</v>
      </c>
      <c r="P22" s="1">
        <f t="shared" si="0"/>
        <v>12.02</v>
      </c>
      <c r="Q22" s="3">
        <f t="shared" si="1"/>
        <v>-0.30000000000001137</v>
      </c>
      <c r="R22" s="3">
        <f t="shared" si="2"/>
        <v>0.14000000000000057</v>
      </c>
      <c r="S22" s="3">
        <f t="shared" si="4"/>
        <v>5.8571428571428337E-2</v>
      </c>
      <c r="U22" s="1">
        <f t="shared" si="3"/>
        <v>11.855714285714285</v>
      </c>
      <c r="V22" s="3">
        <f t="shared" si="5"/>
        <v>5.8571428571429607E-2</v>
      </c>
      <c r="W22" s="1">
        <f t="shared" si="6"/>
        <v>0.14387755102040881</v>
      </c>
      <c r="X22" s="3"/>
    </row>
    <row r="23" spans="1:24" x14ac:dyDescent="0.25">
      <c r="A23" t="s">
        <v>16</v>
      </c>
      <c r="C23">
        <v>52.047507500000002</v>
      </c>
      <c r="D23">
        <v>-0.57244930000000005</v>
      </c>
      <c r="E23">
        <v>4</v>
      </c>
      <c r="F23">
        <v>4</v>
      </c>
      <c r="G23">
        <v>2022</v>
      </c>
      <c r="H23">
        <v>12</v>
      </c>
      <c r="I23">
        <v>55</v>
      </c>
      <c r="J23">
        <v>20</v>
      </c>
      <c r="K23">
        <v>32.61</v>
      </c>
      <c r="L23">
        <v>0</v>
      </c>
      <c r="M23">
        <v>42.984000000000002</v>
      </c>
      <c r="N23">
        <v>0.36</v>
      </c>
      <c r="P23" s="1">
        <f t="shared" si="0"/>
        <v>11.94</v>
      </c>
      <c r="Q23" s="3">
        <f t="shared" si="1"/>
        <v>-0.80000000000000071</v>
      </c>
      <c r="R23" s="3">
        <f t="shared" si="2"/>
        <v>0.25</v>
      </c>
      <c r="S23" s="3">
        <f t="shared" si="4"/>
        <v>5.5714285714285543E-2</v>
      </c>
      <c r="U23" s="1">
        <f t="shared" si="3"/>
        <v>11.901428571428571</v>
      </c>
      <c r="V23" s="3">
        <f t="shared" si="5"/>
        <v>5.5714285714287826E-2</v>
      </c>
      <c r="W23" s="1">
        <f t="shared" si="6"/>
        <v>0.1255102040816336</v>
      </c>
      <c r="X23" s="3"/>
    </row>
    <row r="24" spans="1:24" x14ac:dyDescent="0.25">
      <c r="A24" t="s">
        <v>16</v>
      </c>
      <c r="C24">
        <v>52.047527199999998</v>
      </c>
      <c r="D24">
        <v>-0.57246249999999999</v>
      </c>
      <c r="E24">
        <v>4</v>
      </c>
      <c r="F24">
        <v>4</v>
      </c>
      <c r="G24">
        <v>2022</v>
      </c>
      <c r="H24">
        <v>12</v>
      </c>
      <c r="I24">
        <v>55</v>
      </c>
      <c r="J24">
        <v>20.2</v>
      </c>
      <c r="K24">
        <v>32.61</v>
      </c>
      <c r="L24">
        <v>0</v>
      </c>
      <c r="M24">
        <v>42.444000000000003</v>
      </c>
      <c r="N24">
        <v>0.39600000000000002</v>
      </c>
      <c r="P24" s="1">
        <f t="shared" si="0"/>
        <v>11.79</v>
      </c>
      <c r="Q24" s="3">
        <f t="shared" si="1"/>
        <v>-1.5000000000000036</v>
      </c>
      <c r="R24" s="3">
        <f t="shared" si="2"/>
        <v>3.9999999999999147E-2</v>
      </c>
      <c r="S24" s="3">
        <f t="shared" si="4"/>
        <v>7.7142857142857027E-2</v>
      </c>
      <c r="U24" s="1">
        <f t="shared" si="3"/>
        <v>11.952857142857143</v>
      </c>
      <c r="V24" s="3">
        <f t="shared" si="5"/>
        <v>7.714285714285829E-2</v>
      </c>
      <c r="W24" s="1">
        <f t="shared" si="6"/>
        <v>0.10408163265306238</v>
      </c>
      <c r="X24" s="3"/>
    </row>
    <row r="25" spans="1:24" x14ac:dyDescent="0.25">
      <c r="A25" t="s">
        <v>16</v>
      </c>
      <c r="C25">
        <v>52.0475469</v>
      </c>
      <c r="D25">
        <v>-0.57247599999999998</v>
      </c>
      <c r="E25">
        <v>4</v>
      </c>
      <c r="F25">
        <v>4</v>
      </c>
      <c r="G25">
        <v>2022</v>
      </c>
      <c r="H25">
        <v>12</v>
      </c>
      <c r="I25">
        <v>55</v>
      </c>
      <c r="J25">
        <v>20.399999999999999</v>
      </c>
      <c r="K25">
        <v>32.61</v>
      </c>
      <c r="L25">
        <v>0</v>
      </c>
      <c r="M25">
        <v>42.48</v>
      </c>
      <c r="N25">
        <v>0.39600000000000002</v>
      </c>
      <c r="P25" s="1">
        <f t="shared" si="0"/>
        <v>11.8</v>
      </c>
      <c r="Q25" s="3">
        <f t="shared" si="1"/>
        <v>0.10000000000001563</v>
      </c>
      <c r="R25" s="3">
        <f t="shared" si="2"/>
        <v>-0.25999999999999979</v>
      </c>
      <c r="S25" s="3">
        <f t="shared" si="4"/>
        <v>0.14714285714285705</v>
      </c>
      <c r="U25" s="1">
        <f t="shared" si="3"/>
        <v>11.911428571428573</v>
      </c>
      <c r="V25" s="3">
        <f t="shared" si="5"/>
        <v>0.14714285714285857</v>
      </c>
      <c r="W25" s="1">
        <f t="shared" si="6"/>
        <v>9.10204081632663E-2</v>
      </c>
      <c r="X25" s="3"/>
    </row>
    <row r="26" spans="1:24" x14ac:dyDescent="0.25">
      <c r="A26" t="s">
        <v>16</v>
      </c>
      <c r="C26">
        <v>52.0475669</v>
      </c>
      <c r="D26">
        <v>-0.57248860000000001</v>
      </c>
      <c r="E26">
        <v>4</v>
      </c>
      <c r="F26">
        <v>4</v>
      </c>
      <c r="G26">
        <v>2022</v>
      </c>
      <c r="H26">
        <v>12</v>
      </c>
      <c r="I26">
        <v>55</v>
      </c>
      <c r="J26">
        <v>20.6</v>
      </c>
      <c r="K26">
        <v>32.909999999999997</v>
      </c>
      <c r="L26">
        <v>0</v>
      </c>
      <c r="M26">
        <v>43.128</v>
      </c>
      <c r="N26">
        <v>0.39600000000000002</v>
      </c>
      <c r="P26" s="1">
        <f t="shared" si="0"/>
        <v>11.98</v>
      </c>
      <c r="Q26" s="3">
        <f t="shared" si="1"/>
        <v>1.7999999999999972</v>
      </c>
      <c r="R26" s="3">
        <f t="shared" si="2"/>
        <v>0.16000000000000014</v>
      </c>
      <c r="S26" s="3">
        <f t="shared" si="4"/>
        <v>0.12428571428571418</v>
      </c>
      <c r="U26" s="1">
        <f t="shared" si="3"/>
        <v>11.922857142857143</v>
      </c>
      <c r="V26" s="3">
        <f t="shared" si="5"/>
        <v>0.12428571428571544</v>
      </c>
      <c r="W26" s="1">
        <f t="shared" si="6"/>
        <v>0.10244897959183723</v>
      </c>
      <c r="X26" s="3"/>
    </row>
    <row r="27" spans="1:24" x14ac:dyDescent="0.25">
      <c r="A27" t="s">
        <v>16</v>
      </c>
      <c r="C27">
        <v>52.047587499999999</v>
      </c>
      <c r="D27">
        <v>-0.57250080000000003</v>
      </c>
      <c r="E27">
        <v>4</v>
      </c>
      <c r="F27">
        <v>4</v>
      </c>
      <c r="G27">
        <v>2022</v>
      </c>
      <c r="H27">
        <v>12</v>
      </c>
      <c r="I27">
        <v>55</v>
      </c>
      <c r="J27">
        <v>20.8</v>
      </c>
      <c r="K27">
        <v>32.909999999999997</v>
      </c>
      <c r="L27">
        <v>0</v>
      </c>
      <c r="M27">
        <v>43.524000000000001</v>
      </c>
      <c r="N27">
        <v>0.36</v>
      </c>
      <c r="P27" s="1">
        <f t="shared" si="0"/>
        <v>12.09</v>
      </c>
      <c r="Q27" s="3">
        <f t="shared" si="1"/>
        <v>1.0999999999999943</v>
      </c>
      <c r="R27" s="3">
        <f t="shared" si="2"/>
        <v>0.33000000000000007</v>
      </c>
      <c r="S27" s="3">
        <f t="shared" si="4"/>
        <v>8.1428571428571211E-2</v>
      </c>
      <c r="U27" s="1">
        <f t="shared" si="3"/>
        <v>11.948571428571428</v>
      </c>
      <c r="V27" s="3">
        <f t="shared" si="5"/>
        <v>8.1428571428572738E-2</v>
      </c>
      <c r="W27" s="1">
        <f t="shared" si="6"/>
        <v>0.11285714285714299</v>
      </c>
      <c r="X27" s="3"/>
    </row>
    <row r="28" spans="1:24" x14ac:dyDescent="0.25">
      <c r="A28" t="s">
        <v>16</v>
      </c>
      <c r="C28">
        <v>52.047607399999997</v>
      </c>
      <c r="D28">
        <v>-0.57251379999999996</v>
      </c>
      <c r="E28">
        <v>4</v>
      </c>
      <c r="F28">
        <v>4</v>
      </c>
      <c r="G28">
        <v>2022</v>
      </c>
      <c r="H28">
        <v>12</v>
      </c>
      <c r="I28">
        <v>55</v>
      </c>
      <c r="J28">
        <v>21</v>
      </c>
      <c r="K28">
        <v>32.909999999999997</v>
      </c>
      <c r="L28">
        <v>0</v>
      </c>
      <c r="M28">
        <v>42.335999999999999</v>
      </c>
      <c r="N28">
        <v>0.36</v>
      </c>
      <c r="P28" s="1">
        <f t="shared" si="0"/>
        <v>11.76</v>
      </c>
      <c r="Q28" s="3">
        <f t="shared" si="1"/>
        <v>-3.3000000000000007</v>
      </c>
      <c r="R28" s="3">
        <f t="shared" si="2"/>
        <v>0.36999999999999922</v>
      </c>
      <c r="S28" s="3">
        <f t="shared" si="4"/>
        <v>9.2857142857142902E-2</v>
      </c>
      <c r="U28" s="1">
        <f t="shared" si="3"/>
        <v>12.002857142857144</v>
      </c>
      <c r="V28" s="3">
        <f t="shared" si="5"/>
        <v>9.2857142857141639E-2</v>
      </c>
      <c r="W28" s="1">
        <f t="shared" si="6"/>
        <v>0.11448979591836762</v>
      </c>
      <c r="X28" s="3"/>
    </row>
    <row r="29" spans="1:24" x14ac:dyDescent="0.25">
      <c r="A29" t="s">
        <v>16</v>
      </c>
      <c r="C29">
        <v>52.047627499999997</v>
      </c>
      <c r="D29">
        <v>-0.57252650000000005</v>
      </c>
      <c r="E29">
        <v>4</v>
      </c>
      <c r="F29">
        <v>4</v>
      </c>
      <c r="G29">
        <v>2022</v>
      </c>
      <c r="H29">
        <v>12</v>
      </c>
      <c r="I29">
        <v>55</v>
      </c>
      <c r="J29">
        <v>21.2</v>
      </c>
      <c r="K29">
        <v>32.909999999999997</v>
      </c>
      <c r="L29">
        <v>0</v>
      </c>
      <c r="M29">
        <v>43.56</v>
      </c>
      <c r="N29">
        <v>0.39600000000000002</v>
      </c>
      <c r="P29" s="1">
        <f t="shared" si="0"/>
        <v>12.1</v>
      </c>
      <c r="Q29" s="3">
        <f t="shared" si="1"/>
        <v>3.3999999999999986</v>
      </c>
      <c r="R29" s="3">
        <f t="shared" si="2"/>
        <v>-1.9999999999999574E-2</v>
      </c>
      <c r="S29" s="3">
        <f t="shared" si="4"/>
        <v>0.13857142857142865</v>
      </c>
      <c r="U29" s="1">
        <f t="shared" si="3"/>
        <v>12.025714285714287</v>
      </c>
      <c r="V29" s="3">
        <f t="shared" si="5"/>
        <v>0.13857142857142613</v>
      </c>
      <c r="W29" s="1">
        <f t="shared" si="6"/>
        <v>9.7755102040816569E-2</v>
      </c>
      <c r="X29" s="3"/>
    </row>
    <row r="30" spans="1:24" x14ac:dyDescent="0.25">
      <c r="A30" t="s">
        <v>16</v>
      </c>
      <c r="C30">
        <v>52.047648100000004</v>
      </c>
      <c r="D30">
        <v>-0.57253810000000005</v>
      </c>
      <c r="E30">
        <v>4</v>
      </c>
      <c r="F30">
        <v>4</v>
      </c>
      <c r="G30">
        <v>2022</v>
      </c>
      <c r="H30">
        <v>12</v>
      </c>
      <c r="I30">
        <v>55</v>
      </c>
      <c r="J30">
        <v>21.4</v>
      </c>
      <c r="K30">
        <v>32.909999999999997</v>
      </c>
      <c r="L30">
        <v>0</v>
      </c>
      <c r="M30">
        <v>43.631999999999998</v>
      </c>
      <c r="N30">
        <v>0.39600000000000002</v>
      </c>
      <c r="P30" s="1">
        <f t="shared" si="0"/>
        <v>12.12</v>
      </c>
      <c r="Q30" s="3">
        <f t="shared" si="1"/>
        <v>0.19999999999999574</v>
      </c>
      <c r="R30" s="3">
        <f t="shared" si="2"/>
        <v>-5.0000000000000711E-2</v>
      </c>
      <c r="S30" s="3">
        <f t="shared" si="4"/>
        <v>0.12857142857142886</v>
      </c>
      <c r="U30" s="1">
        <f t="shared" si="3"/>
        <v>12.034285714285716</v>
      </c>
      <c r="V30" s="3">
        <f t="shared" si="5"/>
        <v>0.12857142857142811</v>
      </c>
      <c r="W30" s="1">
        <f t="shared" si="6"/>
        <v>8.0408163265305782E-2</v>
      </c>
      <c r="X30" s="3"/>
    </row>
    <row r="31" spans="1:24" x14ac:dyDescent="0.25">
      <c r="A31" t="s">
        <v>16</v>
      </c>
      <c r="C31">
        <v>52.047668799999997</v>
      </c>
      <c r="D31">
        <v>-0.57254939999999999</v>
      </c>
      <c r="E31">
        <v>4</v>
      </c>
      <c r="F31">
        <v>4</v>
      </c>
      <c r="G31">
        <v>2022</v>
      </c>
      <c r="H31">
        <v>12</v>
      </c>
      <c r="I31">
        <v>55</v>
      </c>
      <c r="J31">
        <v>21.6</v>
      </c>
      <c r="K31">
        <v>32.909999999999997</v>
      </c>
      <c r="L31">
        <v>0</v>
      </c>
      <c r="M31">
        <v>43.811999999999998</v>
      </c>
      <c r="N31">
        <v>0.36</v>
      </c>
      <c r="P31" s="1">
        <f t="shared" si="0"/>
        <v>12.17</v>
      </c>
      <c r="Q31" s="3">
        <f t="shared" si="1"/>
        <v>0.50000000000000711</v>
      </c>
      <c r="R31" s="3">
        <f t="shared" si="2"/>
        <v>0.12000000000000099</v>
      </c>
      <c r="S31" s="3">
        <f t="shared" si="4"/>
        <v>8.8571428571428967E-2</v>
      </c>
      <c r="U31" s="1">
        <f t="shared" si="3"/>
        <v>12.004285714285714</v>
      </c>
      <c r="V31" s="3">
        <f t="shared" si="5"/>
        <v>8.8571428571430744E-2</v>
      </c>
      <c r="W31" s="1">
        <f t="shared" si="6"/>
        <v>7.0408163265305496E-2</v>
      </c>
      <c r="X31" s="3"/>
    </row>
    <row r="32" spans="1:24" x14ac:dyDescent="0.25">
      <c r="A32" t="s">
        <v>16</v>
      </c>
      <c r="C32">
        <v>52.047689300000002</v>
      </c>
      <c r="D32">
        <v>-0.57256180000000001</v>
      </c>
      <c r="E32">
        <v>4</v>
      </c>
      <c r="F32">
        <v>4</v>
      </c>
      <c r="G32">
        <v>2022</v>
      </c>
      <c r="H32">
        <v>12</v>
      </c>
      <c r="I32">
        <v>55</v>
      </c>
      <c r="J32">
        <v>21.8</v>
      </c>
      <c r="K32">
        <v>32.909999999999997</v>
      </c>
      <c r="L32">
        <v>0</v>
      </c>
      <c r="M32">
        <v>43.055999999999997</v>
      </c>
      <c r="N32">
        <v>0.36</v>
      </c>
      <c r="P32" s="1">
        <f t="shared" si="0"/>
        <v>11.96</v>
      </c>
      <c r="Q32" s="3">
        <f t="shared" si="1"/>
        <v>-2.0999999999999908</v>
      </c>
      <c r="R32" s="3">
        <f t="shared" si="2"/>
        <v>6.0000000000000497E-2</v>
      </c>
      <c r="S32" s="3">
        <f t="shared" si="4"/>
        <v>3.0000000000000377E-2</v>
      </c>
      <c r="U32" s="1">
        <f t="shared" si="3"/>
        <v>12.06142857142857</v>
      </c>
      <c r="V32" s="3">
        <f t="shared" si="5"/>
        <v>3.0000000000001137E-2</v>
      </c>
      <c r="W32" s="1">
        <f t="shared" si="6"/>
        <v>5.2040816326530556E-2</v>
      </c>
      <c r="X32" s="3"/>
    </row>
    <row r="33" spans="1:24" x14ac:dyDescent="0.25">
      <c r="A33" t="s">
        <v>16</v>
      </c>
      <c r="C33">
        <v>52.047709599999997</v>
      </c>
      <c r="D33">
        <v>-0.57257449999999999</v>
      </c>
      <c r="E33">
        <v>4</v>
      </c>
      <c r="F33">
        <v>4</v>
      </c>
      <c r="G33">
        <v>2022</v>
      </c>
      <c r="H33">
        <v>12</v>
      </c>
      <c r="I33">
        <v>55</v>
      </c>
      <c r="J33">
        <v>22</v>
      </c>
      <c r="K33">
        <v>32.909999999999997</v>
      </c>
      <c r="L33">
        <v>0</v>
      </c>
      <c r="M33">
        <v>43.344000000000001</v>
      </c>
      <c r="N33">
        <v>0.36</v>
      </c>
      <c r="P33" s="1">
        <f t="shared" si="0"/>
        <v>12.04</v>
      </c>
      <c r="Q33" s="3">
        <f t="shared" si="1"/>
        <v>0.79999999999998295</v>
      </c>
      <c r="R33" s="3">
        <f t="shared" si="2"/>
        <v>9.0000000000001634E-2</v>
      </c>
      <c r="S33" s="3">
        <f t="shared" si="4"/>
        <v>2.8571428571433038E-3</v>
      </c>
      <c r="U33" s="1">
        <f t="shared" si="3"/>
        <v>12.077142857142857</v>
      </c>
      <c r="V33" s="3">
        <f t="shared" si="5"/>
        <v>2.8571428571400048E-3</v>
      </c>
      <c r="W33" s="1">
        <f t="shared" si="6"/>
        <v>2.102040816326551E-2</v>
      </c>
      <c r="X33" s="3"/>
    </row>
    <row r="34" spans="1:24" x14ac:dyDescent="0.25">
      <c r="A34" t="s">
        <v>16</v>
      </c>
      <c r="C34">
        <v>52.047729699999998</v>
      </c>
      <c r="D34">
        <v>-0.57258730000000002</v>
      </c>
      <c r="E34">
        <v>4</v>
      </c>
      <c r="F34">
        <v>4</v>
      </c>
      <c r="G34">
        <v>2022</v>
      </c>
      <c r="H34">
        <v>12</v>
      </c>
      <c r="I34">
        <v>55</v>
      </c>
      <c r="J34">
        <v>22.2</v>
      </c>
      <c r="K34">
        <v>32.909999999999997</v>
      </c>
      <c r="L34">
        <v>0</v>
      </c>
      <c r="M34">
        <v>42.768000000000001</v>
      </c>
      <c r="N34">
        <v>0.36</v>
      </c>
      <c r="P34" s="1">
        <f t="shared" si="0"/>
        <v>11.88</v>
      </c>
      <c r="Q34" s="3">
        <f t="shared" si="1"/>
        <v>-1.5999999999999837</v>
      </c>
      <c r="R34" s="3">
        <f t="shared" si="2"/>
        <v>5.0000000000000711E-2</v>
      </c>
      <c r="S34" s="3">
        <f t="shared" si="4"/>
        <v>1.1428571428571946E-2</v>
      </c>
      <c r="U34" s="1">
        <f t="shared" si="3"/>
        <v>12.091428571428574</v>
      </c>
      <c r="V34" s="3">
        <f t="shared" si="5"/>
        <v>1.1428571428570677E-2</v>
      </c>
      <c r="W34" s="1">
        <f t="shared" si="6"/>
        <v>-1.5510204081632903E-2</v>
      </c>
      <c r="X34" s="3"/>
    </row>
    <row r="35" spans="1:24" x14ac:dyDescent="0.25">
      <c r="A35" t="s">
        <v>16</v>
      </c>
      <c r="C35">
        <v>52.047750100000002</v>
      </c>
      <c r="D35">
        <v>-0.57259970000000004</v>
      </c>
      <c r="E35">
        <v>4</v>
      </c>
      <c r="F35">
        <v>4</v>
      </c>
      <c r="G35">
        <v>2022</v>
      </c>
      <c r="H35">
        <v>12</v>
      </c>
      <c r="I35">
        <v>55</v>
      </c>
      <c r="J35">
        <v>22.4</v>
      </c>
      <c r="K35">
        <v>33.22</v>
      </c>
      <c r="L35">
        <v>0</v>
      </c>
      <c r="M35">
        <v>43.776000000000003</v>
      </c>
      <c r="N35">
        <v>0.504</v>
      </c>
      <c r="P35" s="1">
        <f t="shared" si="0"/>
        <v>12.16</v>
      </c>
      <c r="Q35" s="3">
        <f t="shared" si="1"/>
        <v>2.7999999999999936</v>
      </c>
      <c r="R35" s="3">
        <f t="shared" si="2"/>
        <v>-4.0000000000000924E-2</v>
      </c>
      <c r="S35" s="3">
        <f t="shared" si="4"/>
        <v>-3.5714285714285463E-2</v>
      </c>
      <c r="U35" s="1">
        <f t="shared" si="3"/>
        <v>12.055714285714288</v>
      </c>
      <c r="V35" s="3">
        <f t="shared" si="5"/>
        <v>-3.5714285714282923E-2</v>
      </c>
      <c r="W35" s="1">
        <f t="shared" si="6"/>
        <v>-5.1836734693878332E-2</v>
      </c>
      <c r="X35" s="3"/>
    </row>
    <row r="36" spans="1:24" x14ac:dyDescent="0.25">
      <c r="A36" t="s">
        <v>16</v>
      </c>
      <c r="C36">
        <v>52.047770700000001</v>
      </c>
      <c r="D36">
        <v>-0.57261150000000005</v>
      </c>
      <c r="E36">
        <v>4</v>
      </c>
      <c r="F36">
        <v>4</v>
      </c>
      <c r="G36">
        <v>2022</v>
      </c>
      <c r="H36">
        <v>12</v>
      </c>
      <c r="I36">
        <v>55</v>
      </c>
      <c r="J36">
        <v>22.6</v>
      </c>
      <c r="K36">
        <v>33.22</v>
      </c>
      <c r="L36">
        <v>0</v>
      </c>
      <c r="M36">
        <v>43.956000000000003</v>
      </c>
      <c r="N36">
        <v>0.46800000000000003</v>
      </c>
      <c r="P36" s="1">
        <f t="shared" si="0"/>
        <v>12.21</v>
      </c>
      <c r="Q36" s="3">
        <f t="shared" si="1"/>
        <v>0.50000000000000711</v>
      </c>
      <c r="R36" s="3">
        <f t="shared" si="2"/>
        <v>-0.20999999999999908</v>
      </c>
      <c r="S36" s="3">
        <f t="shared" si="4"/>
        <v>-7.8571428571428417E-2</v>
      </c>
      <c r="U36" s="1">
        <f t="shared" si="3"/>
        <v>12.037142857142856</v>
      </c>
      <c r="V36" s="3">
        <f t="shared" si="5"/>
        <v>-7.857142857142918E-2</v>
      </c>
      <c r="W36" s="1">
        <f t="shared" si="6"/>
        <v>-8.1224489795918994E-2</v>
      </c>
      <c r="X36" s="3"/>
    </row>
    <row r="37" spans="1:24" x14ac:dyDescent="0.25">
      <c r="A37" t="s">
        <v>16</v>
      </c>
      <c r="C37">
        <v>52.047791199999999</v>
      </c>
      <c r="D37">
        <v>-0.5726234</v>
      </c>
      <c r="E37">
        <v>4</v>
      </c>
      <c r="F37">
        <v>4</v>
      </c>
      <c r="G37">
        <v>2022</v>
      </c>
      <c r="H37">
        <v>12</v>
      </c>
      <c r="I37">
        <v>55</v>
      </c>
      <c r="J37">
        <v>22.8</v>
      </c>
      <c r="K37">
        <v>32.909999999999997</v>
      </c>
      <c r="L37">
        <v>0</v>
      </c>
      <c r="M37">
        <v>43.991999999999997</v>
      </c>
      <c r="N37">
        <v>0.36</v>
      </c>
      <c r="P37" s="1">
        <f t="shared" si="0"/>
        <v>12.22</v>
      </c>
      <c r="Q37" s="3">
        <f t="shared" si="1"/>
        <v>9.9999999999997868E-2</v>
      </c>
      <c r="R37" s="3">
        <f t="shared" si="2"/>
        <v>9.9999999999997868E-3</v>
      </c>
      <c r="S37" s="3">
        <f t="shared" si="4"/>
        <v>-0.12714285714285722</v>
      </c>
      <c r="U37" s="1">
        <f t="shared" si="3"/>
        <v>12.015714285714285</v>
      </c>
      <c r="V37" s="3">
        <f t="shared" si="5"/>
        <v>-0.12714285714286078</v>
      </c>
      <c r="W37" s="1">
        <f t="shared" si="6"/>
        <v>-0.10122448979591832</v>
      </c>
      <c r="X37" s="3"/>
    </row>
    <row r="38" spans="1:24" x14ac:dyDescent="0.25">
      <c r="A38" t="s">
        <v>16</v>
      </c>
      <c r="C38">
        <v>52.047811299999999</v>
      </c>
      <c r="D38">
        <v>-0.57263580000000003</v>
      </c>
      <c r="E38">
        <v>4</v>
      </c>
      <c r="F38">
        <v>4</v>
      </c>
      <c r="G38">
        <v>2022</v>
      </c>
      <c r="H38">
        <v>12</v>
      </c>
      <c r="I38">
        <v>55</v>
      </c>
      <c r="J38">
        <v>23</v>
      </c>
      <c r="K38">
        <v>32.909999999999997</v>
      </c>
      <c r="L38">
        <v>0</v>
      </c>
      <c r="M38">
        <v>42.911999999999999</v>
      </c>
      <c r="N38">
        <v>0.36</v>
      </c>
      <c r="P38" s="1">
        <f t="shared" si="0"/>
        <v>11.92</v>
      </c>
      <c r="Q38" s="3">
        <f t="shared" si="1"/>
        <v>-3.0000000000000071</v>
      </c>
      <c r="R38" s="3">
        <f t="shared" si="2"/>
        <v>-0.21000000000000085</v>
      </c>
      <c r="S38" s="3">
        <f t="shared" si="4"/>
        <v>-0.16571428571428598</v>
      </c>
      <c r="U38" s="1">
        <f t="shared" si="3"/>
        <v>12.025714285714287</v>
      </c>
      <c r="V38" s="3">
        <f t="shared" si="5"/>
        <v>-0.16571428571428726</v>
      </c>
      <c r="W38" s="1">
        <f t="shared" si="6"/>
        <v>-0.12224489795918357</v>
      </c>
      <c r="X38" s="3"/>
    </row>
    <row r="39" spans="1:24" x14ac:dyDescent="0.25">
      <c r="A39" t="s">
        <v>16</v>
      </c>
      <c r="C39">
        <v>52.047831000000002</v>
      </c>
      <c r="D39">
        <v>-0.57264879999999996</v>
      </c>
      <c r="E39">
        <v>4</v>
      </c>
      <c r="F39">
        <v>4</v>
      </c>
      <c r="G39">
        <v>2022</v>
      </c>
      <c r="H39">
        <v>12</v>
      </c>
      <c r="I39">
        <v>55</v>
      </c>
      <c r="J39">
        <v>23.2</v>
      </c>
      <c r="K39">
        <v>32.909999999999997</v>
      </c>
      <c r="L39">
        <v>0</v>
      </c>
      <c r="M39">
        <v>42.588000000000001</v>
      </c>
      <c r="N39">
        <v>0.39600000000000002</v>
      </c>
      <c r="P39" s="1">
        <f t="shared" si="0"/>
        <v>11.83</v>
      </c>
      <c r="Q39" s="3">
        <f t="shared" si="1"/>
        <v>-0.89999999999999858</v>
      </c>
      <c r="R39" s="3">
        <f t="shared" si="2"/>
        <v>-0.24000000000000021</v>
      </c>
      <c r="S39" s="3">
        <f t="shared" si="4"/>
        <v>-0.17571428571428577</v>
      </c>
      <c r="U39" s="1">
        <f t="shared" si="3"/>
        <v>11.998571428571427</v>
      </c>
      <c r="V39" s="3">
        <f t="shared" si="5"/>
        <v>-0.17571428571428349</v>
      </c>
      <c r="W39" s="1">
        <f t="shared" si="6"/>
        <v>-0.13755102040816322</v>
      </c>
      <c r="X39" s="3"/>
    </row>
    <row r="40" spans="1:24" x14ac:dyDescent="0.25">
      <c r="A40" t="s">
        <v>16</v>
      </c>
      <c r="C40">
        <v>52.047850599999997</v>
      </c>
      <c r="D40">
        <v>-0.57266249999999996</v>
      </c>
      <c r="E40">
        <v>4</v>
      </c>
      <c r="F40">
        <v>4</v>
      </c>
      <c r="G40">
        <v>2022</v>
      </c>
      <c r="H40">
        <v>12</v>
      </c>
      <c r="I40">
        <v>55</v>
      </c>
      <c r="J40">
        <v>23.4</v>
      </c>
      <c r="K40">
        <v>32.909999999999997</v>
      </c>
      <c r="L40">
        <v>0</v>
      </c>
      <c r="M40">
        <v>42.804000000000002</v>
      </c>
      <c r="N40">
        <v>0.504</v>
      </c>
      <c r="P40" s="1">
        <f t="shared" si="0"/>
        <v>11.89</v>
      </c>
      <c r="Q40" s="3">
        <f t="shared" si="1"/>
        <v>0.60000000000000497</v>
      </c>
      <c r="R40" s="3">
        <f t="shared" si="2"/>
        <v>-0.25</v>
      </c>
      <c r="S40" s="3">
        <f t="shared" si="4"/>
        <v>-0.13714285714285751</v>
      </c>
      <c r="U40" s="1">
        <f t="shared" si="3"/>
        <v>11.964285714285714</v>
      </c>
      <c r="V40" s="3">
        <f t="shared" si="5"/>
        <v>-0.13714285714285523</v>
      </c>
      <c r="W40" s="1">
        <f t="shared" si="6"/>
        <v>-0.1540816326530608</v>
      </c>
      <c r="X40" s="3"/>
    </row>
    <row r="41" spans="1:24" x14ac:dyDescent="0.25">
      <c r="A41" t="s">
        <v>16</v>
      </c>
      <c r="C41">
        <v>52.0478703</v>
      </c>
      <c r="D41">
        <v>-0.57267619999999997</v>
      </c>
      <c r="E41">
        <v>4</v>
      </c>
      <c r="F41">
        <v>4</v>
      </c>
      <c r="G41">
        <v>2022</v>
      </c>
      <c r="H41">
        <v>12</v>
      </c>
      <c r="I41">
        <v>55</v>
      </c>
      <c r="J41">
        <v>23.6</v>
      </c>
      <c r="K41">
        <v>33.22</v>
      </c>
      <c r="L41">
        <v>0</v>
      </c>
      <c r="M41">
        <v>43.02</v>
      </c>
      <c r="N41">
        <v>0.504</v>
      </c>
      <c r="P41" s="1">
        <f t="shared" si="0"/>
        <v>11.95</v>
      </c>
      <c r="Q41" s="3">
        <f t="shared" si="1"/>
        <v>0.59999999999998721</v>
      </c>
      <c r="R41" s="3">
        <f t="shared" si="2"/>
        <v>-0.22000000000000064</v>
      </c>
      <c r="S41" s="3">
        <f t="shared" si="4"/>
        <v>-0.13571428571428587</v>
      </c>
      <c r="U41" s="1">
        <f t="shared" si="3"/>
        <v>11.89</v>
      </c>
      <c r="V41" s="3">
        <f t="shared" si="5"/>
        <v>-0.13571428571428612</v>
      </c>
      <c r="W41" s="1">
        <f t="shared" si="6"/>
        <v>-0.15938775510203992</v>
      </c>
      <c r="X41" s="3"/>
    </row>
    <row r="42" spans="1:24" x14ac:dyDescent="0.25">
      <c r="A42" t="s">
        <v>16</v>
      </c>
      <c r="C42">
        <v>52.047890099999996</v>
      </c>
      <c r="D42">
        <v>-0.57269009999999998</v>
      </c>
      <c r="E42">
        <v>4</v>
      </c>
      <c r="F42">
        <v>4</v>
      </c>
      <c r="G42">
        <v>2022</v>
      </c>
      <c r="H42">
        <v>12</v>
      </c>
      <c r="I42">
        <v>55</v>
      </c>
      <c r="J42">
        <v>23.8</v>
      </c>
      <c r="K42">
        <v>33.22</v>
      </c>
      <c r="L42">
        <v>0</v>
      </c>
      <c r="M42">
        <v>43.091999999999999</v>
      </c>
      <c r="N42">
        <v>0.46800000000000003</v>
      </c>
      <c r="P42" s="1">
        <f t="shared" si="0"/>
        <v>11.97</v>
      </c>
      <c r="Q42" s="3">
        <f t="shared" si="1"/>
        <v>0.2000000000000135</v>
      </c>
      <c r="R42" s="3">
        <f t="shared" si="2"/>
        <v>-0.10999999999999943</v>
      </c>
      <c r="S42" s="3">
        <f t="shared" si="4"/>
        <v>-0.14285714285714285</v>
      </c>
      <c r="U42" s="1">
        <f t="shared" si="3"/>
        <v>11.861428571428572</v>
      </c>
      <c r="V42" s="3">
        <f t="shared" si="5"/>
        <v>-0.14285714285714057</v>
      </c>
      <c r="W42" s="1">
        <f t="shared" si="6"/>
        <v>-0.15510204081632548</v>
      </c>
      <c r="X42" s="3"/>
    </row>
    <row r="43" spans="1:24" x14ac:dyDescent="0.25">
      <c r="A43" t="s">
        <v>16</v>
      </c>
      <c r="C43">
        <v>52.047909900000001</v>
      </c>
      <c r="D43">
        <v>-0.5727042</v>
      </c>
      <c r="E43">
        <v>4</v>
      </c>
      <c r="F43">
        <v>4</v>
      </c>
      <c r="G43">
        <v>2022</v>
      </c>
      <c r="H43">
        <v>12</v>
      </c>
      <c r="I43">
        <v>55</v>
      </c>
      <c r="J43">
        <v>24</v>
      </c>
      <c r="K43">
        <v>33.22</v>
      </c>
      <c r="L43">
        <v>0</v>
      </c>
      <c r="M43">
        <v>43.091999999999999</v>
      </c>
      <c r="N43">
        <v>0.72</v>
      </c>
      <c r="P43" s="1">
        <f t="shared" si="0"/>
        <v>11.97</v>
      </c>
      <c r="Q43" s="3">
        <f t="shared" si="1"/>
        <v>0</v>
      </c>
      <c r="R43" s="3">
        <f t="shared" si="2"/>
        <v>5.9999999999998721E-2</v>
      </c>
      <c r="S43" s="3">
        <f t="shared" si="4"/>
        <v>-0.19428571428571445</v>
      </c>
      <c r="U43" s="1">
        <f t="shared" si="3"/>
        <v>11.87857142857143</v>
      </c>
      <c r="V43" s="3">
        <f t="shared" si="5"/>
        <v>-0.19428571428571217</v>
      </c>
      <c r="W43" s="1">
        <f t="shared" si="6"/>
        <v>-0.14816326530612173</v>
      </c>
      <c r="X43" s="3"/>
    </row>
    <row r="44" spans="1:24" x14ac:dyDescent="0.25">
      <c r="A44" t="s">
        <v>16</v>
      </c>
      <c r="C44">
        <v>52.047929400000001</v>
      </c>
      <c r="D44">
        <v>-0.57271839999999996</v>
      </c>
      <c r="E44">
        <v>4</v>
      </c>
      <c r="F44">
        <v>4</v>
      </c>
      <c r="G44">
        <v>2022</v>
      </c>
      <c r="H44">
        <v>12</v>
      </c>
      <c r="I44">
        <v>55</v>
      </c>
      <c r="J44">
        <v>24.2</v>
      </c>
      <c r="K44">
        <v>33.22</v>
      </c>
      <c r="L44">
        <v>0</v>
      </c>
      <c r="M44">
        <v>42.12</v>
      </c>
      <c r="N44">
        <v>0.54</v>
      </c>
      <c r="P44" s="1">
        <f t="shared" si="0"/>
        <v>11.7</v>
      </c>
      <c r="Q44" s="3">
        <f t="shared" si="1"/>
        <v>-2.7000000000000135</v>
      </c>
      <c r="R44" s="3">
        <f t="shared" si="2"/>
        <v>2.000000000000135E-2</v>
      </c>
      <c r="S44" s="3">
        <f t="shared" si="4"/>
        <v>-0.16428571428571434</v>
      </c>
      <c r="U44" s="1">
        <f t="shared" si="3"/>
        <v>11.89</v>
      </c>
      <c r="V44" s="3">
        <f t="shared" si="5"/>
        <v>-0.16428571428571459</v>
      </c>
      <c r="W44" s="1">
        <f t="shared" si="6"/>
        <v>-0.14530612244897917</v>
      </c>
      <c r="X44" s="3"/>
    </row>
    <row r="45" spans="1:24" x14ac:dyDescent="0.25">
      <c r="A45" t="s">
        <v>16</v>
      </c>
      <c r="C45">
        <v>52.047948900000002</v>
      </c>
      <c r="D45">
        <v>-0.57273229999999997</v>
      </c>
      <c r="E45">
        <v>4</v>
      </c>
      <c r="F45">
        <v>4</v>
      </c>
      <c r="G45">
        <v>2022</v>
      </c>
      <c r="H45">
        <v>12</v>
      </c>
      <c r="I45">
        <v>55</v>
      </c>
      <c r="J45">
        <v>24.4</v>
      </c>
      <c r="K45">
        <v>33.520000000000003</v>
      </c>
      <c r="L45">
        <v>0</v>
      </c>
      <c r="M45">
        <v>42.192</v>
      </c>
      <c r="N45">
        <v>0.432</v>
      </c>
      <c r="P45" s="1">
        <f t="shared" si="0"/>
        <v>11.72</v>
      </c>
      <c r="Q45" s="3">
        <f t="shared" si="1"/>
        <v>0.2000000000000135</v>
      </c>
      <c r="R45" s="3">
        <f t="shared" si="2"/>
        <v>-0.25999999999999979</v>
      </c>
      <c r="S45" s="3">
        <f t="shared" si="4"/>
        <v>-0.13571428571428587</v>
      </c>
      <c r="U45" s="1">
        <f t="shared" si="3"/>
        <v>11.855714285714287</v>
      </c>
      <c r="V45" s="3">
        <f t="shared" si="5"/>
        <v>-0.13571428571428612</v>
      </c>
      <c r="W45" s="1">
        <f t="shared" si="6"/>
        <v>-0.13571428571428562</v>
      </c>
      <c r="X45" s="3"/>
    </row>
    <row r="46" spans="1:24" x14ac:dyDescent="0.25">
      <c r="A46" t="s">
        <v>16</v>
      </c>
      <c r="C46">
        <v>52.047968500000003</v>
      </c>
      <c r="D46">
        <v>-0.57274650000000005</v>
      </c>
      <c r="E46">
        <v>4</v>
      </c>
      <c r="F46">
        <v>4</v>
      </c>
      <c r="G46">
        <v>2022</v>
      </c>
      <c r="H46">
        <v>12</v>
      </c>
      <c r="I46">
        <v>55</v>
      </c>
      <c r="J46">
        <v>24.6</v>
      </c>
      <c r="K46">
        <v>33.520000000000003</v>
      </c>
      <c r="L46">
        <v>0</v>
      </c>
      <c r="M46">
        <v>43.02</v>
      </c>
      <c r="N46">
        <v>0.432</v>
      </c>
      <c r="P46" s="1">
        <f t="shared" si="0"/>
        <v>11.95</v>
      </c>
      <c r="Q46" s="3">
        <f t="shared" si="1"/>
        <v>2.2999999999999865</v>
      </c>
      <c r="R46" s="3">
        <f t="shared" si="2"/>
        <v>-0.60000000000000142</v>
      </c>
      <c r="S46" s="3">
        <f t="shared" si="4"/>
        <v>-0.12714285714285722</v>
      </c>
      <c r="U46" s="1">
        <f t="shared" si="3"/>
        <v>11.770000000000001</v>
      </c>
      <c r="V46" s="3">
        <f t="shared" si="5"/>
        <v>-0.12714285714285722</v>
      </c>
      <c r="W46" s="1">
        <f t="shared" si="6"/>
        <v>-0.11285714285714299</v>
      </c>
      <c r="X46" s="3"/>
    </row>
    <row r="47" spans="1:24" x14ac:dyDescent="0.25">
      <c r="A47" t="s">
        <v>16</v>
      </c>
      <c r="C47">
        <v>52.0479883</v>
      </c>
      <c r="D47">
        <v>-0.57275989999999999</v>
      </c>
      <c r="E47">
        <v>4</v>
      </c>
      <c r="F47">
        <v>4</v>
      </c>
      <c r="G47">
        <v>2022</v>
      </c>
      <c r="H47">
        <v>12</v>
      </c>
      <c r="I47">
        <v>55</v>
      </c>
      <c r="J47">
        <v>24.8</v>
      </c>
      <c r="K47">
        <v>33.520000000000003</v>
      </c>
      <c r="L47">
        <v>0</v>
      </c>
      <c r="M47">
        <v>43.091999999999999</v>
      </c>
      <c r="N47">
        <v>0.39600000000000002</v>
      </c>
      <c r="P47" s="1">
        <f t="shared" si="0"/>
        <v>11.97</v>
      </c>
      <c r="Q47" s="3">
        <f t="shared" si="1"/>
        <v>0.2000000000000135</v>
      </c>
      <c r="R47" s="3">
        <f t="shared" si="2"/>
        <v>-3.9999999999999147E-2</v>
      </c>
      <c r="S47" s="3">
        <f t="shared" si="4"/>
        <v>-0.11714285714285719</v>
      </c>
      <c r="U47" s="1">
        <f t="shared" si="3"/>
        <v>11.725714285714286</v>
      </c>
      <c r="V47" s="3">
        <f t="shared" si="5"/>
        <v>-0.11714285714285744</v>
      </c>
      <c r="W47" s="1">
        <f t="shared" si="6"/>
        <v>-6.6530612244898535E-2</v>
      </c>
      <c r="X47" s="3"/>
    </row>
    <row r="48" spans="1:24" x14ac:dyDescent="0.25">
      <c r="A48" t="s">
        <v>16</v>
      </c>
      <c r="C48">
        <v>52.048008000000003</v>
      </c>
      <c r="D48">
        <v>-0.57277250000000002</v>
      </c>
      <c r="E48">
        <v>4</v>
      </c>
      <c r="F48">
        <v>4</v>
      </c>
      <c r="G48">
        <v>2022</v>
      </c>
      <c r="H48">
        <v>12</v>
      </c>
      <c r="I48">
        <v>55</v>
      </c>
      <c r="J48">
        <v>25</v>
      </c>
      <c r="K48">
        <v>33.520000000000003</v>
      </c>
      <c r="L48">
        <v>0</v>
      </c>
      <c r="M48">
        <v>42.155999999999999</v>
      </c>
      <c r="N48">
        <v>0.46800000000000003</v>
      </c>
      <c r="P48" s="1">
        <f t="shared" si="0"/>
        <v>11.71</v>
      </c>
      <c r="Q48" s="3">
        <f t="shared" si="1"/>
        <v>-2.5999999999999979</v>
      </c>
      <c r="R48" s="3">
        <f t="shared" si="2"/>
        <v>-2.000000000000135E-2</v>
      </c>
      <c r="S48" s="3">
        <f t="shared" si="4"/>
        <v>-6.857142857142888E-2</v>
      </c>
      <c r="U48" s="1">
        <f t="shared" si="3"/>
        <v>11.725714285714286</v>
      </c>
      <c r="V48" s="3">
        <f t="shared" si="5"/>
        <v>-6.857142857143117E-2</v>
      </c>
      <c r="W48" s="1">
        <f t="shared" si="6"/>
        <v>-1.4285714285714997E-2</v>
      </c>
      <c r="X48" s="3"/>
    </row>
    <row r="49" spans="1:24" x14ac:dyDescent="0.25">
      <c r="A49" t="s">
        <v>16</v>
      </c>
      <c r="C49">
        <v>52.048026999999998</v>
      </c>
      <c r="D49">
        <v>-0.57278510000000005</v>
      </c>
      <c r="E49">
        <v>4</v>
      </c>
      <c r="F49">
        <v>4</v>
      </c>
      <c r="G49">
        <v>2022</v>
      </c>
      <c r="H49">
        <v>12</v>
      </c>
      <c r="I49">
        <v>55</v>
      </c>
      <c r="J49">
        <v>25.2</v>
      </c>
      <c r="K49">
        <v>33.520000000000003</v>
      </c>
      <c r="L49">
        <v>0</v>
      </c>
      <c r="M49">
        <v>40.932000000000002</v>
      </c>
      <c r="N49">
        <v>0.46800000000000003</v>
      </c>
      <c r="P49" s="1">
        <f t="shared" si="0"/>
        <v>11.37</v>
      </c>
      <c r="Q49" s="3">
        <f t="shared" si="1"/>
        <v>-3.4000000000000163</v>
      </c>
      <c r="R49" s="3">
        <f t="shared" si="2"/>
        <v>-4.9999999999998934E-2</v>
      </c>
      <c r="S49" s="3">
        <f t="shared" si="4"/>
        <v>1.7142857142857033E-2</v>
      </c>
      <c r="U49" s="1">
        <f t="shared" si="3"/>
        <v>11.751428571428573</v>
      </c>
      <c r="V49" s="3">
        <f t="shared" si="5"/>
        <v>1.7142857142857792E-2</v>
      </c>
      <c r="W49" s="1">
        <f t="shared" si="6"/>
        <v>3.3673469387754604E-2</v>
      </c>
      <c r="X49" s="3"/>
    </row>
    <row r="50" spans="1:24" x14ac:dyDescent="0.25">
      <c r="A50" t="s">
        <v>16</v>
      </c>
      <c r="C50">
        <v>52.048046200000002</v>
      </c>
      <c r="D50">
        <v>-0.5727989</v>
      </c>
      <c r="E50">
        <v>4</v>
      </c>
      <c r="F50">
        <v>4</v>
      </c>
      <c r="G50">
        <v>2022</v>
      </c>
      <c r="H50">
        <v>12</v>
      </c>
      <c r="I50">
        <v>55</v>
      </c>
      <c r="J50">
        <v>25.4</v>
      </c>
      <c r="K50">
        <v>33.520000000000003</v>
      </c>
      <c r="L50">
        <v>0</v>
      </c>
      <c r="M50">
        <v>41.975999999999999</v>
      </c>
      <c r="N50">
        <v>0.54</v>
      </c>
      <c r="P50" s="1">
        <f t="shared" si="0"/>
        <v>11.66</v>
      </c>
      <c r="Q50" s="3">
        <f t="shared" si="1"/>
        <v>2.9000000000000092</v>
      </c>
      <c r="R50" s="3">
        <f t="shared" si="2"/>
        <v>0.12999999999999901</v>
      </c>
      <c r="S50" s="3">
        <f t="shared" si="4"/>
        <v>0.13000000000000003</v>
      </c>
      <c r="U50" s="1">
        <f t="shared" si="3"/>
        <v>11.772857142857143</v>
      </c>
      <c r="V50" s="3">
        <f t="shared" si="5"/>
        <v>0.12999999999999901</v>
      </c>
      <c r="W50" s="1">
        <f t="shared" si="6"/>
        <v>8.1428571428570962E-2</v>
      </c>
      <c r="X50" s="3"/>
    </row>
    <row r="51" spans="1:24" x14ac:dyDescent="0.25">
      <c r="A51" t="s">
        <v>16</v>
      </c>
      <c r="C51">
        <v>52.048065600000001</v>
      </c>
      <c r="D51">
        <v>-0.57281260000000001</v>
      </c>
      <c r="E51">
        <v>4</v>
      </c>
      <c r="F51">
        <v>4</v>
      </c>
      <c r="G51">
        <v>2022</v>
      </c>
      <c r="H51">
        <v>12</v>
      </c>
      <c r="I51">
        <v>55</v>
      </c>
      <c r="J51">
        <v>25.6</v>
      </c>
      <c r="K51">
        <v>33.520000000000003</v>
      </c>
      <c r="L51">
        <v>0</v>
      </c>
      <c r="M51">
        <v>42.12</v>
      </c>
      <c r="N51">
        <v>0.504</v>
      </c>
      <c r="P51" s="1">
        <f t="shared" si="0"/>
        <v>11.7</v>
      </c>
      <c r="Q51" s="3">
        <f t="shared" si="1"/>
        <v>0.39999999999999147</v>
      </c>
      <c r="R51" s="3">
        <f t="shared" si="2"/>
        <v>0.35999999999999943</v>
      </c>
      <c r="S51" s="3">
        <f t="shared" si="4"/>
        <v>0.20142857142857146</v>
      </c>
      <c r="U51" s="1">
        <f t="shared" si="3"/>
        <v>11.787142857142856</v>
      </c>
      <c r="V51" s="3">
        <f t="shared" si="5"/>
        <v>0.20142857142857018</v>
      </c>
      <c r="W51" s="1">
        <f t="shared" si="6"/>
        <v>0.13102040816326518</v>
      </c>
      <c r="X51" s="3"/>
    </row>
    <row r="52" spans="1:24" x14ac:dyDescent="0.25">
      <c r="A52" t="s">
        <v>16</v>
      </c>
      <c r="C52">
        <v>52.048085399999998</v>
      </c>
      <c r="D52">
        <v>-0.5728261</v>
      </c>
      <c r="E52">
        <v>4</v>
      </c>
      <c r="F52">
        <v>4</v>
      </c>
      <c r="G52">
        <v>2022</v>
      </c>
      <c r="H52">
        <v>12</v>
      </c>
      <c r="I52">
        <v>55</v>
      </c>
      <c r="J52">
        <v>25.8</v>
      </c>
      <c r="K52">
        <v>33.520000000000003</v>
      </c>
      <c r="L52">
        <v>0</v>
      </c>
      <c r="M52">
        <v>42.84</v>
      </c>
      <c r="N52">
        <v>0.46800000000000003</v>
      </c>
      <c r="P52" s="1">
        <f t="shared" si="0"/>
        <v>11.9</v>
      </c>
      <c r="Q52" s="3">
        <f t="shared" si="1"/>
        <v>2.0000000000000107</v>
      </c>
      <c r="R52" s="3">
        <f t="shared" si="2"/>
        <v>0.34000000000000163</v>
      </c>
      <c r="S52" s="3">
        <f t="shared" si="4"/>
        <v>0.20000000000000004</v>
      </c>
      <c r="U52" s="1">
        <f t="shared" si="3"/>
        <v>11.787142857142859</v>
      </c>
      <c r="V52" s="3">
        <f t="shared" si="5"/>
        <v>0.20000000000000107</v>
      </c>
      <c r="W52" s="1">
        <f t="shared" si="6"/>
        <v>0.18122448979591813</v>
      </c>
      <c r="X52" s="3"/>
    </row>
    <row r="53" spans="1:24" x14ac:dyDescent="0.25">
      <c r="A53" t="s">
        <v>16</v>
      </c>
      <c r="C53">
        <v>52.048105499999998</v>
      </c>
      <c r="D53">
        <v>-0.57283879999999998</v>
      </c>
      <c r="E53">
        <v>4</v>
      </c>
      <c r="F53">
        <v>4</v>
      </c>
      <c r="G53">
        <v>2022</v>
      </c>
      <c r="H53">
        <v>12</v>
      </c>
      <c r="I53">
        <v>55</v>
      </c>
      <c r="J53">
        <v>26</v>
      </c>
      <c r="K53">
        <v>33.83</v>
      </c>
      <c r="L53">
        <v>0</v>
      </c>
      <c r="M53">
        <v>43.56</v>
      </c>
      <c r="N53">
        <v>0.46800000000000003</v>
      </c>
      <c r="P53" s="1">
        <f t="shared" si="0"/>
        <v>12.1</v>
      </c>
      <c r="Q53" s="3">
        <f t="shared" si="1"/>
        <v>1.9999999999999929</v>
      </c>
      <c r="R53" s="3">
        <f t="shared" si="2"/>
        <v>0.1899999999999995</v>
      </c>
      <c r="S53" s="3">
        <f t="shared" si="4"/>
        <v>0.20714285714285705</v>
      </c>
      <c r="U53" s="1">
        <f t="shared" si="3"/>
        <v>11.855714285714285</v>
      </c>
      <c r="V53" s="3">
        <f t="shared" si="5"/>
        <v>0.2071428571428573</v>
      </c>
      <c r="W53" s="1">
        <f t="shared" si="6"/>
        <v>0.22612244897959169</v>
      </c>
      <c r="X53" s="3"/>
    </row>
    <row r="54" spans="1:24" x14ac:dyDescent="0.25">
      <c r="A54" t="s">
        <v>16</v>
      </c>
      <c r="C54">
        <v>52.048126000000003</v>
      </c>
      <c r="D54">
        <v>-0.57285079999999999</v>
      </c>
      <c r="E54">
        <v>4</v>
      </c>
      <c r="F54">
        <v>4</v>
      </c>
      <c r="G54">
        <v>2022</v>
      </c>
      <c r="H54">
        <v>12</v>
      </c>
      <c r="I54">
        <v>55</v>
      </c>
      <c r="J54">
        <v>26.2</v>
      </c>
      <c r="K54">
        <v>33.83</v>
      </c>
      <c r="L54">
        <v>0</v>
      </c>
      <c r="M54">
        <v>43.451999999999998</v>
      </c>
      <c r="N54">
        <v>0.46800000000000003</v>
      </c>
      <c r="P54" s="1">
        <f t="shared" si="0"/>
        <v>12.07</v>
      </c>
      <c r="Q54" s="3">
        <f t="shared" si="1"/>
        <v>-0.29999999999999361</v>
      </c>
      <c r="R54" s="3">
        <f t="shared" si="2"/>
        <v>0.46000000000000085</v>
      </c>
      <c r="S54" s="3">
        <f t="shared" si="4"/>
        <v>0.22999999999999993</v>
      </c>
      <c r="U54" s="1">
        <f t="shared" si="3"/>
        <v>11.927142857142856</v>
      </c>
      <c r="V54" s="3">
        <f t="shared" si="5"/>
        <v>0.2300000000000022</v>
      </c>
      <c r="W54" s="1">
        <f t="shared" si="6"/>
        <v>0.25795918367346943</v>
      </c>
      <c r="X54" s="3"/>
    </row>
    <row r="55" spans="1:24" x14ac:dyDescent="0.25">
      <c r="A55" t="s">
        <v>16</v>
      </c>
      <c r="C55">
        <v>52.048146199999998</v>
      </c>
      <c r="D55">
        <v>-0.57286269999999995</v>
      </c>
      <c r="E55">
        <v>4</v>
      </c>
      <c r="F55">
        <v>4</v>
      </c>
      <c r="G55">
        <v>2022</v>
      </c>
      <c r="H55">
        <v>12</v>
      </c>
      <c r="I55">
        <v>55</v>
      </c>
      <c r="J55">
        <v>26.4</v>
      </c>
      <c r="K55">
        <v>33.520000000000003</v>
      </c>
      <c r="L55">
        <v>0</v>
      </c>
      <c r="M55">
        <v>42.155999999999999</v>
      </c>
      <c r="N55">
        <v>0.39600000000000002</v>
      </c>
      <c r="P55" s="1">
        <f t="shared" si="0"/>
        <v>11.71</v>
      </c>
      <c r="Q55" s="3">
        <f t="shared" si="1"/>
        <v>-3.5999999999999943</v>
      </c>
      <c r="R55" s="3">
        <f t="shared" si="2"/>
        <v>-3.0000000000001137E-2</v>
      </c>
      <c r="S55" s="3">
        <f t="shared" si="4"/>
        <v>0.28285714285714264</v>
      </c>
      <c r="U55" s="1">
        <f t="shared" si="3"/>
        <v>11.951428571428574</v>
      </c>
      <c r="V55" s="3">
        <f t="shared" si="5"/>
        <v>0.28285714285713937</v>
      </c>
      <c r="W55" s="1">
        <f t="shared" si="6"/>
        <v>0.27816326530612251</v>
      </c>
      <c r="X55" s="3"/>
    </row>
    <row r="56" spans="1:24" x14ac:dyDescent="0.25">
      <c r="A56" t="s">
        <v>16</v>
      </c>
      <c r="C56">
        <v>52.048166299999998</v>
      </c>
      <c r="D56">
        <v>-0.57287449999999995</v>
      </c>
      <c r="E56">
        <v>4</v>
      </c>
      <c r="F56">
        <v>4</v>
      </c>
      <c r="G56">
        <v>2022</v>
      </c>
      <c r="H56">
        <v>12</v>
      </c>
      <c r="I56">
        <v>55</v>
      </c>
      <c r="J56">
        <v>26.6</v>
      </c>
      <c r="K56">
        <v>33.22</v>
      </c>
      <c r="L56">
        <v>0</v>
      </c>
      <c r="M56">
        <v>42.66</v>
      </c>
      <c r="N56">
        <v>0.36</v>
      </c>
      <c r="P56" s="1">
        <f t="shared" si="0"/>
        <v>11.85</v>
      </c>
      <c r="Q56" s="3">
        <f t="shared" si="1"/>
        <v>1.3999999999999879</v>
      </c>
      <c r="R56" s="3">
        <f t="shared" si="2"/>
        <v>0</v>
      </c>
      <c r="S56" s="3">
        <f t="shared" si="4"/>
        <v>0.33142857142857096</v>
      </c>
      <c r="U56" s="1">
        <f t="shared" si="3"/>
        <v>11.98</v>
      </c>
      <c r="V56" s="3">
        <f t="shared" si="5"/>
        <v>0.33142857142857274</v>
      </c>
      <c r="W56" s="1">
        <f t="shared" si="6"/>
        <v>0.30795918367346914</v>
      </c>
      <c r="X56" s="3"/>
    </row>
    <row r="57" spans="1:24" x14ac:dyDescent="0.25">
      <c r="A57" t="s">
        <v>16</v>
      </c>
      <c r="C57">
        <v>52.048186899999997</v>
      </c>
      <c r="D57">
        <v>-0.57288570000000005</v>
      </c>
      <c r="E57">
        <v>4</v>
      </c>
      <c r="F57">
        <v>4</v>
      </c>
      <c r="G57">
        <v>2022</v>
      </c>
      <c r="H57">
        <v>12</v>
      </c>
      <c r="I57">
        <v>55</v>
      </c>
      <c r="J57">
        <v>26.8</v>
      </c>
      <c r="K57">
        <v>33.22</v>
      </c>
      <c r="L57">
        <v>0</v>
      </c>
      <c r="M57">
        <v>43.776000000000003</v>
      </c>
      <c r="N57">
        <v>0.504</v>
      </c>
      <c r="P57" s="1">
        <f t="shared" si="0"/>
        <v>12.16</v>
      </c>
      <c r="Q57" s="3">
        <f t="shared" si="1"/>
        <v>3.100000000000005</v>
      </c>
      <c r="R57" s="3">
        <f t="shared" si="2"/>
        <v>0.28999999999999915</v>
      </c>
      <c r="S57" s="3">
        <f t="shared" si="4"/>
        <v>0.35285714285714243</v>
      </c>
      <c r="U57" s="1">
        <f t="shared" si="3"/>
        <v>12.017142857142858</v>
      </c>
      <c r="V57" s="3">
        <f t="shared" si="5"/>
        <v>0.3528571428571432</v>
      </c>
      <c r="W57" s="1">
        <f t="shared" si="6"/>
        <v>0.34346938775510133</v>
      </c>
      <c r="X57" s="3"/>
    </row>
    <row r="58" spans="1:24" x14ac:dyDescent="0.25">
      <c r="A58" t="s">
        <v>16</v>
      </c>
      <c r="C58">
        <v>52.048207499999997</v>
      </c>
      <c r="D58">
        <v>-0.57289650000000003</v>
      </c>
      <c r="E58">
        <v>4</v>
      </c>
      <c r="F58">
        <v>4</v>
      </c>
      <c r="G58">
        <v>2022</v>
      </c>
      <c r="H58">
        <v>12</v>
      </c>
      <c r="I58">
        <v>55</v>
      </c>
      <c r="J58">
        <v>27</v>
      </c>
      <c r="K58">
        <v>33.22</v>
      </c>
      <c r="L58">
        <v>0</v>
      </c>
      <c r="M58">
        <v>42.731999999999999</v>
      </c>
      <c r="N58">
        <v>0.36</v>
      </c>
      <c r="P58" s="1">
        <f t="shared" si="0"/>
        <v>11.87</v>
      </c>
      <c r="Q58" s="3">
        <f t="shared" si="1"/>
        <v>-2.9000000000000092</v>
      </c>
      <c r="R58" s="3">
        <f t="shared" si="2"/>
        <v>0.72999999999999865</v>
      </c>
      <c r="S58" s="3">
        <f t="shared" si="4"/>
        <v>0.34285714285714242</v>
      </c>
      <c r="U58" s="1">
        <f t="shared" si="3"/>
        <v>12.069999999999999</v>
      </c>
      <c r="V58" s="3">
        <f t="shared" si="5"/>
        <v>0.34285714285714164</v>
      </c>
      <c r="W58" s="1">
        <f t="shared" si="6"/>
        <v>0.37755102040816269</v>
      </c>
      <c r="X58" s="3"/>
    </row>
    <row r="59" spans="1:24" x14ac:dyDescent="0.25">
      <c r="A59" t="s">
        <v>16</v>
      </c>
      <c r="C59">
        <v>52.048228000000002</v>
      </c>
      <c r="D59">
        <v>-0.5729071</v>
      </c>
      <c r="E59">
        <v>4</v>
      </c>
      <c r="F59">
        <v>4</v>
      </c>
      <c r="G59">
        <v>2022</v>
      </c>
      <c r="H59">
        <v>12</v>
      </c>
      <c r="I59">
        <v>55</v>
      </c>
      <c r="J59">
        <v>27.2</v>
      </c>
      <c r="K59">
        <v>33.22</v>
      </c>
      <c r="L59">
        <v>0</v>
      </c>
      <c r="M59">
        <v>43.56</v>
      </c>
      <c r="N59">
        <v>0.46800000000000003</v>
      </c>
      <c r="P59" s="1">
        <f t="shared" si="0"/>
        <v>12.1</v>
      </c>
      <c r="Q59" s="3">
        <f t="shared" si="1"/>
        <v>2.3000000000000043</v>
      </c>
      <c r="R59" s="3">
        <f t="shared" si="2"/>
        <v>0.67999999999999972</v>
      </c>
      <c r="S59" s="3">
        <f t="shared" si="4"/>
        <v>0.40857142857142825</v>
      </c>
      <c r="U59" s="1">
        <f t="shared" si="3"/>
        <v>12.187142857142858</v>
      </c>
      <c r="V59" s="3">
        <f t="shared" si="5"/>
        <v>0.40857142857142748</v>
      </c>
      <c r="W59" s="1">
        <f t="shared" si="6"/>
        <v>0.39346938775510182</v>
      </c>
      <c r="X59" s="3"/>
    </row>
    <row r="60" spans="1:24" x14ac:dyDescent="0.25">
      <c r="A60" t="s">
        <v>16</v>
      </c>
      <c r="C60">
        <v>52.048248999999998</v>
      </c>
      <c r="D60">
        <v>-0.57291800000000004</v>
      </c>
      <c r="E60">
        <v>4</v>
      </c>
      <c r="F60">
        <v>4</v>
      </c>
      <c r="G60">
        <v>2022</v>
      </c>
      <c r="H60">
        <v>12</v>
      </c>
      <c r="I60">
        <v>55</v>
      </c>
      <c r="J60">
        <v>27.4</v>
      </c>
      <c r="K60">
        <v>33.22</v>
      </c>
      <c r="L60">
        <v>0</v>
      </c>
      <c r="M60">
        <v>44.496000000000002</v>
      </c>
      <c r="N60">
        <v>0.504</v>
      </c>
      <c r="P60" s="1">
        <f t="shared" si="0"/>
        <v>12.36</v>
      </c>
      <c r="Q60" s="3">
        <f t="shared" si="1"/>
        <v>2.5999999999999979</v>
      </c>
      <c r="R60" s="3">
        <f t="shared" si="2"/>
        <v>0.33999999999999986</v>
      </c>
      <c r="S60" s="3">
        <f t="shared" si="4"/>
        <v>0.45571428571428541</v>
      </c>
      <c r="U60" s="1">
        <f t="shared" si="3"/>
        <v>12.28</v>
      </c>
      <c r="V60" s="3">
        <f t="shared" si="5"/>
        <v>0.45571428571428285</v>
      </c>
      <c r="W60" s="1">
        <f t="shared" si="6"/>
        <v>0.39816326530612195</v>
      </c>
      <c r="X60" s="3"/>
    </row>
    <row r="61" spans="1:24" x14ac:dyDescent="0.25">
      <c r="A61" t="s">
        <v>16</v>
      </c>
      <c r="C61">
        <v>52.048270199999997</v>
      </c>
      <c r="D61">
        <v>-0.57292880000000002</v>
      </c>
      <c r="E61">
        <v>4</v>
      </c>
      <c r="F61">
        <v>4</v>
      </c>
      <c r="G61">
        <v>2022</v>
      </c>
      <c r="H61">
        <v>12</v>
      </c>
      <c r="I61">
        <v>55</v>
      </c>
      <c r="J61">
        <v>27.6</v>
      </c>
      <c r="K61">
        <v>33.22</v>
      </c>
      <c r="L61">
        <v>0</v>
      </c>
      <c r="M61">
        <v>44.783999999999999</v>
      </c>
      <c r="N61">
        <v>0.39600000000000002</v>
      </c>
      <c r="P61" s="1">
        <f t="shared" si="0"/>
        <v>12.44</v>
      </c>
      <c r="Q61" s="3">
        <f t="shared" si="1"/>
        <v>0.80000000000000071</v>
      </c>
      <c r="R61" s="3">
        <f t="shared" si="2"/>
        <v>0.39000000000000057</v>
      </c>
      <c r="S61" s="3">
        <f t="shared" si="4"/>
        <v>0.46857142857142847</v>
      </c>
      <c r="U61" s="1">
        <f t="shared" si="3"/>
        <v>12.294285714285715</v>
      </c>
      <c r="V61" s="3">
        <f t="shared" si="5"/>
        <v>0.46857142857143153</v>
      </c>
      <c r="W61" s="1">
        <f t="shared" si="6"/>
        <v>0.4128571428571422</v>
      </c>
      <c r="X61" s="3"/>
    </row>
    <row r="62" spans="1:24" x14ac:dyDescent="0.25">
      <c r="A62" t="s">
        <v>16</v>
      </c>
      <c r="C62">
        <v>52.048291800000001</v>
      </c>
      <c r="D62">
        <v>-0.57293870000000002</v>
      </c>
      <c r="E62">
        <v>4</v>
      </c>
      <c r="F62">
        <v>4</v>
      </c>
      <c r="G62">
        <v>2022</v>
      </c>
      <c r="H62">
        <v>12</v>
      </c>
      <c r="I62">
        <v>55</v>
      </c>
      <c r="J62">
        <v>27.8</v>
      </c>
      <c r="K62">
        <v>33.22</v>
      </c>
      <c r="L62">
        <v>0</v>
      </c>
      <c r="M62">
        <v>45.107999999999997</v>
      </c>
      <c r="N62">
        <v>0.36</v>
      </c>
      <c r="P62" s="1">
        <f t="shared" si="0"/>
        <v>12.53</v>
      </c>
      <c r="Q62" s="3">
        <f t="shared" si="1"/>
        <v>0.89999999999999858</v>
      </c>
      <c r="R62" s="3">
        <f t="shared" si="2"/>
        <v>0.42999999999999972</v>
      </c>
      <c r="S62" s="3">
        <f t="shared" si="4"/>
        <v>0.39428571428571452</v>
      </c>
      <c r="U62" s="1">
        <f t="shared" si="3"/>
        <v>12.388571428571428</v>
      </c>
      <c r="V62" s="3">
        <f t="shared" si="5"/>
        <v>0.39428571428571324</v>
      </c>
      <c r="W62" s="1">
        <f t="shared" si="6"/>
        <v>0.43122448979591788</v>
      </c>
      <c r="X62" s="3"/>
    </row>
    <row r="63" spans="1:24" x14ac:dyDescent="0.25">
      <c r="A63" t="s">
        <v>16</v>
      </c>
      <c r="C63">
        <v>52.0483136</v>
      </c>
      <c r="D63">
        <v>-0.57294800000000001</v>
      </c>
      <c r="E63">
        <v>4</v>
      </c>
      <c r="F63">
        <v>4</v>
      </c>
      <c r="G63">
        <v>2022</v>
      </c>
      <c r="H63">
        <v>12</v>
      </c>
      <c r="I63">
        <v>55</v>
      </c>
      <c r="J63">
        <v>28</v>
      </c>
      <c r="K63">
        <v>33.22</v>
      </c>
      <c r="L63">
        <v>0</v>
      </c>
      <c r="M63">
        <v>45</v>
      </c>
      <c r="N63">
        <v>0.32400000000000001</v>
      </c>
      <c r="P63" s="1">
        <f t="shared" si="0"/>
        <v>12.5</v>
      </c>
      <c r="Q63" s="3">
        <f t="shared" si="1"/>
        <v>-0.29999999999999361</v>
      </c>
      <c r="R63" s="3">
        <f t="shared" si="2"/>
        <v>0.33000000000000007</v>
      </c>
      <c r="S63" s="3">
        <f t="shared" si="4"/>
        <v>0.36428571428571466</v>
      </c>
      <c r="U63" s="1">
        <f t="shared" si="3"/>
        <v>12.472857142857141</v>
      </c>
      <c r="V63" s="3">
        <f t="shared" si="5"/>
        <v>0.36428571428571388</v>
      </c>
      <c r="W63" s="1">
        <f t="shared" si="6"/>
        <v>0.43</v>
      </c>
      <c r="X63" s="3"/>
    </row>
    <row r="64" spans="1:24" x14ac:dyDescent="0.25">
      <c r="A64" t="s">
        <v>16</v>
      </c>
      <c r="C64">
        <v>52.048335000000002</v>
      </c>
      <c r="D64">
        <v>-0.5729571</v>
      </c>
      <c r="E64">
        <v>4</v>
      </c>
      <c r="F64">
        <v>4</v>
      </c>
      <c r="G64">
        <v>2022</v>
      </c>
      <c r="H64">
        <v>12</v>
      </c>
      <c r="I64">
        <v>55</v>
      </c>
      <c r="J64">
        <v>28.2</v>
      </c>
      <c r="K64">
        <v>33.22</v>
      </c>
      <c r="L64">
        <v>0</v>
      </c>
      <c r="M64">
        <v>44.136000000000003</v>
      </c>
      <c r="N64">
        <v>0.28799999999999998</v>
      </c>
      <c r="P64" s="1">
        <f t="shared" si="0"/>
        <v>12.26</v>
      </c>
      <c r="Q64" s="3">
        <f t="shared" si="1"/>
        <v>-2.4000000000000021</v>
      </c>
      <c r="R64" s="3">
        <f t="shared" si="2"/>
        <v>0.38000000000000078</v>
      </c>
      <c r="S64" s="3">
        <f t="shared" si="4"/>
        <v>0.45571428571428613</v>
      </c>
      <c r="U64" s="1">
        <f t="shared" si="3"/>
        <v>12.53857142857143</v>
      </c>
      <c r="V64" s="3">
        <f t="shared" si="5"/>
        <v>0.45571428571428463</v>
      </c>
      <c r="W64" s="1">
        <f t="shared" si="6"/>
        <v>0.40693877551020413</v>
      </c>
      <c r="X64" s="3"/>
    </row>
    <row r="65" spans="1:24" x14ac:dyDescent="0.25">
      <c r="A65" t="s">
        <v>16</v>
      </c>
      <c r="C65">
        <v>52.048356499999997</v>
      </c>
      <c r="D65">
        <v>-0.57296659999999999</v>
      </c>
      <c r="E65">
        <v>4</v>
      </c>
      <c r="F65">
        <v>4</v>
      </c>
      <c r="G65">
        <v>2022</v>
      </c>
      <c r="H65">
        <v>12</v>
      </c>
      <c r="I65">
        <v>55</v>
      </c>
      <c r="J65">
        <v>28.4</v>
      </c>
      <c r="K65">
        <v>33.22</v>
      </c>
      <c r="L65">
        <v>0</v>
      </c>
      <c r="M65">
        <v>45.107999999999997</v>
      </c>
      <c r="N65">
        <v>0.28799999999999998</v>
      </c>
      <c r="P65" s="1">
        <f t="shared" si="0"/>
        <v>12.53</v>
      </c>
      <c r="Q65" s="3">
        <f t="shared" si="1"/>
        <v>2.6999999999999957</v>
      </c>
      <c r="R65" s="3">
        <f t="shared" si="2"/>
        <v>0.21000000000000085</v>
      </c>
      <c r="S65" s="3">
        <f t="shared" si="4"/>
        <v>0.47142857142857181</v>
      </c>
      <c r="U65" s="1">
        <f t="shared" si="3"/>
        <v>12.581428571428571</v>
      </c>
      <c r="V65" s="3">
        <f t="shared" si="5"/>
        <v>0.47142857142857153</v>
      </c>
      <c r="W65" s="1">
        <f t="shared" si="6"/>
        <v>0.36346938775510168</v>
      </c>
      <c r="X65" s="3"/>
    </row>
    <row r="66" spans="1:24" x14ac:dyDescent="0.25">
      <c r="A66" t="s">
        <v>16</v>
      </c>
      <c r="C66">
        <v>52.048378499999998</v>
      </c>
      <c r="D66">
        <v>-0.57297589999999998</v>
      </c>
      <c r="E66">
        <v>4</v>
      </c>
      <c r="F66">
        <v>4</v>
      </c>
      <c r="G66">
        <v>2022</v>
      </c>
      <c r="H66">
        <v>12</v>
      </c>
      <c r="I66">
        <v>55</v>
      </c>
      <c r="J66">
        <v>28.6</v>
      </c>
      <c r="K66">
        <v>33.22</v>
      </c>
      <c r="L66">
        <v>0</v>
      </c>
      <c r="M66">
        <v>45.683999999999997</v>
      </c>
      <c r="N66">
        <v>0.28799999999999998</v>
      </c>
      <c r="P66" s="1">
        <f t="shared" si="0"/>
        <v>12.69</v>
      </c>
      <c r="Q66" s="3">
        <f t="shared" si="1"/>
        <v>1.6000000000000014</v>
      </c>
      <c r="R66" s="3">
        <f t="shared" si="2"/>
        <v>0.47000000000000064</v>
      </c>
      <c r="S66" s="3">
        <f t="shared" si="4"/>
        <v>0.40000000000000036</v>
      </c>
      <c r="U66" s="1">
        <f t="shared" si="3"/>
        <v>12.644285714285713</v>
      </c>
      <c r="V66" s="3">
        <f t="shared" si="5"/>
        <v>0.40000000000000213</v>
      </c>
      <c r="W66" s="1">
        <f t="shared" si="6"/>
        <v>0.31999999999999978</v>
      </c>
      <c r="X66" s="3"/>
    </row>
    <row r="67" spans="1:24" x14ac:dyDescent="0.25">
      <c r="A67" t="s">
        <v>16</v>
      </c>
      <c r="C67">
        <v>52.048400899999997</v>
      </c>
      <c r="D67">
        <v>-0.57298510000000002</v>
      </c>
      <c r="E67">
        <v>4</v>
      </c>
      <c r="F67">
        <v>4</v>
      </c>
      <c r="G67">
        <v>2022</v>
      </c>
      <c r="H67">
        <v>12</v>
      </c>
      <c r="I67">
        <v>55</v>
      </c>
      <c r="J67">
        <v>28.8</v>
      </c>
      <c r="K67">
        <v>33.22</v>
      </c>
      <c r="L67">
        <v>0</v>
      </c>
      <c r="M67">
        <v>46.152000000000001</v>
      </c>
      <c r="N67">
        <v>0.28799999999999998</v>
      </c>
      <c r="P67" s="1">
        <f t="shared" ref="P67:P130" si="7">M67*1000/3600</f>
        <v>12.82</v>
      </c>
      <c r="Q67" s="3">
        <f t="shared" si="1"/>
        <v>1.3000000000000078</v>
      </c>
      <c r="R67" s="3">
        <f t="shared" si="2"/>
        <v>0.98000000000000043</v>
      </c>
      <c r="S67" s="3">
        <f t="shared" si="4"/>
        <v>0.29428571428571459</v>
      </c>
      <c r="U67" s="1">
        <f t="shared" si="3"/>
        <v>12.75</v>
      </c>
      <c r="V67" s="3">
        <f t="shared" si="5"/>
        <v>0.29428571428571182</v>
      </c>
      <c r="W67" s="1">
        <f t="shared" si="6"/>
        <v>0.25755102040816319</v>
      </c>
      <c r="X67" s="3"/>
    </row>
    <row r="68" spans="1:24" x14ac:dyDescent="0.25">
      <c r="A68" t="s">
        <v>16</v>
      </c>
      <c r="C68">
        <v>52.048423100000001</v>
      </c>
      <c r="D68">
        <v>-0.57299420000000001</v>
      </c>
      <c r="E68">
        <v>4</v>
      </c>
      <c r="F68">
        <v>4</v>
      </c>
      <c r="G68">
        <v>2022</v>
      </c>
      <c r="H68">
        <v>12</v>
      </c>
      <c r="I68">
        <v>55</v>
      </c>
      <c r="J68">
        <v>29</v>
      </c>
      <c r="K68">
        <v>33.22</v>
      </c>
      <c r="L68">
        <v>0</v>
      </c>
      <c r="M68">
        <v>45.863999999999997</v>
      </c>
      <c r="N68">
        <v>0.216</v>
      </c>
      <c r="P68" s="1">
        <f t="shared" si="7"/>
        <v>12.74</v>
      </c>
      <c r="Q68" s="3">
        <f t="shared" si="1"/>
        <v>-0.80000000000000071</v>
      </c>
      <c r="R68" s="3">
        <f t="shared" si="2"/>
        <v>0.5</v>
      </c>
      <c r="S68" s="3">
        <f t="shared" si="4"/>
        <v>0.16428571428571459</v>
      </c>
      <c r="U68" s="1">
        <f t="shared" si="3"/>
        <v>12.86</v>
      </c>
      <c r="V68" s="3">
        <f t="shared" si="5"/>
        <v>0.16428571428571459</v>
      </c>
      <c r="W68" s="1">
        <f t="shared" si="6"/>
        <v>0.15857142857142875</v>
      </c>
      <c r="X68" s="3"/>
    </row>
    <row r="69" spans="1:24" x14ac:dyDescent="0.25">
      <c r="A69" t="s">
        <v>16</v>
      </c>
      <c r="C69">
        <v>52.048445600000001</v>
      </c>
      <c r="D69">
        <v>-0.57300289999999998</v>
      </c>
      <c r="E69">
        <v>4</v>
      </c>
      <c r="F69">
        <v>4</v>
      </c>
      <c r="G69">
        <v>2022</v>
      </c>
      <c r="H69">
        <v>12</v>
      </c>
      <c r="I69">
        <v>55</v>
      </c>
      <c r="J69">
        <v>29.2</v>
      </c>
      <c r="K69">
        <v>33.22</v>
      </c>
      <c r="L69">
        <v>0</v>
      </c>
      <c r="M69">
        <v>46.692</v>
      </c>
      <c r="N69">
        <v>0.252</v>
      </c>
      <c r="P69" s="1">
        <f t="shared" si="7"/>
        <v>12.97</v>
      </c>
      <c r="Q69" s="3">
        <f t="shared" ref="Q69:Q132" si="8">10*($P69-$P68)</f>
        <v>2.3000000000000043</v>
      </c>
      <c r="R69" s="3">
        <f t="shared" si="2"/>
        <v>-7.0000000000000284E-2</v>
      </c>
      <c r="S69" s="3">
        <f t="shared" si="4"/>
        <v>9.0000000000000108E-2</v>
      </c>
      <c r="U69" s="1">
        <f t="shared" si="3"/>
        <v>12.872857142857143</v>
      </c>
      <c r="V69" s="3">
        <f t="shared" si="5"/>
        <v>8.9999999999999858E-2</v>
      </c>
      <c r="W69" s="1">
        <f t="shared" si="6"/>
        <v>5.5102040816327094E-2</v>
      </c>
      <c r="X69" s="3"/>
    </row>
    <row r="70" spans="1:24" x14ac:dyDescent="0.25">
      <c r="A70" t="s">
        <v>16</v>
      </c>
      <c r="C70">
        <v>52.0484686</v>
      </c>
      <c r="D70">
        <v>-0.57301040000000003</v>
      </c>
      <c r="E70">
        <v>4</v>
      </c>
      <c r="F70">
        <v>4</v>
      </c>
      <c r="G70">
        <v>2022</v>
      </c>
      <c r="H70">
        <v>12</v>
      </c>
      <c r="I70">
        <v>55</v>
      </c>
      <c r="J70">
        <v>29.4</v>
      </c>
      <c r="K70">
        <v>33.22</v>
      </c>
      <c r="L70">
        <v>0</v>
      </c>
      <c r="M70">
        <v>47.664000000000001</v>
      </c>
      <c r="N70">
        <v>0.252</v>
      </c>
      <c r="P70" s="1">
        <f t="shared" si="7"/>
        <v>13.24</v>
      </c>
      <c r="Q70" s="3">
        <f t="shared" si="8"/>
        <v>2.6999999999999957</v>
      </c>
      <c r="R70" s="3">
        <f t="shared" si="2"/>
        <v>-0.41000000000000014</v>
      </c>
      <c r="S70" s="3">
        <f t="shared" si="4"/>
        <v>-7.2857142857142829E-2</v>
      </c>
      <c r="U70" s="1">
        <f t="shared" si="3"/>
        <v>12.832857142857142</v>
      </c>
      <c r="V70" s="3">
        <f t="shared" si="5"/>
        <v>-7.2857142857142065E-2</v>
      </c>
      <c r="W70" s="1">
        <f t="shared" si="6"/>
        <v>-2.1836734693877195E-2</v>
      </c>
      <c r="X70" s="3"/>
    </row>
    <row r="71" spans="1:24" x14ac:dyDescent="0.25">
      <c r="A71" t="s">
        <v>16</v>
      </c>
      <c r="C71">
        <v>52.048491499999997</v>
      </c>
      <c r="D71">
        <v>-0.57301809999999997</v>
      </c>
      <c r="E71">
        <v>4</v>
      </c>
      <c r="F71">
        <v>4</v>
      </c>
      <c r="G71">
        <v>2022</v>
      </c>
      <c r="H71">
        <v>12</v>
      </c>
      <c r="I71">
        <v>55</v>
      </c>
      <c r="J71">
        <v>29.6</v>
      </c>
      <c r="K71">
        <v>32.909999999999997</v>
      </c>
      <c r="L71">
        <v>0</v>
      </c>
      <c r="M71">
        <v>46.908000000000001</v>
      </c>
      <c r="N71">
        <v>0.252</v>
      </c>
      <c r="P71" s="1">
        <f t="shared" si="7"/>
        <v>13.03</v>
      </c>
      <c r="Q71" s="3">
        <f t="shared" si="8"/>
        <v>-2.1000000000000085</v>
      </c>
      <c r="R71" s="3">
        <f t="shared" ref="R71:R134" si="9">($P74-$P68)</f>
        <v>-0.52999999999999936</v>
      </c>
      <c r="S71" s="3">
        <f t="shared" si="4"/>
        <v>-0.23714285714285716</v>
      </c>
      <c r="U71" s="1">
        <f t="shared" ref="U71:U134" si="10">AVERAGE(P68:P74)</f>
        <v>12.745714285714286</v>
      </c>
      <c r="V71" s="3">
        <f t="shared" si="5"/>
        <v>-0.23714285714285666</v>
      </c>
      <c r="W71" s="1">
        <f t="shared" si="6"/>
        <v>-6.3265306122448503E-2</v>
      </c>
      <c r="X71" s="3"/>
    </row>
    <row r="72" spans="1:24" x14ac:dyDescent="0.25">
      <c r="A72" t="s">
        <v>16</v>
      </c>
      <c r="C72">
        <v>52.048513800000002</v>
      </c>
      <c r="D72">
        <v>-0.57302649999999999</v>
      </c>
      <c r="E72">
        <v>4</v>
      </c>
      <c r="F72">
        <v>4</v>
      </c>
      <c r="G72">
        <v>2022</v>
      </c>
      <c r="H72">
        <v>12</v>
      </c>
      <c r="I72">
        <v>55</v>
      </c>
      <c r="J72">
        <v>29.8</v>
      </c>
      <c r="K72">
        <v>32.909999999999997</v>
      </c>
      <c r="L72">
        <v>0</v>
      </c>
      <c r="M72">
        <v>45.432000000000002</v>
      </c>
      <c r="N72">
        <v>0.46800000000000003</v>
      </c>
      <c r="P72" s="1">
        <f t="shared" si="7"/>
        <v>12.62</v>
      </c>
      <c r="Q72" s="3">
        <f t="shared" si="8"/>
        <v>-4.1000000000000014</v>
      </c>
      <c r="R72" s="3">
        <f t="shared" si="9"/>
        <v>-0.3100000000000005</v>
      </c>
      <c r="S72" s="3">
        <f t="shared" si="4"/>
        <v>-0.25285714285714278</v>
      </c>
      <c r="U72" s="1">
        <f t="shared" si="10"/>
        <v>12.734285714285713</v>
      </c>
      <c r="V72" s="3">
        <f t="shared" si="5"/>
        <v>-0.25285714285714</v>
      </c>
      <c r="W72" s="1">
        <f t="shared" si="6"/>
        <v>-7.4081632653060475E-2</v>
      </c>
      <c r="X72" s="3"/>
    </row>
    <row r="73" spans="1:24" x14ac:dyDescent="0.25">
      <c r="A73" t="s">
        <v>16</v>
      </c>
      <c r="C73">
        <v>52.048535700000002</v>
      </c>
      <c r="D73">
        <v>-0.57303630000000005</v>
      </c>
      <c r="E73">
        <v>4</v>
      </c>
      <c r="F73">
        <v>4</v>
      </c>
      <c r="G73">
        <v>2022</v>
      </c>
      <c r="H73">
        <v>12</v>
      </c>
      <c r="I73">
        <v>55</v>
      </c>
      <c r="J73">
        <v>30</v>
      </c>
      <c r="K73">
        <v>32.909999999999997</v>
      </c>
      <c r="L73">
        <v>0</v>
      </c>
      <c r="M73">
        <v>44.676000000000002</v>
      </c>
      <c r="N73">
        <v>0.68400000000000005</v>
      </c>
      <c r="P73" s="1">
        <f t="shared" si="7"/>
        <v>12.41</v>
      </c>
      <c r="Q73" s="3">
        <f t="shared" si="8"/>
        <v>-2.0999999999999908</v>
      </c>
      <c r="R73" s="3">
        <f t="shared" si="9"/>
        <v>-0.66999999999999993</v>
      </c>
      <c r="S73" s="3">
        <f t="shared" si="4"/>
        <v>-0.1385714285714284</v>
      </c>
      <c r="U73" s="1">
        <f t="shared" si="10"/>
        <v>12.677142857142858</v>
      </c>
      <c r="V73" s="3">
        <f t="shared" si="5"/>
        <v>-0.1385714285714279</v>
      </c>
      <c r="W73" s="1">
        <f t="shared" si="6"/>
        <v>-6.1632653061224119E-2</v>
      </c>
      <c r="X73" s="3"/>
    </row>
    <row r="74" spans="1:24" x14ac:dyDescent="0.25">
      <c r="A74" t="s">
        <v>16</v>
      </c>
      <c r="C74">
        <v>52.048557000000002</v>
      </c>
      <c r="D74">
        <v>-0.57304600000000006</v>
      </c>
      <c r="E74">
        <v>4</v>
      </c>
      <c r="F74">
        <v>4</v>
      </c>
      <c r="G74">
        <v>2022</v>
      </c>
      <c r="H74">
        <v>12</v>
      </c>
      <c r="I74">
        <v>55</v>
      </c>
      <c r="J74">
        <v>30.2</v>
      </c>
      <c r="K74">
        <v>33.22</v>
      </c>
      <c r="L74">
        <v>0</v>
      </c>
      <c r="M74">
        <v>43.956000000000003</v>
      </c>
      <c r="N74">
        <v>0.72</v>
      </c>
      <c r="P74" s="1">
        <f t="shared" si="7"/>
        <v>12.21</v>
      </c>
      <c r="Q74" s="3">
        <f t="shared" si="8"/>
        <v>-1.9999999999999929</v>
      </c>
      <c r="R74" s="3">
        <f t="shared" si="9"/>
        <v>-0.16999999999999993</v>
      </c>
      <c r="S74" s="3">
        <f t="shared" ref="S74:S137" si="11">AVERAGE(R71:R77)</f>
        <v>4.2857142857144481E-3</v>
      </c>
      <c r="U74" s="1">
        <f t="shared" si="10"/>
        <v>12.622857142857143</v>
      </c>
      <c r="V74" s="3">
        <f t="shared" si="5"/>
        <v>4.2857142857126718E-3</v>
      </c>
      <c r="W74" s="1">
        <f t="shared" si="6"/>
        <v>-6.9387755102037528E-3</v>
      </c>
      <c r="X74" s="3"/>
    </row>
    <row r="75" spans="1:24" x14ac:dyDescent="0.25">
      <c r="A75" t="s">
        <v>16</v>
      </c>
      <c r="C75">
        <v>52.048578999999997</v>
      </c>
      <c r="D75">
        <v>-0.57305530000000005</v>
      </c>
      <c r="E75">
        <v>4</v>
      </c>
      <c r="F75">
        <v>4</v>
      </c>
      <c r="G75">
        <v>2022</v>
      </c>
      <c r="H75">
        <v>12</v>
      </c>
      <c r="I75">
        <v>55</v>
      </c>
      <c r="J75">
        <v>30.4</v>
      </c>
      <c r="K75">
        <v>33.22</v>
      </c>
      <c r="L75">
        <v>0</v>
      </c>
      <c r="M75">
        <v>45.576000000000001</v>
      </c>
      <c r="N75">
        <v>0.82799999999999996</v>
      </c>
      <c r="P75" s="1">
        <f t="shared" si="7"/>
        <v>12.66</v>
      </c>
      <c r="Q75" s="3">
        <f t="shared" si="8"/>
        <v>4.4999999999999929</v>
      </c>
      <c r="R75" s="3">
        <f t="shared" si="9"/>
        <v>0.39000000000000057</v>
      </c>
      <c r="S75" s="3">
        <f t="shared" si="11"/>
        <v>8.8571428571428718E-2</v>
      </c>
      <c r="U75" s="1">
        <f t="shared" si="10"/>
        <v>12.620000000000003</v>
      </c>
      <c r="V75" s="3">
        <f t="shared" si="5"/>
        <v>8.8571428571430744E-2</v>
      </c>
      <c r="W75" s="1">
        <f t="shared" si="6"/>
        <v>8.0204081632653051E-2</v>
      </c>
      <c r="X75" s="3"/>
    </row>
    <row r="76" spans="1:24" x14ac:dyDescent="0.25">
      <c r="A76" t="s">
        <v>16</v>
      </c>
      <c r="C76">
        <v>52.048600800000003</v>
      </c>
      <c r="D76">
        <v>-0.57306509999999999</v>
      </c>
      <c r="E76">
        <v>4</v>
      </c>
      <c r="F76">
        <v>4</v>
      </c>
      <c r="G76">
        <v>2022</v>
      </c>
      <c r="H76">
        <v>12</v>
      </c>
      <c r="I76">
        <v>55</v>
      </c>
      <c r="J76">
        <v>30.6</v>
      </c>
      <c r="K76">
        <v>33.22</v>
      </c>
      <c r="L76">
        <v>0</v>
      </c>
      <c r="M76">
        <v>45.252000000000002</v>
      </c>
      <c r="N76">
        <v>0.72</v>
      </c>
      <c r="P76" s="1">
        <f t="shared" si="7"/>
        <v>12.57</v>
      </c>
      <c r="Q76" s="3">
        <f t="shared" si="8"/>
        <v>-0.89999999999999858</v>
      </c>
      <c r="R76" s="3">
        <f t="shared" si="9"/>
        <v>0.73000000000000043</v>
      </c>
      <c r="S76" s="3">
        <f t="shared" si="11"/>
        <v>0.17714285714285744</v>
      </c>
      <c r="U76" s="1">
        <f t="shared" si="10"/>
        <v>12.694285714285714</v>
      </c>
      <c r="V76" s="3">
        <f t="shared" ref="V76:V139" si="12">($U79-$U73)</f>
        <v>0.17714285714285438</v>
      </c>
      <c r="W76" s="1">
        <f t="shared" si="6"/>
        <v>0.15857142857142822</v>
      </c>
      <c r="X76" s="3"/>
    </row>
    <row r="77" spans="1:24" x14ac:dyDescent="0.25">
      <c r="A77" t="s">
        <v>16</v>
      </c>
      <c r="C77">
        <v>52.048622999999999</v>
      </c>
      <c r="D77">
        <v>-0.57307520000000001</v>
      </c>
      <c r="E77">
        <v>4</v>
      </c>
      <c r="F77">
        <v>4</v>
      </c>
      <c r="G77">
        <v>2022</v>
      </c>
      <c r="H77">
        <v>12</v>
      </c>
      <c r="I77">
        <v>55</v>
      </c>
      <c r="J77">
        <v>30.8</v>
      </c>
      <c r="K77">
        <v>33.22</v>
      </c>
      <c r="L77">
        <v>0</v>
      </c>
      <c r="M77">
        <v>46.295999999999999</v>
      </c>
      <c r="N77">
        <v>0.68400000000000005</v>
      </c>
      <c r="P77" s="1">
        <f t="shared" si="7"/>
        <v>12.86</v>
      </c>
      <c r="Q77" s="3">
        <f t="shared" si="8"/>
        <v>2.8999999999999915</v>
      </c>
      <c r="R77" s="3">
        <f t="shared" si="9"/>
        <v>0.58999999999999986</v>
      </c>
      <c r="S77" s="3">
        <f t="shared" si="11"/>
        <v>0.31000000000000022</v>
      </c>
      <c r="U77" s="1">
        <f t="shared" si="10"/>
        <v>12.749999999999998</v>
      </c>
      <c r="V77" s="3">
        <f t="shared" si="12"/>
        <v>0.3100000000000005</v>
      </c>
      <c r="W77" s="1">
        <f t="shared" ref="W77:W140" si="13">AVERAGE(V74:V80)</f>
        <v>0.20836734693877521</v>
      </c>
      <c r="X77" s="3"/>
    </row>
    <row r="78" spans="1:24" x14ac:dyDescent="0.25">
      <c r="A78" t="s">
        <v>16</v>
      </c>
      <c r="C78">
        <v>52.048645200000003</v>
      </c>
      <c r="D78">
        <v>-0.5730845</v>
      </c>
      <c r="E78">
        <v>4</v>
      </c>
      <c r="F78">
        <v>4</v>
      </c>
      <c r="G78">
        <v>2022</v>
      </c>
      <c r="H78">
        <v>12</v>
      </c>
      <c r="I78">
        <v>55</v>
      </c>
      <c r="J78">
        <v>31</v>
      </c>
      <c r="K78">
        <v>33.22</v>
      </c>
      <c r="L78">
        <v>0</v>
      </c>
      <c r="M78">
        <v>46.835999999999999</v>
      </c>
      <c r="N78">
        <v>0.61199999999999999</v>
      </c>
      <c r="P78" s="1">
        <f t="shared" si="7"/>
        <v>13.01</v>
      </c>
      <c r="Q78" s="3">
        <f t="shared" si="8"/>
        <v>1.5000000000000036</v>
      </c>
      <c r="R78" s="3">
        <f t="shared" si="9"/>
        <v>6.0000000000000497E-2</v>
      </c>
      <c r="S78" s="3">
        <f t="shared" si="11"/>
        <v>0.37285714285714305</v>
      </c>
      <c r="U78" s="1">
        <f t="shared" si="10"/>
        <v>12.822857142857144</v>
      </c>
      <c r="V78" s="3">
        <f t="shared" si="12"/>
        <v>0.372857142857141</v>
      </c>
      <c r="W78" s="1">
        <f t="shared" si="13"/>
        <v>0.23081632653061185</v>
      </c>
      <c r="X78" s="3"/>
    </row>
    <row r="79" spans="1:24" x14ac:dyDescent="0.25">
      <c r="A79" t="s">
        <v>16</v>
      </c>
      <c r="C79">
        <v>52.048667899999998</v>
      </c>
      <c r="D79">
        <v>-0.5730942</v>
      </c>
      <c r="E79">
        <v>4</v>
      </c>
      <c r="F79">
        <v>4</v>
      </c>
      <c r="G79">
        <v>2022</v>
      </c>
      <c r="H79">
        <v>12</v>
      </c>
      <c r="I79">
        <v>55</v>
      </c>
      <c r="J79">
        <v>31.2</v>
      </c>
      <c r="K79">
        <v>33.22</v>
      </c>
      <c r="L79">
        <v>0</v>
      </c>
      <c r="M79">
        <v>47.304000000000002</v>
      </c>
      <c r="N79">
        <v>0.57599999999999996</v>
      </c>
      <c r="P79" s="1">
        <f t="shared" si="7"/>
        <v>13.14</v>
      </c>
      <c r="Q79" s="3">
        <f t="shared" si="8"/>
        <v>1.3000000000000078</v>
      </c>
      <c r="R79" s="3">
        <f t="shared" si="9"/>
        <v>0.3100000000000005</v>
      </c>
      <c r="S79" s="3">
        <f t="shared" si="11"/>
        <v>0.29571428571428576</v>
      </c>
      <c r="U79" s="1">
        <f t="shared" si="10"/>
        <v>12.854285714285712</v>
      </c>
      <c r="V79" s="3">
        <f t="shared" si="12"/>
        <v>0.29571428571428626</v>
      </c>
      <c r="W79" s="1">
        <f t="shared" si="13"/>
        <v>0.23183673469387728</v>
      </c>
      <c r="X79" s="3"/>
    </row>
    <row r="80" spans="1:24" x14ac:dyDescent="0.25">
      <c r="A80" t="s">
        <v>16</v>
      </c>
      <c r="C80">
        <v>52.048690100000002</v>
      </c>
      <c r="D80">
        <v>-0.57310459999999996</v>
      </c>
      <c r="E80">
        <v>4</v>
      </c>
      <c r="F80">
        <v>4</v>
      </c>
      <c r="G80">
        <v>2022</v>
      </c>
      <c r="H80">
        <v>12</v>
      </c>
      <c r="I80">
        <v>55</v>
      </c>
      <c r="J80">
        <v>31.4</v>
      </c>
      <c r="K80">
        <v>33.22</v>
      </c>
      <c r="L80">
        <v>0</v>
      </c>
      <c r="M80">
        <v>46.08</v>
      </c>
      <c r="N80">
        <v>0.97199999999999998</v>
      </c>
      <c r="P80" s="1">
        <f t="shared" si="7"/>
        <v>12.8</v>
      </c>
      <c r="Q80" s="3">
        <f t="shared" si="8"/>
        <v>-3.3999999999999986</v>
      </c>
      <c r="R80" s="3">
        <f t="shared" si="9"/>
        <v>0.25999999999999979</v>
      </c>
      <c r="S80" s="3">
        <f t="shared" si="11"/>
        <v>0.20999999999999983</v>
      </c>
      <c r="U80" s="1">
        <f t="shared" si="10"/>
        <v>12.932857142857143</v>
      </c>
      <c r="V80" s="3">
        <f t="shared" si="12"/>
        <v>0.21000000000000085</v>
      </c>
      <c r="W80" s="1">
        <f t="shared" si="13"/>
        <v>0.19877551020408188</v>
      </c>
      <c r="X80" s="3"/>
    </row>
    <row r="81" spans="1:24" x14ac:dyDescent="0.25">
      <c r="A81" t="s">
        <v>16</v>
      </c>
      <c r="C81">
        <v>52.048711900000001</v>
      </c>
      <c r="D81">
        <v>-0.57311559999999995</v>
      </c>
      <c r="E81">
        <v>4</v>
      </c>
      <c r="F81">
        <v>4</v>
      </c>
      <c r="G81">
        <v>2022</v>
      </c>
      <c r="H81">
        <v>12</v>
      </c>
      <c r="I81">
        <v>55</v>
      </c>
      <c r="J81">
        <v>31.6</v>
      </c>
      <c r="K81">
        <v>32.909999999999997</v>
      </c>
      <c r="L81">
        <v>0</v>
      </c>
      <c r="M81">
        <v>45.792000000000002</v>
      </c>
      <c r="N81">
        <v>0.72</v>
      </c>
      <c r="P81" s="1">
        <f t="shared" si="7"/>
        <v>12.72</v>
      </c>
      <c r="Q81" s="3">
        <f t="shared" si="8"/>
        <v>-0.80000000000000071</v>
      </c>
      <c r="R81" s="3">
        <f t="shared" si="9"/>
        <v>0.26999999999999957</v>
      </c>
      <c r="S81" s="3">
        <f t="shared" si="11"/>
        <v>0.16142857142857128</v>
      </c>
      <c r="U81" s="1">
        <f t="shared" si="10"/>
        <v>12.992857142857144</v>
      </c>
      <c r="V81" s="3">
        <f t="shared" si="12"/>
        <v>0.16142857142856926</v>
      </c>
      <c r="W81" s="1">
        <f t="shared" si="13"/>
        <v>0.13959183673469383</v>
      </c>
      <c r="X81" s="3"/>
    </row>
    <row r="82" spans="1:24" x14ac:dyDescent="0.25">
      <c r="A82" t="s">
        <v>16</v>
      </c>
      <c r="C82">
        <v>52.0487343</v>
      </c>
      <c r="D82">
        <v>-0.57312750000000001</v>
      </c>
      <c r="E82">
        <v>4</v>
      </c>
      <c r="F82">
        <v>4</v>
      </c>
      <c r="G82">
        <v>2022</v>
      </c>
      <c r="H82">
        <v>12</v>
      </c>
      <c r="I82">
        <v>55</v>
      </c>
      <c r="J82">
        <v>31.8</v>
      </c>
      <c r="K82">
        <v>33.22</v>
      </c>
      <c r="L82">
        <v>0</v>
      </c>
      <c r="M82">
        <v>46.368000000000002</v>
      </c>
      <c r="N82">
        <v>0.72</v>
      </c>
      <c r="P82" s="1">
        <f t="shared" si="7"/>
        <v>12.88</v>
      </c>
      <c r="Q82" s="3">
        <f t="shared" si="8"/>
        <v>1.6000000000000014</v>
      </c>
      <c r="R82" s="3">
        <f t="shared" si="9"/>
        <v>-0.15000000000000036</v>
      </c>
      <c r="S82" s="3">
        <f t="shared" si="11"/>
        <v>9.5714285714285446E-2</v>
      </c>
      <c r="U82" s="1">
        <f t="shared" si="10"/>
        <v>12.99</v>
      </c>
      <c r="V82" s="3">
        <f t="shared" si="12"/>
        <v>9.5714285714288749E-2</v>
      </c>
      <c r="W82" s="1">
        <f t="shared" si="13"/>
        <v>6.3061224489796272E-2</v>
      </c>
      <c r="X82" s="3"/>
    </row>
    <row r="83" spans="1:24" x14ac:dyDescent="0.25">
      <c r="A83" t="s">
        <v>16</v>
      </c>
      <c r="C83">
        <v>52.048756900000001</v>
      </c>
      <c r="D83">
        <v>-0.57313939999999997</v>
      </c>
      <c r="E83">
        <v>4</v>
      </c>
      <c r="F83">
        <v>4</v>
      </c>
      <c r="G83">
        <v>2022</v>
      </c>
      <c r="H83">
        <v>12</v>
      </c>
      <c r="I83">
        <v>55</v>
      </c>
      <c r="J83">
        <v>32</v>
      </c>
      <c r="K83">
        <v>33.22</v>
      </c>
      <c r="L83">
        <v>0</v>
      </c>
      <c r="M83">
        <v>47.231999999999999</v>
      </c>
      <c r="N83">
        <v>0.39600000000000002</v>
      </c>
      <c r="P83" s="1">
        <f t="shared" si="7"/>
        <v>13.12</v>
      </c>
      <c r="Q83" s="3">
        <f t="shared" si="8"/>
        <v>2.3999999999999844</v>
      </c>
      <c r="R83" s="3">
        <f t="shared" si="9"/>
        <v>0.12999999999999901</v>
      </c>
      <c r="S83" s="3">
        <f t="shared" si="11"/>
        <v>-5.4285714285714395E-2</v>
      </c>
      <c r="U83" s="1">
        <f t="shared" si="10"/>
        <v>12.959999999999999</v>
      </c>
      <c r="V83" s="3">
        <f t="shared" si="12"/>
        <v>-5.4285714285713382E-2</v>
      </c>
      <c r="W83" s="1">
        <f t="shared" si="13"/>
        <v>-5.510204081632354E-3</v>
      </c>
      <c r="X83" s="3"/>
    </row>
    <row r="84" spans="1:24" x14ac:dyDescent="0.25">
      <c r="A84" t="s">
        <v>16</v>
      </c>
      <c r="C84">
        <v>52.048779600000003</v>
      </c>
      <c r="D84">
        <v>-0.57315139999999998</v>
      </c>
      <c r="E84">
        <v>4</v>
      </c>
      <c r="F84">
        <v>4</v>
      </c>
      <c r="G84">
        <v>2022</v>
      </c>
      <c r="H84">
        <v>12</v>
      </c>
      <c r="I84">
        <v>55</v>
      </c>
      <c r="J84">
        <v>32.200000000000003</v>
      </c>
      <c r="K84">
        <v>33.22</v>
      </c>
      <c r="L84">
        <v>0</v>
      </c>
      <c r="M84">
        <v>47.808</v>
      </c>
      <c r="N84">
        <v>0.36</v>
      </c>
      <c r="P84" s="1">
        <f t="shared" si="7"/>
        <v>13.28</v>
      </c>
      <c r="Q84" s="3">
        <f t="shared" si="8"/>
        <v>1.6000000000000014</v>
      </c>
      <c r="R84" s="3">
        <f t="shared" si="9"/>
        <v>0.25</v>
      </c>
      <c r="S84" s="3">
        <f t="shared" si="11"/>
        <v>-0.10428571428571434</v>
      </c>
      <c r="U84" s="1">
        <f t="shared" si="10"/>
        <v>12.984285714285713</v>
      </c>
      <c r="V84" s="3">
        <f t="shared" si="12"/>
        <v>-0.10428571428571587</v>
      </c>
      <c r="W84" s="1">
        <f t="shared" si="13"/>
        <v>-6.5714285714285323E-2</v>
      </c>
      <c r="X84" s="3"/>
    </row>
    <row r="85" spans="1:24" x14ac:dyDescent="0.25">
      <c r="A85" t="s">
        <v>16</v>
      </c>
      <c r="C85">
        <v>52.048801699999999</v>
      </c>
      <c r="D85">
        <v>-0.57316330000000004</v>
      </c>
      <c r="E85">
        <v>4</v>
      </c>
      <c r="F85">
        <v>4</v>
      </c>
      <c r="G85">
        <v>2022</v>
      </c>
      <c r="H85">
        <v>12</v>
      </c>
      <c r="I85">
        <v>55</v>
      </c>
      <c r="J85">
        <v>32.4</v>
      </c>
      <c r="K85">
        <v>32.909999999999997</v>
      </c>
      <c r="L85">
        <v>0</v>
      </c>
      <c r="M85">
        <v>46.764000000000003</v>
      </c>
      <c r="N85">
        <v>0.39600000000000002</v>
      </c>
      <c r="P85" s="1">
        <f t="shared" si="7"/>
        <v>12.99</v>
      </c>
      <c r="Q85" s="3">
        <f t="shared" si="8"/>
        <v>-2.8999999999999915</v>
      </c>
      <c r="R85" s="3">
        <f t="shared" si="9"/>
        <v>-0.40000000000000036</v>
      </c>
      <c r="S85" s="3">
        <f t="shared" si="11"/>
        <v>-0.16285714285714295</v>
      </c>
      <c r="U85" s="1">
        <f t="shared" si="10"/>
        <v>12.950000000000001</v>
      </c>
      <c r="V85" s="3">
        <f t="shared" si="12"/>
        <v>-0.16285714285714192</v>
      </c>
      <c r="W85" s="1">
        <f t="shared" si="13"/>
        <v>-0.11040816326530541</v>
      </c>
      <c r="X85" s="3"/>
    </row>
    <row r="86" spans="1:24" x14ac:dyDescent="0.25">
      <c r="A86" t="s">
        <v>16</v>
      </c>
      <c r="C86">
        <v>52.048823599999999</v>
      </c>
      <c r="D86">
        <v>-0.5731752</v>
      </c>
      <c r="E86">
        <v>4</v>
      </c>
      <c r="F86">
        <v>4</v>
      </c>
      <c r="G86">
        <v>2022</v>
      </c>
      <c r="H86">
        <v>12</v>
      </c>
      <c r="I86">
        <v>55</v>
      </c>
      <c r="J86">
        <v>32.6</v>
      </c>
      <c r="K86">
        <v>32.909999999999997</v>
      </c>
      <c r="L86">
        <v>0</v>
      </c>
      <c r="M86">
        <v>46.548000000000002</v>
      </c>
      <c r="N86">
        <v>0.39600000000000002</v>
      </c>
      <c r="P86" s="1">
        <f t="shared" si="7"/>
        <v>12.93</v>
      </c>
      <c r="Q86" s="3">
        <f t="shared" si="8"/>
        <v>-0.60000000000000497</v>
      </c>
      <c r="R86" s="3">
        <f t="shared" si="9"/>
        <v>-0.73999999999999844</v>
      </c>
      <c r="S86" s="3">
        <f t="shared" si="11"/>
        <v>-0.18428571428571416</v>
      </c>
      <c r="U86" s="1">
        <f t="shared" si="10"/>
        <v>12.87857142857143</v>
      </c>
      <c r="V86" s="3">
        <f t="shared" si="12"/>
        <v>-0.18428571428571416</v>
      </c>
      <c r="W86" s="1">
        <f t="shared" si="13"/>
        <v>-0.1216326530612241</v>
      </c>
      <c r="X86" s="3"/>
    </row>
    <row r="87" spans="1:24" x14ac:dyDescent="0.25">
      <c r="A87" t="s">
        <v>16</v>
      </c>
      <c r="C87">
        <v>52.048845700000001</v>
      </c>
      <c r="D87">
        <v>-0.57318829999999998</v>
      </c>
      <c r="E87">
        <v>4</v>
      </c>
      <c r="F87">
        <v>4</v>
      </c>
      <c r="G87">
        <v>2022</v>
      </c>
      <c r="H87">
        <v>12</v>
      </c>
      <c r="I87">
        <v>55</v>
      </c>
      <c r="J87">
        <v>32.799999999999997</v>
      </c>
      <c r="K87">
        <v>32.909999999999997</v>
      </c>
      <c r="L87">
        <v>0</v>
      </c>
      <c r="M87">
        <v>46.692</v>
      </c>
      <c r="N87">
        <v>0.39600000000000002</v>
      </c>
      <c r="P87" s="1">
        <f t="shared" si="7"/>
        <v>12.97</v>
      </c>
      <c r="Q87" s="3">
        <f t="shared" si="8"/>
        <v>0.40000000000000924</v>
      </c>
      <c r="R87" s="3">
        <f t="shared" si="9"/>
        <v>-8.9999999999999858E-2</v>
      </c>
      <c r="S87" s="3">
        <f t="shared" si="11"/>
        <v>-0.21142857142857124</v>
      </c>
      <c r="U87" s="1">
        <f t="shared" si="10"/>
        <v>12.888571428571428</v>
      </c>
      <c r="V87" s="3">
        <f t="shared" si="12"/>
        <v>-0.21142857142856997</v>
      </c>
      <c r="W87" s="1">
        <f t="shared" si="13"/>
        <v>-9.8775510204081235E-2</v>
      </c>
      <c r="X87" s="3"/>
    </row>
    <row r="88" spans="1:24" x14ac:dyDescent="0.25">
      <c r="A88" t="s">
        <v>16</v>
      </c>
      <c r="C88">
        <v>52.048867299999998</v>
      </c>
      <c r="D88">
        <v>-0.57320110000000002</v>
      </c>
      <c r="E88">
        <v>4</v>
      </c>
      <c r="F88">
        <v>4</v>
      </c>
      <c r="G88">
        <v>2022</v>
      </c>
      <c r="H88">
        <v>12</v>
      </c>
      <c r="I88">
        <v>55</v>
      </c>
      <c r="J88">
        <v>33</v>
      </c>
      <c r="K88">
        <v>32.909999999999997</v>
      </c>
      <c r="L88">
        <v>0</v>
      </c>
      <c r="M88">
        <v>44.927999999999997</v>
      </c>
      <c r="N88">
        <v>0.36</v>
      </c>
      <c r="P88" s="1">
        <f t="shared" si="7"/>
        <v>12.48</v>
      </c>
      <c r="Q88" s="3">
        <f t="shared" si="8"/>
        <v>-4.9000000000000021</v>
      </c>
      <c r="R88" s="3">
        <f t="shared" si="9"/>
        <v>-0.14000000000000057</v>
      </c>
      <c r="S88" s="3">
        <f t="shared" si="11"/>
        <v>-0.15142857142857125</v>
      </c>
      <c r="U88" s="1">
        <f t="shared" si="10"/>
        <v>12.827142857142858</v>
      </c>
      <c r="V88" s="3">
        <f t="shared" si="12"/>
        <v>-0.15142857142857125</v>
      </c>
      <c r="W88" s="1">
        <f t="shared" si="13"/>
        <v>-5.5918367346938017E-2</v>
      </c>
      <c r="X88" s="3"/>
    </row>
    <row r="89" spans="1:24" x14ac:dyDescent="0.25">
      <c r="A89" t="s">
        <v>16</v>
      </c>
      <c r="C89">
        <v>52.0488882</v>
      </c>
      <c r="D89">
        <v>-0.57321440000000001</v>
      </c>
      <c r="E89">
        <v>4</v>
      </c>
      <c r="F89">
        <v>4</v>
      </c>
      <c r="G89">
        <v>2022</v>
      </c>
      <c r="H89">
        <v>12</v>
      </c>
      <c r="I89">
        <v>55</v>
      </c>
      <c r="J89">
        <v>33.200000000000003</v>
      </c>
      <c r="K89">
        <v>33.22</v>
      </c>
      <c r="L89">
        <v>0</v>
      </c>
      <c r="M89">
        <v>44.567999999999998</v>
      </c>
      <c r="N89">
        <v>0.46800000000000003</v>
      </c>
      <c r="P89" s="1">
        <f t="shared" si="7"/>
        <v>12.38</v>
      </c>
      <c r="Q89" s="3">
        <f t="shared" si="8"/>
        <v>-0.99999999999999645</v>
      </c>
      <c r="R89" s="3">
        <f t="shared" si="9"/>
        <v>-0.29999999999999893</v>
      </c>
      <c r="S89" s="3">
        <f t="shared" si="11"/>
        <v>1.7142857142857286E-2</v>
      </c>
      <c r="U89" s="1">
        <f t="shared" si="10"/>
        <v>12.775714285714285</v>
      </c>
      <c r="V89" s="3">
        <f t="shared" si="12"/>
        <v>1.7142857142857792E-2</v>
      </c>
      <c r="W89" s="1">
        <f t="shared" si="13"/>
        <v>1.5918367346939379E-2</v>
      </c>
      <c r="X89" s="3"/>
    </row>
    <row r="90" spans="1:24" x14ac:dyDescent="0.25">
      <c r="A90" t="s">
        <v>16</v>
      </c>
      <c r="C90">
        <v>52.048909999999999</v>
      </c>
      <c r="D90">
        <v>-0.57322740000000005</v>
      </c>
      <c r="E90">
        <v>4</v>
      </c>
      <c r="F90">
        <v>4</v>
      </c>
      <c r="G90">
        <v>2022</v>
      </c>
      <c r="H90">
        <v>12</v>
      </c>
      <c r="I90">
        <v>55</v>
      </c>
      <c r="J90">
        <v>33.4</v>
      </c>
      <c r="K90">
        <v>33.22</v>
      </c>
      <c r="L90">
        <v>0</v>
      </c>
      <c r="M90">
        <v>47.484000000000002</v>
      </c>
      <c r="N90">
        <v>0.97199999999999998</v>
      </c>
      <c r="P90" s="1">
        <f t="shared" si="7"/>
        <v>13.19</v>
      </c>
      <c r="Q90" s="3">
        <f t="shared" si="8"/>
        <v>8.0999999999999872</v>
      </c>
      <c r="R90" s="3">
        <f t="shared" si="9"/>
        <v>-6.0000000000000497E-2</v>
      </c>
      <c r="S90" s="3">
        <f t="shared" si="11"/>
        <v>0.10571428571428575</v>
      </c>
      <c r="U90" s="1">
        <f t="shared" si="10"/>
        <v>12.772857142857143</v>
      </c>
      <c r="V90" s="3">
        <f t="shared" si="12"/>
        <v>0.10571428571428676</v>
      </c>
      <c r="W90" s="1">
        <f t="shared" si="13"/>
        <v>9.2448979591837441E-2</v>
      </c>
      <c r="X90" s="3"/>
    </row>
    <row r="91" spans="1:24" x14ac:dyDescent="0.25">
      <c r="A91" t="s">
        <v>16</v>
      </c>
      <c r="C91">
        <v>52.048931899999999</v>
      </c>
      <c r="D91">
        <v>-0.57323959999999996</v>
      </c>
      <c r="E91">
        <v>4</v>
      </c>
      <c r="F91">
        <v>4</v>
      </c>
      <c r="G91">
        <v>2022</v>
      </c>
      <c r="H91">
        <v>12</v>
      </c>
      <c r="I91">
        <v>55</v>
      </c>
      <c r="J91">
        <v>33.6</v>
      </c>
      <c r="K91">
        <v>32.909999999999997</v>
      </c>
      <c r="L91">
        <v>0</v>
      </c>
      <c r="M91">
        <v>46.26</v>
      </c>
      <c r="N91">
        <v>0.57599999999999996</v>
      </c>
      <c r="P91" s="1">
        <f t="shared" si="7"/>
        <v>12.85</v>
      </c>
      <c r="Q91" s="3">
        <f t="shared" si="8"/>
        <v>-3.3999999999999986</v>
      </c>
      <c r="R91" s="3">
        <f t="shared" si="9"/>
        <v>0.66999999999999993</v>
      </c>
      <c r="S91" s="3">
        <f t="shared" si="11"/>
        <v>0.19571428571428587</v>
      </c>
      <c r="U91" s="1">
        <f t="shared" si="10"/>
        <v>12.79857142857143</v>
      </c>
      <c r="V91" s="3">
        <f t="shared" si="12"/>
        <v>0.19571428571428662</v>
      </c>
      <c r="W91" s="1">
        <f t="shared" si="13"/>
        <v>0.16244897959183721</v>
      </c>
      <c r="X91" s="3"/>
    </row>
    <row r="92" spans="1:24" x14ac:dyDescent="0.25">
      <c r="A92" t="s">
        <v>16</v>
      </c>
      <c r="C92">
        <v>52.048953099999999</v>
      </c>
      <c r="D92">
        <v>-0.57325250000000005</v>
      </c>
      <c r="E92">
        <v>4</v>
      </c>
      <c r="F92">
        <v>4</v>
      </c>
      <c r="G92">
        <v>2022</v>
      </c>
      <c r="H92">
        <v>12</v>
      </c>
      <c r="I92">
        <v>55</v>
      </c>
      <c r="J92">
        <v>33.799999999999997</v>
      </c>
      <c r="K92">
        <v>32.909999999999997</v>
      </c>
      <c r="L92">
        <v>0</v>
      </c>
      <c r="M92">
        <v>45.468000000000004</v>
      </c>
      <c r="N92">
        <v>0.54</v>
      </c>
      <c r="P92" s="1">
        <f t="shared" si="7"/>
        <v>12.63</v>
      </c>
      <c r="Q92" s="3">
        <f t="shared" si="8"/>
        <v>-2.1999999999999886</v>
      </c>
      <c r="R92" s="3">
        <f t="shared" si="9"/>
        <v>0.77999999999999936</v>
      </c>
      <c r="S92" s="3">
        <f t="shared" si="11"/>
        <v>0.34000000000000014</v>
      </c>
      <c r="U92" s="1">
        <f t="shared" si="10"/>
        <v>12.895714285714288</v>
      </c>
      <c r="V92" s="3">
        <f t="shared" si="12"/>
        <v>0.33999999999999986</v>
      </c>
      <c r="W92" s="1">
        <f t="shared" si="13"/>
        <v>0.20306122448979608</v>
      </c>
      <c r="X92" s="3"/>
    </row>
    <row r="93" spans="1:24" x14ac:dyDescent="0.25">
      <c r="A93" t="s">
        <v>16</v>
      </c>
      <c r="C93">
        <v>52.048974800000003</v>
      </c>
      <c r="D93">
        <v>-0.57326520000000003</v>
      </c>
      <c r="E93">
        <v>4</v>
      </c>
      <c r="F93">
        <v>4</v>
      </c>
      <c r="G93">
        <v>2022</v>
      </c>
      <c r="H93">
        <v>12</v>
      </c>
      <c r="I93">
        <v>55</v>
      </c>
      <c r="J93">
        <v>34</v>
      </c>
      <c r="K93">
        <v>32.909999999999997</v>
      </c>
      <c r="L93">
        <v>0</v>
      </c>
      <c r="M93">
        <v>46.475999999999999</v>
      </c>
      <c r="N93">
        <v>0.46800000000000003</v>
      </c>
      <c r="P93" s="1">
        <f t="shared" si="7"/>
        <v>12.91</v>
      </c>
      <c r="Q93" s="3">
        <f t="shared" si="8"/>
        <v>2.7999999999999936</v>
      </c>
      <c r="R93" s="3">
        <f t="shared" si="9"/>
        <v>-0.11999999999999922</v>
      </c>
      <c r="S93" s="3">
        <f t="shared" si="11"/>
        <v>0.35142857142857131</v>
      </c>
      <c r="U93" s="1">
        <f t="shared" si="10"/>
        <v>12.994285714285715</v>
      </c>
      <c r="V93" s="3">
        <f t="shared" si="12"/>
        <v>0.35142857142857231</v>
      </c>
      <c r="W93" s="1">
        <f t="shared" si="13"/>
        <v>0.19530612244897963</v>
      </c>
      <c r="X93" s="3"/>
    </row>
    <row r="94" spans="1:24" x14ac:dyDescent="0.25">
      <c r="A94" t="s">
        <v>16</v>
      </c>
      <c r="C94">
        <v>52.048997100000001</v>
      </c>
      <c r="D94">
        <v>-0.57327660000000003</v>
      </c>
      <c r="E94">
        <v>4</v>
      </c>
      <c r="F94">
        <v>4</v>
      </c>
      <c r="G94">
        <v>2022</v>
      </c>
      <c r="H94">
        <v>12</v>
      </c>
      <c r="I94">
        <v>55</v>
      </c>
      <c r="J94">
        <v>34.200000000000003</v>
      </c>
      <c r="K94">
        <v>32.61</v>
      </c>
      <c r="L94">
        <v>0</v>
      </c>
      <c r="M94">
        <v>47.34</v>
      </c>
      <c r="N94">
        <v>0.54</v>
      </c>
      <c r="P94" s="1">
        <f t="shared" si="7"/>
        <v>13.15</v>
      </c>
      <c r="Q94" s="3">
        <f t="shared" si="8"/>
        <v>2.4000000000000021</v>
      </c>
      <c r="R94" s="3">
        <f t="shared" si="9"/>
        <v>0.54000000000000092</v>
      </c>
      <c r="S94" s="3">
        <f t="shared" si="11"/>
        <v>0.27857142857142847</v>
      </c>
      <c r="U94" s="1">
        <f t="shared" si="10"/>
        <v>13.022857142857145</v>
      </c>
      <c r="V94" s="3">
        <f t="shared" si="12"/>
        <v>0.27857142857142847</v>
      </c>
      <c r="W94" s="1">
        <f t="shared" si="13"/>
        <v>0.16102040816326482</v>
      </c>
      <c r="X94" s="3"/>
    </row>
    <row r="95" spans="1:24" x14ac:dyDescent="0.25">
      <c r="A95" t="s">
        <v>16</v>
      </c>
      <c r="C95">
        <v>52.049019700000002</v>
      </c>
      <c r="D95">
        <v>-0.57328800000000002</v>
      </c>
      <c r="E95">
        <v>4</v>
      </c>
      <c r="F95">
        <v>4</v>
      </c>
      <c r="G95">
        <v>2022</v>
      </c>
      <c r="H95">
        <v>12</v>
      </c>
      <c r="I95">
        <v>55</v>
      </c>
      <c r="J95">
        <v>34.4</v>
      </c>
      <c r="K95">
        <v>32.61</v>
      </c>
      <c r="L95">
        <v>0</v>
      </c>
      <c r="M95">
        <v>47.375999999999998</v>
      </c>
      <c r="N95">
        <v>0.93600000000000005</v>
      </c>
      <c r="P95" s="1">
        <f t="shared" si="7"/>
        <v>13.16</v>
      </c>
      <c r="Q95" s="3">
        <f t="shared" si="8"/>
        <v>9.9999999999997868E-2</v>
      </c>
      <c r="R95" s="3">
        <f t="shared" si="9"/>
        <v>0.86999999999999922</v>
      </c>
      <c r="S95" s="3">
        <f t="shared" si="11"/>
        <v>0.13285714285714281</v>
      </c>
      <c r="U95" s="1">
        <f t="shared" si="10"/>
        <v>13.115714285714285</v>
      </c>
      <c r="V95" s="3">
        <f t="shared" si="12"/>
        <v>0.13285714285714079</v>
      </c>
      <c r="W95" s="1">
        <f t="shared" si="13"/>
        <v>7.2857142857142315E-2</v>
      </c>
      <c r="X95" s="3"/>
    </row>
    <row r="96" spans="1:24" x14ac:dyDescent="0.25">
      <c r="A96" t="s">
        <v>16</v>
      </c>
      <c r="C96">
        <v>52.0490426</v>
      </c>
      <c r="D96">
        <v>-0.57330029999999998</v>
      </c>
      <c r="E96">
        <v>4</v>
      </c>
      <c r="F96">
        <v>4</v>
      </c>
      <c r="G96">
        <v>2022</v>
      </c>
      <c r="H96">
        <v>12</v>
      </c>
      <c r="I96">
        <v>55</v>
      </c>
      <c r="J96">
        <v>34.6</v>
      </c>
      <c r="K96">
        <v>32.61</v>
      </c>
      <c r="L96">
        <v>0</v>
      </c>
      <c r="M96">
        <v>47.052</v>
      </c>
      <c r="N96">
        <v>0.9</v>
      </c>
      <c r="P96" s="1">
        <f t="shared" si="7"/>
        <v>13.07</v>
      </c>
      <c r="Q96" s="3">
        <f t="shared" si="8"/>
        <v>-0.89999999999999858</v>
      </c>
      <c r="R96" s="3">
        <f t="shared" si="9"/>
        <v>-0.22000000000000064</v>
      </c>
      <c r="S96" s="3">
        <f t="shared" si="11"/>
        <v>-3.7142857142857109E-2</v>
      </c>
      <c r="U96" s="1">
        <f t="shared" si="10"/>
        <v>13.124285714285715</v>
      </c>
      <c r="V96" s="3">
        <f t="shared" si="12"/>
        <v>-3.7142857142857366E-2</v>
      </c>
      <c r="W96" s="1">
        <f t="shared" si="13"/>
        <v>-7.0204081632653778E-2</v>
      </c>
      <c r="X96" s="3"/>
    </row>
    <row r="97" spans="1:24" x14ac:dyDescent="0.25">
      <c r="A97" t="s">
        <v>16</v>
      </c>
      <c r="C97">
        <v>52.049065900000002</v>
      </c>
      <c r="D97">
        <v>-0.57331030000000005</v>
      </c>
      <c r="E97">
        <v>4</v>
      </c>
      <c r="F97">
        <v>4</v>
      </c>
      <c r="G97">
        <v>2022</v>
      </c>
      <c r="H97">
        <v>12</v>
      </c>
      <c r="I97">
        <v>55</v>
      </c>
      <c r="J97">
        <v>34.799999999999997</v>
      </c>
      <c r="K97">
        <v>32.61</v>
      </c>
      <c r="L97">
        <v>0</v>
      </c>
      <c r="M97">
        <v>48.204000000000001</v>
      </c>
      <c r="N97">
        <v>0.79200000000000004</v>
      </c>
      <c r="P97" s="1">
        <f t="shared" si="7"/>
        <v>13.39</v>
      </c>
      <c r="Q97" s="3">
        <f t="shared" si="8"/>
        <v>3.2000000000000028</v>
      </c>
      <c r="R97" s="3">
        <f t="shared" si="9"/>
        <v>-0.57000000000000028</v>
      </c>
      <c r="S97" s="3">
        <f t="shared" si="11"/>
        <v>-0.13428571428571448</v>
      </c>
      <c r="U97" s="1">
        <f t="shared" si="10"/>
        <v>13.077142857142858</v>
      </c>
      <c r="V97" s="3">
        <f t="shared" si="12"/>
        <v>-0.13428571428571701</v>
      </c>
      <c r="W97" s="1">
        <f t="shared" si="13"/>
        <v>-0.21979591836734791</v>
      </c>
      <c r="X97" s="3"/>
    </row>
    <row r="98" spans="1:24" x14ac:dyDescent="0.25">
      <c r="A98" t="s">
        <v>16</v>
      </c>
      <c r="C98">
        <v>52.049089500000001</v>
      </c>
      <c r="D98">
        <v>-0.57331790000000005</v>
      </c>
      <c r="E98">
        <v>4</v>
      </c>
      <c r="F98">
        <v>4</v>
      </c>
      <c r="G98">
        <v>2022</v>
      </c>
      <c r="H98">
        <v>12</v>
      </c>
      <c r="I98">
        <v>55</v>
      </c>
      <c r="J98">
        <v>35</v>
      </c>
      <c r="K98">
        <v>32.61</v>
      </c>
      <c r="L98">
        <v>0</v>
      </c>
      <c r="M98">
        <v>48.6</v>
      </c>
      <c r="N98">
        <v>0.64800000000000002</v>
      </c>
      <c r="P98" s="1">
        <f t="shared" si="7"/>
        <v>13.5</v>
      </c>
      <c r="Q98" s="3">
        <f t="shared" si="8"/>
        <v>1.0999999999999943</v>
      </c>
      <c r="R98" s="3">
        <f t="shared" si="9"/>
        <v>-0.34999999999999964</v>
      </c>
      <c r="S98" s="3">
        <f t="shared" si="11"/>
        <v>-0.42142857142857182</v>
      </c>
      <c r="U98" s="1">
        <f t="shared" si="10"/>
        <v>13.028571428571428</v>
      </c>
      <c r="V98" s="3">
        <f t="shared" si="12"/>
        <v>-0.42142857142857082</v>
      </c>
      <c r="W98" s="1">
        <f t="shared" si="13"/>
        <v>-0.36959183673469476</v>
      </c>
      <c r="X98" s="3"/>
    </row>
    <row r="99" spans="1:24" x14ac:dyDescent="0.25">
      <c r="A99" t="s">
        <v>16</v>
      </c>
      <c r="C99">
        <v>52.049112800000003</v>
      </c>
      <c r="D99">
        <v>-0.57332550000000004</v>
      </c>
      <c r="E99">
        <v>4</v>
      </c>
      <c r="F99">
        <v>4</v>
      </c>
      <c r="G99">
        <v>2022</v>
      </c>
      <c r="H99">
        <v>12</v>
      </c>
      <c r="I99">
        <v>55</v>
      </c>
      <c r="J99">
        <v>35.200000000000003</v>
      </c>
      <c r="K99">
        <v>32.61</v>
      </c>
      <c r="L99">
        <v>0</v>
      </c>
      <c r="M99">
        <v>45.683999999999997</v>
      </c>
      <c r="N99">
        <v>0.68400000000000005</v>
      </c>
      <c r="P99" s="1">
        <f t="shared" si="7"/>
        <v>12.69</v>
      </c>
      <c r="Q99" s="3">
        <f t="shared" si="8"/>
        <v>-8.100000000000005</v>
      </c>
      <c r="R99" s="3">
        <f t="shared" si="9"/>
        <v>-0.41000000000000014</v>
      </c>
      <c r="S99" s="3">
        <f t="shared" si="11"/>
        <v>-0.66142857142857159</v>
      </c>
      <c r="U99" s="1">
        <f t="shared" si="10"/>
        <v>12.957142857142857</v>
      </c>
      <c r="V99" s="3">
        <f t="shared" si="12"/>
        <v>-0.66142857142857281</v>
      </c>
      <c r="W99" s="1">
        <f t="shared" si="13"/>
        <v>-0.50938775510204137</v>
      </c>
      <c r="X99" s="3"/>
    </row>
    <row r="100" spans="1:24" x14ac:dyDescent="0.25">
      <c r="A100" t="s">
        <v>16</v>
      </c>
      <c r="C100">
        <v>52.0491356</v>
      </c>
      <c r="D100">
        <v>-0.57333219999999996</v>
      </c>
      <c r="E100">
        <v>4</v>
      </c>
      <c r="F100">
        <v>4</v>
      </c>
      <c r="G100">
        <v>2022</v>
      </c>
      <c r="H100">
        <v>12</v>
      </c>
      <c r="I100">
        <v>55</v>
      </c>
      <c r="J100">
        <v>35.4</v>
      </c>
      <c r="K100">
        <v>32.909999999999997</v>
      </c>
      <c r="L100">
        <v>0</v>
      </c>
      <c r="M100">
        <v>45.287999999999997</v>
      </c>
      <c r="N100">
        <v>0.82799999999999996</v>
      </c>
      <c r="P100" s="1">
        <f t="shared" si="7"/>
        <v>12.58</v>
      </c>
      <c r="Q100" s="3">
        <f t="shared" si="8"/>
        <v>-1.0999999999999943</v>
      </c>
      <c r="R100" s="3">
        <f t="shared" si="9"/>
        <v>-0.80000000000000071</v>
      </c>
      <c r="S100" s="3">
        <f t="shared" si="11"/>
        <v>-0.69571428571428584</v>
      </c>
      <c r="U100" s="1">
        <f t="shared" si="10"/>
        <v>12.888571428571428</v>
      </c>
      <c r="V100" s="3">
        <f t="shared" si="12"/>
        <v>-0.69571428571428662</v>
      </c>
      <c r="W100" s="1">
        <f t="shared" si="13"/>
        <v>-0.6308163265306127</v>
      </c>
      <c r="X100" s="3"/>
    </row>
    <row r="101" spans="1:24" x14ac:dyDescent="0.25">
      <c r="A101" t="s">
        <v>16</v>
      </c>
      <c r="C101">
        <v>52.049159000000003</v>
      </c>
      <c r="D101">
        <v>-0.57333920000000005</v>
      </c>
      <c r="E101">
        <v>4</v>
      </c>
      <c r="F101">
        <v>4</v>
      </c>
      <c r="G101">
        <v>2022</v>
      </c>
      <c r="H101">
        <v>12</v>
      </c>
      <c r="I101">
        <v>55</v>
      </c>
      <c r="J101">
        <v>35.6</v>
      </c>
      <c r="K101">
        <v>32.909999999999997</v>
      </c>
      <c r="L101">
        <v>0</v>
      </c>
      <c r="M101">
        <v>46.116</v>
      </c>
      <c r="N101">
        <v>0.68400000000000005</v>
      </c>
      <c r="P101" s="1">
        <f t="shared" si="7"/>
        <v>12.81</v>
      </c>
      <c r="Q101" s="3">
        <f t="shared" si="8"/>
        <v>2.3000000000000043</v>
      </c>
      <c r="R101" s="3">
        <f t="shared" si="9"/>
        <v>-1.4700000000000006</v>
      </c>
      <c r="S101" s="3">
        <f t="shared" si="11"/>
        <v>-0.77000000000000013</v>
      </c>
      <c r="U101" s="1">
        <f t="shared" si="10"/>
        <v>12.694285714285714</v>
      </c>
      <c r="V101" s="3">
        <f t="shared" si="12"/>
        <v>-0.76999999999999957</v>
      </c>
      <c r="W101" s="1">
        <f t="shared" si="13"/>
        <v>-0.72714285714285709</v>
      </c>
      <c r="X101" s="3"/>
    </row>
    <row r="102" spans="1:24" x14ac:dyDescent="0.25">
      <c r="A102" t="s">
        <v>16</v>
      </c>
      <c r="C102">
        <v>52.049181699999998</v>
      </c>
      <c r="D102">
        <v>-0.57334700000000005</v>
      </c>
      <c r="E102">
        <v>4</v>
      </c>
      <c r="F102">
        <v>4</v>
      </c>
      <c r="G102">
        <v>2022</v>
      </c>
      <c r="H102">
        <v>12</v>
      </c>
      <c r="I102">
        <v>55</v>
      </c>
      <c r="J102">
        <v>35.799999999999997</v>
      </c>
      <c r="K102">
        <v>33.22</v>
      </c>
      <c r="L102">
        <v>0</v>
      </c>
      <c r="M102">
        <v>45.576000000000001</v>
      </c>
      <c r="N102">
        <v>0.39600000000000002</v>
      </c>
      <c r="P102" s="1">
        <f t="shared" si="7"/>
        <v>12.66</v>
      </c>
      <c r="Q102" s="3">
        <f t="shared" si="8"/>
        <v>-1.5000000000000036</v>
      </c>
      <c r="R102" s="3">
        <f t="shared" si="9"/>
        <v>-0.80999999999999872</v>
      </c>
      <c r="S102" s="3">
        <f t="shared" si="11"/>
        <v>-0.84571428571428597</v>
      </c>
      <c r="U102" s="1">
        <f t="shared" si="10"/>
        <v>12.462857142857143</v>
      </c>
      <c r="V102" s="3">
        <f t="shared" si="12"/>
        <v>-0.8457142857142852</v>
      </c>
      <c r="W102" s="1">
        <f t="shared" si="13"/>
        <v>-0.75489795918367342</v>
      </c>
      <c r="X102" s="3"/>
    </row>
    <row r="103" spans="1:24" x14ac:dyDescent="0.25">
      <c r="A103" t="s">
        <v>16</v>
      </c>
      <c r="C103">
        <v>52.0492037</v>
      </c>
      <c r="D103">
        <v>-0.57335429999999998</v>
      </c>
      <c r="E103">
        <v>4</v>
      </c>
      <c r="F103">
        <v>4</v>
      </c>
      <c r="G103">
        <v>2022</v>
      </c>
      <c r="H103">
        <v>12</v>
      </c>
      <c r="I103">
        <v>55</v>
      </c>
      <c r="J103">
        <v>36</v>
      </c>
      <c r="K103">
        <v>33.22</v>
      </c>
      <c r="L103">
        <v>0</v>
      </c>
      <c r="M103">
        <v>45.323999999999998</v>
      </c>
      <c r="N103">
        <v>0.432</v>
      </c>
      <c r="P103" s="1">
        <f t="shared" si="7"/>
        <v>12.59</v>
      </c>
      <c r="Q103" s="3">
        <f t="shared" si="8"/>
        <v>-0.70000000000000284</v>
      </c>
      <c r="R103" s="3">
        <f t="shared" si="9"/>
        <v>-0.46000000000000085</v>
      </c>
      <c r="S103" s="3">
        <f t="shared" si="11"/>
        <v>-0.88714285714285723</v>
      </c>
      <c r="U103" s="1">
        <f t="shared" si="10"/>
        <v>12.381428571428572</v>
      </c>
      <c r="V103" s="3">
        <f t="shared" si="12"/>
        <v>-0.88714285714285701</v>
      </c>
      <c r="W103" s="1">
        <f t="shared" si="13"/>
        <v>-0.74755102040816312</v>
      </c>
      <c r="X103" s="3"/>
    </row>
    <row r="104" spans="1:24" x14ac:dyDescent="0.25">
      <c r="A104" t="s">
        <v>16</v>
      </c>
      <c r="C104">
        <v>52.049224899999999</v>
      </c>
      <c r="D104">
        <v>-0.5733608</v>
      </c>
      <c r="E104">
        <v>4</v>
      </c>
      <c r="F104">
        <v>4</v>
      </c>
      <c r="G104">
        <v>2022</v>
      </c>
      <c r="H104">
        <v>12</v>
      </c>
      <c r="I104">
        <v>55</v>
      </c>
      <c r="J104">
        <v>36.200000000000003</v>
      </c>
      <c r="K104">
        <v>33.22</v>
      </c>
      <c r="L104">
        <v>0</v>
      </c>
      <c r="M104">
        <v>43.308</v>
      </c>
      <c r="N104">
        <v>0.39600000000000002</v>
      </c>
      <c r="P104" s="1">
        <f t="shared" si="7"/>
        <v>12.03</v>
      </c>
      <c r="Q104" s="3">
        <f t="shared" si="8"/>
        <v>-5.600000000000005</v>
      </c>
      <c r="R104" s="3">
        <f t="shared" si="9"/>
        <v>-1.0899999999999999</v>
      </c>
      <c r="S104" s="3">
        <f t="shared" si="11"/>
        <v>-0.80857142857142861</v>
      </c>
      <c r="U104" s="1">
        <f t="shared" si="10"/>
        <v>12.258571428571429</v>
      </c>
      <c r="V104" s="3">
        <f t="shared" si="12"/>
        <v>-0.80857142857142783</v>
      </c>
      <c r="W104" s="1">
        <f t="shared" si="13"/>
        <v>-0.73918367346938774</v>
      </c>
      <c r="X104" s="3"/>
    </row>
    <row r="105" spans="1:24" x14ac:dyDescent="0.25">
      <c r="A105" t="s">
        <v>16</v>
      </c>
      <c r="C105">
        <v>52.049245900000003</v>
      </c>
      <c r="D105">
        <v>-0.57336679999999995</v>
      </c>
      <c r="E105">
        <v>4</v>
      </c>
      <c r="F105">
        <v>4</v>
      </c>
      <c r="G105">
        <v>2022</v>
      </c>
      <c r="H105">
        <v>12</v>
      </c>
      <c r="I105">
        <v>55</v>
      </c>
      <c r="J105">
        <v>36.4</v>
      </c>
      <c r="K105">
        <v>33.22</v>
      </c>
      <c r="L105">
        <v>0</v>
      </c>
      <c r="M105">
        <v>42.768000000000001</v>
      </c>
      <c r="N105">
        <v>0.39600000000000002</v>
      </c>
      <c r="P105" s="1">
        <f t="shared" si="7"/>
        <v>11.88</v>
      </c>
      <c r="Q105" s="3">
        <f t="shared" si="8"/>
        <v>-1.4999999999999858</v>
      </c>
      <c r="R105" s="3">
        <f t="shared" si="9"/>
        <v>-0.88000000000000078</v>
      </c>
      <c r="S105" s="3">
        <f t="shared" si="11"/>
        <v>-0.61571428571428577</v>
      </c>
      <c r="U105" s="1">
        <f t="shared" si="10"/>
        <v>12.111428571428572</v>
      </c>
      <c r="V105" s="3">
        <f t="shared" si="12"/>
        <v>-0.61571428571428477</v>
      </c>
      <c r="W105" s="1">
        <f t="shared" si="13"/>
        <v>-0.71387755102040829</v>
      </c>
      <c r="X105" s="3"/>
    </row>
    <row r="106" spans="1:24" x14ac:dyDescent="0.25">
      <c r="A106" t="s">
        <v>16</v>
      </c>
      <c r="C106">
        <v>52.049267</v>
      </c>
      <c r="D106">
        <v>-0.57337179999999999</v>
      </c>
      <c r="E106">
        <v>4</v>
      </c>
      <c r="F106">
        <v>4</v>
      </c>
      <c r="G106">
        <v>2022</v>
      </c>
      <c r="H106">
        <v>12</v>
      </c>
      <c r="I106">
        <v>55</v>
      </c>
      <c r="J106">
        <v>36.6</v>
      </c>
      <c r="K106">
        <v>33.22</v>
      </c>
      <c r="L106">
        <v>0</v>
      </c>
      <c r="M106">
        <v>43.631999999999998</v>
      </c>
      <c r="N106">
        <v>0.39600000000000002</v>
      </c>
      <c r="P106" s="1">
        <f t="shared" si="7"/>
        <v>12.12</v>
      </c>
      <c r="Q106" s="3">
        <f t="shared" si="8"/>
        <v>2.3999999999999844</v>
      </c>
      <c r="R106" s="3">
        <f t="shared" si="9"/>
        <v>-0.69999999999999929</v>
      </c>
      <c r="S106" s="3">
        <f t="shared" si="11"/>
        <v>-0.61000000000000021</v>
      </c>
      <c r="U106" s="1">
        <f t="shared" si="10"/>
        <v>12.001428571428571</v>
      </c>
      <c r="V106" s="3">
        <f t="shared" si="12"/>
        <v>-0.61000000000000121</v>
      </c>
      <c r="W106" s="1">
        <f t="shared" si="13"/>
        <v>-0.67326530612244917</v>
      </c>
      <c r="X106" s="3"/>
    </row>
    <row r="107" spans="1:24" x14ac:dyDescent="0.25">
      <c r="A107" t="s">
        <v>16</v>
      </c>
      <c r="C107">
        <v>52.049288199999999</v>
      </c>
      <c r="D107">
        <v>-0.57337510000000003</v>
      </c>
      <c r="E107">
        <v>4</v>
      </c>
      <c r="F107">
        <v>4</v>
      </c>
      <c r="G107">
        <v>2022</v>
      </c>
      <c r="H107">
        <v>12</v>
      </c>
      <c r="I107">
        <v>55</v>
      </c>
      <c r="J107">
        <v>36.799999999999997</v>
      </c>
      <c r="K107">
        <v>33.22</v>
      </c>
      <c r="L107">
        <v>0</v>
      </c>
      <c r="M107">
        <v>42.192</v>
      </c>
      <c r="N107">
        <v>0.36</v>
      </c>
      <c r="P107" s="1">
        <f t="shared" si="7"/>
        <v>11.72</v>
      </c>
      <c r="Q107" s="3">
        <f t="shared" si="8"/>
        <v>-3.9999999999999858</v>
      </c>
      <c r="R107" s="3">
        <f t="shared" si="9"/>
        <v>-0.25</v>
      </c>
      <c r="S107" s="3">
        <f t="shared" si="11"/>
        <v>-0.63714285714285723</v>
      </c>
      <c r="U107" s="1">
        <f t="shared" si="10"/>
        <v>11.885714285714286</v>
      </c>
      <c r="V107" s="3">
        <f t="shared" si="12"/>
        <v>-0.63714285714285879</v>
      </c>
      <c r="W107" s="1">
        <f t="shared" si="13"/>
        <v>-0.62469387755102068</v>
      </c>
      <c r="X107" s="3"/>
    </row>
    <row r="108" spans="1:24" x14ac:dyDescent="0.25">
      <c r="A108" t="s">
        <v>16</v>
      </c>
      <c r="C108">
        <v>52.049309200000003</v>
      </c>
      <c r="D108">
        <v>-0.57337749999999998</v>
      </c>
      <c r="E108">
        <v>4</v>
      </c>
      <c r="F108">
        <v>4</v>
      </c>
      <c r="G108">
        <v>2022</v>
      </c>
      <c r="H108">
        <v>12</v>
      </c>
      <c r="I108">
        <v>55</v>
      </c>
      <c r="J108">
        <v>37</v>
      </c>
      <c r="K108">
        <v>32.909999999999997</v>
      </c>
      <c r="L108">
        <v>0</v>
      </c>
      <c r="M108">
        <v>42.408000000000001</v>
      </c>
      <c r="N108">
        <v>0.36</v>
      </c>
      <c r="P108" s="1">
        <f t="shared" si="7"/>
        <v>11.78</v>
      </c>
      <c r="Q108" s="3">
        <f t="shared" si="8"/>
        <v>0.59999999999998721</v>
      </c>
      <c r="R108" s="3">
        <f t="shared" si="9"/>
        <v>-0.12000000000000099</v>
      </c>
      <c r="S108" s="3">
        <f t="shared" si="11"/>
        <v>-0.59285714285714286</v>
      </c>
      <c r="U108" s="1">
        <f t="shared" si="10"/>
        <v>11.847142857142858</v>
      </c>
      <c r="V108" s="3">
        <f t="shared" si="12"/>
        <v>-0.59285714285714342</v>
      </c>
      <c r="W108" s="1">
        <f t="shared" si="13"/>
        <v>-0.59857142857142875</v>
      </c>
      <c r="X108" s="3"/>
    </row>
    <row r="109" spans="1:24" x14ac:dyDescent="0.25">
      <c r="A109" t="s">
        <v>16</v>
      </c>
      <c r="C109">
        <v>52.049330300000001</v>
      </c>
      <c r="D109">
        <v>-0.57337870000000002</v>
      </c>
      <c r="E109">
        <v>4</v>
      </c>
      <c r="F109">
        <v>4</v>
      </c>
      <c r="G109">
        <v>2022</v>
      </c>
      <c r="H109">
        <v>12</v>
      </c>
      <c r="I109">
        <v>55</v>
      </c>
      <c r="J109">
        <v>37.200000000000003</v>
      </c>
      <c r="K109">
        <v>32.909999999999997</v>
      </c>
      <c r="L109">
        <v>0</v>
      </c>
      <c r="M109">
        <v>42.804000000000002</v>
      </c>
      <c r="N109">
        <v>0.32400000000000001</v>
      </c>
      <c r="P109" s="1">
        <f t="shared" si="7"/>
        <v>11.89</v>
      </c>
      <c r="Q109" s="3">
        <f t="shared" si="8"/>
        <v>1.1000000000000121</v>
      </c>
      <c r="R109" s="3">
        <f t="shared" si="9"/>
        <v>-0.76999999999999957</v>
      </c>
      <c r="S109" s="3">
        <f t="shared" si="11"/>
        <v>-0.56142857142857139</v>
      </c>
      <c r="U109" s="1">
        <f t="shared" si="10"/>
        <v>11.77142857142857</v>
      </c>
      <c r="V109" s="3">
        <f t="shared" si="12"/>
        <v>-0.56142857142857139</v>
      </c>
      <c r="W109" s="1">
        <f t="shared" si="13"/>
        <v>-0.6106122448979594</v>
      </c>
      <c r="X109" s="3"/>
    </row>
    <row r="110" spans="1:24" x14ac:dyDescent="0.25">
      <c r="A110" t="s">
        <v>16</v>
      </c>
      <c r="C110">
        <v>52.0493515</v>
      </c>
      <c r="D110">
        <v>-0.57337740000000004</v>
      </c>
      <c r="E110">
        <v>4</v>
      </c>
      <c r="F110">
        <v>4</v>
      </c>
      <c r="G110">
        <v>2022</v>
      </c>
      <c r="H110">
        <v>12</v>
      </c>
      <c r="I110">
        <v>55</v>
      </c>
      <c r="J110">
        <v>37.4</v>
      </c>
      <c r="K110">
        <v>32.909999999999997</v>
      </c>
      <c r="L110">
        <v>0</v>
      </c>
      <c r="M110">
        <v>42.408000000000001</v>
      </c>
      <c r="N110">
        <v>0.216</v>
      </c>
      <c r="P110" s="1">
        <f t="shared" si="7"/>
        <v>11.78</v>
      </c>
      <c r="Q110" s="3">
        <f t="shared" si="8"/>
        <v>-1.1000000000000121</v>
      </c>
      <c r="R110" s="3">
        <f t="shared" si="9"/>
        <v>-0.65000000000000036</v>
      </c>
      <c r="S110" s="3">
        <f t="shared" si="11"/>
        <v>-0.54714285714285715</v>
      </c>
      <c r="U110" s="1">
        <f t="shared" si="10"/>
        <v>11.62142857142857</v>
      </c>
      <c r="V110" s="3">
        <f t="shared" si="12"/>
        <v>-0.54714285714285715</v>
      </c>
      <c r="W110" s="1">
        <f t="shared" si="13"/>
        <v>-0.61632653061224452</v>
      </c>
      <c r="X110" s="3"/>
    </row>
    <row r="111" spans="1:24" x14ac:dyDescent="0.25">
      <c r="A111" t="s">
        <v>16</v>
      </c>
      <c r="C111">
        <v>52.049372400000003</v>
      </c>
      <c r="D111">
        <v>-0.57337459999999996</v>
      </c>
      <c r="E111">
        <v>4</v>
      </c>
      <c r="F111">
        <v>4</v>
      </c>
      <c r="G111">
        <v>2022</v>
      </c>
      <c r="H111">
        <v>12</v>
      </c>
      <c r="I111">
        <v>55</v>
      </c>
      <c r="J111">
        <v>37.6</v>
      </c>
      <c r="K111">
        <v>32.61</v>
      </c>
      <c r="L111">
        <v>0</v>
      </c>
      <c r="M111">
        <v>42.335999999999999</v>
      </c>
      <c r="N111">
        <v>0.252</v>
      </c>
      <c r="P111" s="1">
        <f t="shared" si="7"/>
        <v>11.76</v>
      </c>
      <c r="Q111" s="3">
        <f t="shared" si="8"/>
        <v>-0.19999999999999574</v>
      </c>
      <c r="R111" s="3">
        <f t="shared" si="9"/>
        <v>-0.77999999999999936</v>
      </c>
      <c r="S111" s="3">
        <f t="shared" si="11"/>
        <v>-0.62571428571428556</v>
      </c>
      <c r="U111" s="1">
        <f t="shared" si="10"/>
        <v>11.518571428571429</v>
      </c>
      <c r="V111" s="3">
        <f t="shared" si="12"/>
        <v>-0.62571428571428456</v>
      </c>
      <c r="W111" s="1">
        <f t="shared" si="13"/>
        <v>-0.6195918367346932</v>
      </c>
      <c r="X111" s="3"/>
    </row>
    <row r="112" spans="1:24" x14ac:dyDescent="0.25">
      <c r="A112" t="s">
        <v>16</v>
      </c>
      <c r="C112">
        <v>52.049392900000001</v>
      </c>
      <c r="D112">
        <v>-0.57337020000000005</v>
      </c>
      <c r="E112">
        <v>4</v>
      </c>
      <c r="F112">
        <v>4</v>
      </c>
      <c r="G112">
        <v>2022</v>
      </c>
      <c r="H112">
        <v>12</v>
      </c>
      <c r="I112">
        <v>55</v>
      </c>
      <c r="J112">
        <v>37.799999999999997</v>
      </c>
      <c r="K112">
        <v>32.61</v>
      </c>
      <c r="L112">
        <v>0</v>
      </c>
      <c r="M112">
        <v>40.86</v>
      </c>
      <c r="N112">
        <v>0.252</v>
      </c>
      <c r="P112" s="1">
        <f t="shared" si="7"/>
        <v>11.35</v>
      </c>
      <c r="Q112" s="3">
        <f t="shared" si="8"/>
        <v>-4.1000000000000014</v>
      </c>
      <c r="R112" s="3">
        <f t="shared" si="9"/>
        <v>-0.66000000000000014</v>
      </c>
      <c r="S112" s="3">
        <f t="shared" si="11"/>
        <v>-0.69999999999999951</v>
      </c>
      <c r="U112" s="1">
        <f t="shared" si="10"/>
        <v>11.44</v>
      </c>
      <c r="V112" s="3">
        <f t="shared" si="12"/>
        <v>-0.69999999999999929</v>
      </c>
      <c r="W112" s="1">
        <f t="shared" si="13"/>
        <v>-0.63163265306122363</v>
      </c>
      <c r="X112" s="3"/>
    </row>
    <row r="113" spans="1:24" x14ac:dyDescent="0.25">
      <c r="A113" t="s">
        <v>16</v>
      </c>
      <c r="C113">
        <v>52.049413000000001</v>
      </c>
      <c r="D113">
        <v>-0.57336509999999996</v>
      </c>
      <c r="E113">
        <v>4</v>
      </c>
      <c r="F113">
        <v>4</v>
      </c>
      <c r="G113">
        <v>2022</v>
      </c>
      <c r="H113">
        <v>12</v>
      </c>
      <c r="I113">
        <v>55</v>
      </c>
      <c r="J113">
        <v>38</v>
      </c>
      <c r="K113">
        <v>32.61</v>
      </c>
      <c r="L113">
        <v>0</v>
      </c>
      <c r="M113">
        <v>39.851999999999997</v>
      </c>
      <c r="N113">
        <v>0.28799999999999998</v>
      </c>
      <c r="P113" s="1">
        <f t="shared" si="7"/>
        <v>11.07</v>
      </c>
      <c r="Q113" s="3">
        <f t="shared" si="8"/>
        <v>-2.7999999999999936</v>
      </c>
      <c r="R113" s="3">
        <f t="shared" si="9"/>
        <v>-0.59999999999999964</v>
      </c>
      <c r="S113" s="3">
        <f t="shared" si="11"/>
        <v>-0.64999999999999958</v>
      </c>
      <c r="U113" s="1">
        <f t="shared" si="10"/>
        <v>11.338571428571429</v>
      </c>
      <c r="V113" s="3">
        <f t="shared" si="12"/>
        <v>-0.6499999999999968</v>
      </c>
      <c r="W113" s="1">
        <f t="shared" si="13"/>
        <v>-0.65469387755101949</v>
      </c>
      <c r="X113" s="3"/>
    </row>
    <row r="114" spans="1:24" x14ac:dyDescent="0.25">
      <c r="A114" t="s">
        <v>16</v>
      </c>
      <c r="C114">
        <v>52.049432699999997</v>
      </c>
      <c r="D114">
        <v>-0.5733589</v>
      </c>
      <c r="E114">
        <v>4</v>
      </c>
      <c r="F114">
        <v>4</v>
      </c>
      <c r="G114">
        <v>2022</v>
      </c>
      <c r="H114">
        <v>12</v>
      </c>
      <c r="I114">
        <v>55</v>
      </c>
      <c r="J114">
        <v>38.200000000000003</v>
      </c>
      <c r="K114">
        <v>32.61</v>
      </c>
      <c r="L114">
        <v>0</v>
      </c>
      <c r="M114">
        <v>39.6</v>
      </c>
      <c r="N114">
        <v>0.32400000000000001</v>
      </c>
      <c r="P114" s="1">
        <f t="shared" si="7"/>
        <v>11</v>
      </c>
      <c r="Q114" s="3">
        <f t="shared" si="8"/>
        <v>-0.70000000000000284</v>
      </c>
      <c r="R114" s="3">
        <f t="shared" si="9"/>
        <v>-0.79999999999999893</v>
      </c>
      <c r="S114" s="3">
        <f t="shared" si="11"/>
        <v>-0.65999999999999959</v>
      </c>
      <c r="U114" s="1">
        <f t="shared" si="10"/>
        <v>11.221428571428573</v>
      </c>
      <c r="V114" s="3">
        <f t="shared" si="12"/>
        <v>-0.66000000000000014</v>
      </c>
      <c r="W114" s="1">
        <f t="shared" si="13"/>
        <v>-0.68612244897959129</v>
      </c>
      <c r="X114" s="3"/>
    </row>
    <row r="115" spans="1:24" x14ac:dyDescent="0.25">
      <c r="A115" t="s">
        <v>16</v>
      </c>
      <c r="C115">
        <v>52.049452100000003</v>
      </c>
      <c r="D115">
        <v>-0.57335009999999997</v>
      </c>
      <c r="E115">
        <v>4</v>
      </c>
      <c r="F115">
        <v>4</v>
      </c>
      <c r="G115">
        <v>2022</v>
      </c>
      <c r="H115">
        <v>12</v>
      </c>
      <c r="I115">
        <v>55</v>
      </c>
      <c r="J115">
        <v>38.4</v>
      </c>
      <c r="K115">
        <v>32.61</v>
      </c>
      <c r="L115">
        <v>0</v>
      </c>
      <c r="M115">
        <v>40.427999999999997</v>
      </c>
      <c r="N115">
        <v>0.28799999999999998</v>
      </c>
      <c r="P115" s="1">
        <f t="shared" si="7"/>
        <v>11.23</v>
      </c>
      <c r="Q115" s="3">
        <f t="shared" si="8"/>
        <v>2.3000000000000043</v>
      </c>
      <c r="R115" s="3">
        <f t="shared" si="9"/>
        <v>-0.63999999999999879</v>
      </c>
      <c r="S115" s="3">
        <f t="shared" si="11"/>
        <v>-0.67714285714285694</v>
      </c>
      <c r="U115" s="1">
        <f t="shared" si="10"/>
        <v>11.071428571428571</v>
      </c>
      <c r="V115" s="3">
        <f t="shared" si="12"/>
        <v>-0.67714285714285616</v>
      </c>
      <c r="W115" s="1">
        <f t="shared" si="13"/>
        <v>-0.70428571428571374</v>
      </c>
      <c r="X115" s="3"/>
    </row>
    <row r="116" spans="1:24" x14ac:dyDescent="0.25">
      <c r="A116" t="s">
        <v>16</v>
      </c>
      <c r="C116">
        <v>52.049471199999999</v>
      </c>
      <c r="D116">
        <v>-0.5733395</v>
      </c>
      <c r="E116">
        <v>4</v>
      </c>
      <c r="F116">
        <v>4</v>
      </c>
      <c r="G116">
        <v>2022</v>
      </c>
      <c r="H116">
        <v>12</v>
      </c>
      <c r="I116">
        <v>55</v>
      </c>
      <c r="J116">
        <v>38.6</v>
      </c>
      <c r="K116">
        <v>32.61</v>
      </c>
      <c r="L116">
        <v>0</v>
      </c>
      <c r="M116">
        <v>40.247999999999998</v>
      </c>
      <c r="N116">
        <v>0.32400000000000001</v>
      </c>
      <c r="P116" s="1">
        <f t="shared" si="7"/>
        <v>11.18</v>
      </c>
      <c r="Q116" s="3">
        <f t="shared" si="8"/>
        <v>-0.50000000000000711</v>
      </c>
      <c r="R116" s="3">
        <f t="shared" si="9"/>
        <v>-0.41999999999999993</v>
      </c>
      <c r="S116" s="3">
        <f t="shared" si="11"/>
        <v>-0.72285714285714264</v>
      </c>
      <c r="U116" s="1">
        <f t="shared" si="10"/>
        <v>10.971428571428573</v>
      </c>
      <c r="V116" s="3">
        <f t="shared" si="12"/>
        <v>-0.72285714285714242</v>
      </c>
      <c r="W116" s="1">
        <f t="shared" si="13"/>
        <v>-0.7097959183673469</v>
      </c>
      <c r="X116" s="3"/>
    </row>
    <row r="117" spans="1:24" x14ac:dyDescent="0.25">
      <c r="A117" t="s">
        <v>16</v>
      </c>
      <c r="C117">
        <v>52.049489800000003</v>
      </c>
      <c r="D117">
        <v>-0.57332749999999999</v>
      </c>
      <c r="E117">
        <v>4</v>
      </c>
      <c r="F117">
        <v>4</v>
      </c>
      <c r="G117">
        <v>2022</v>
      </c>
      <c r="H117">
        <v>12</v>
      </c>
      <c r="I117">
        <v>55</v>
      </c>
      <c r="J117">
        <v>38.799999999999997</v>
      </c>
      <c r="K117">
        <v>32.61</v>
      </c>
      <c r="L117">
        <v>0</v>
      </c>
      <c r="M117">
        <v>39.456000000000003</v>
      </c>
      <c r="N117">
        <v>0.32400000000000001</v>
      </c>
      <c r="P117" s="1">
        <f t="shared" si="7"/>
        <v>10.96</v>
      </c>
      <c r="Q117" s="3">
        <f t="shared" si="8"/>
        <v>-2.1999999999999886</v>
      </c>
      <c r="R117" s="3">
        <f t="shared" si="9"/>
        <v>-0.72000000000000064</v>
      </c>
      <c r="S117" s="3">
        <f t="shared" si="11"/>
        <v>-0.76714285714285702</v>
      </c>
      <c r="U117" s="1">
        <f t="shared" si="10"/>
        <v>10.858571428571429</v>
      </c>
      <c r="V117" s="3">
        <f t="shared" si="12"/>
        <v>-0.76714285714285957</v>
      </c>
      <c r="W117" s="1">
        <f t="shared" si="13"/>
        <v>-0.71551020408163324</v>
      </c>
      <c r="X117" s="3"/>
    </row>
    <row r="118" spans="1:24" x14ac:dyDescent="0.25">
      <c r="A118" t="s">
        <v>16</v>
      </c>
      <c r="C118">
        <v>52.049507499999997</v>
      </c>
      <c r="D118">
        <v>-0.57331339999999997</v>
      </c>
      <c r="E118">
        <v>4</v>
      </c>
      <c r="F118">
        <v>4</v>
      </c>
      <c r="G118">
        <v>2022</v>
      </c>
      <c r="H118">
        <v>12</v>
      </c>
      <c r="I118">
        <v>55</v>
      </c>
      <c r="J118">
        <v>39</v>
      </c>
      <c r="K118">
        <v>32.61</v>
      </c>
      <c r="L118">
        <v>0</v>
      </c>
      <c r="M118">
        <v>38.555999999999997</v>
      </c>
      <c r="N118">
        <v>0.36</v>
      </c>
      <c r="P118" s="1">
        <f t="shared" si="7"/>
        <v>10.71</v>
      </c>
      <c r="Q118" s="3">
        <f t="shared" si="8"/>
        <v>-2.5</v>
      </c>
      <c r="R118" s="3">
        <f t="shared" si="9"/>
        <v>-0.90000000000000036</v>
      </c>
      <c r="S118" s="3">
        <f t="shared" si="11"/>
        <v>-0.752857142857143</v>
      </c>
      <c r="U118" s="1">
        <f t="shared" si="10"/>
        <v>10.762857142857143</v>
      </c>
      <c r="V118" s="3">
        <f t="shared" si="12"/>
        <v>-0.75285714285714178</v>
      </c>
      <c r="W118" s="1">
        <f t="shared" si="13"/>
        <v>-0.71408163265306179</v>
      </c>
      <c r="X118" s="3"/>
    </row>
    <row r="119" spans="1:24" x14ac:dyDescent="0.25">
      <c r="A119" t="s">
        <v>16</v>
      </c>
      <c r="C119">
        <v>52.049524499999997</v>
      </c>
      <c r="D119">
        <v>-0.57329790000000003</v>
      </c>
      <c r="E119">
        <v>4</v>
      </c>
      <c r="F119">
        <v>4</v>
      </c>
      <c r="G119">
        <v>2022</v>
      </c>
      <c r="H119">
        <v>12</v>
      </c>
      <c r="I119">
        <v>55</v>
      </c>
      <c r="J119">
        <v>39.200000000000003</v>
      </c>
      <c r="K119">
        <v>32.61</v>
      </c>
      <c r="L119">
        <v>0</v>
      </c>
      <c r="M119">
        <v>38.340000000000003</v>
      </c>
      <c r="N119">
        <v>0.36</v>
      </c>
      <c r="P119" s="1">
        <f t="shared" si="7"/>
        <v>10.65</v>
      </c>
      <c r="Q119" s="3">
        <f t="shared" si="8"/>
        <v>-0.60000000000000497</v>
      </c>
      <c r="R119" s="3">
        <f t="shared" si="9"/>
        <v>-0.98000000000000043</v>
      </c>
      <c r="S119" s="3">
        <f t="shared" si="11"/>
        <v>-0.7385714285714291</v>
      </c>
      <c r="U119" s="1">
        <f t="shared" si="10"/>
        <v>10.615714285714287</v>
      </c>
      <c r="V119" s="3">
        <f t="shared" si="12"/>
        <v>-0.7385714285714311</v>
      </c>
      <c r="W119" s="1">
        <f t="shared" si="13"/>
        <v>-0.69816326530612349</v>
      </c>
      <c r="X119" s="3"/>
    </row>
    <row r="120" spans="1:24" x14ac:dyDescent="0.25">
      <c r="A120" t="s">
        <v>16</v>
      </c>
      <c r="C120">
        <v>52.049540399999998</v>
      </c>
      <c r="D120">
        <v>-0.57328089999999998</v>
      </c>
      <c r="E120">
        <v>4</v>
      </c>
      <c r="F120">
        <v>4</v>
      </c>
      <c r="G120">
        <v>2022</v>
      </c>
      <c r="H120">
        <v>12</v>
      </c>
      <c r="I120">
        <v>55</v>
      </c>
      <c r="J120">
        <v>39.4</v>
      </c>
      <c r="K120">
        <v>32.61</v>
      </c>
      <c r="L120">
        <v>0</v>
      </c>
      <c r="M120">
        <v>37.008000000000003</v>
      </c>
      <c r="N120">
        <v>0.504</v>
      </c>
      <c r="P120" s="1">
        <f t="shared" si="7"/>
        <v>10.28</v>
      </c>
      <c r="Q120" s="3">
        <f t="shared" si="8"/>
        <v>-3.7000000000000099</v>
      </c>
      <c r="R120" s="3">
        <f t="shared" si="9"/>
        <v>-0.91000000000000014</v>
      </c>
      <c r="S120" s="3">
        <f t="shared" si="11"/>
        <v>-0.6900000000000005</v>
      </c>
      <c r="U120" s="1">
        <f t="shared" si="10"/>
        <v>10.454285714285714</v>
      </c>
      <c r="V120" s="3">
        <f t="shared" si="12"/>
        <v>-0.69000000000000128</v>
      </c>
      <c r="W120" s="1">
        <f t="shared" si="13"/>
        <v>-0.65795918367347028</v>
      </c>
      <c r="X120" s="3"/>
    </row>
    <row r="121" spans="1:24" x14ac:dyDescent="0.25">
      <c r="A121" t="s">
        <v>16</v>
      </c>
      <c r="C121">
        <v>52.049555300000002</v>
      </c>
      <c r="D121">
        <v>-0.57326200000000005</v>
      </c>
      <c r="E121">
        <v>4</v>
      </c>
      <c r="F121">
        <v>4</v>
      </c>
      <c r="G121">
        <v>2022</v>
      </c>
      <c r="H121">
        <v>12</v>
      </c>
      <c r="I121">
        <v>55</v>
      </c>
      <c r="J121">
        <v>39.6</v>
      </c>
      <c r="K121">
        <v>32.61</v>
      </c>
      <c r="L121">
        <v>0</v>
      </c>
      <c r="M121">
        <v>37.188000000000002</v>
      </c>
      <c r="N121">
        <v>0.54</v>
      </c>
      <c r="P121" s="1">
        <f t="shared" si="7"/>
        <v>10.33</v>
      </c>
      <c r="Q121" s="3">
        <f t="shared" si="8"/>
        <v>0.50000000000000711</v>
      </c>
      <c r="R121" s="3">
        <f t="shared" si="9"/>
        <v>-0.70000000000000107</v>
      </c>
      <c r="S121" s="3">
        <f t="shared" si="11"/>
        <v>-0.65000000000000036</v>
      </c>
      <c r="U121" s="1">
        <f t="shared" si="10"/>
        <v>10.318571428571429</v>
      </c>
      <c r="V121" s="3">
        <f t="shared" si="12"/>
        <v>-0.65000000000000036</v>
      </c>
      <c r="W121" s="1">
        <f t="shared" si="13"/>
        <v>-0.60163265306122526</v>
      </c>
      <c r="X121" s="3"/>
    </row>
    <row r="122" spans="1:24" x14ac:dyDescent="0.25">
      <c r="A122" t="s">
        <v>16</v>
      </c>
      <c r="C122">
        <v>52.049569099999999</v>
      </c>
      <c r="D122">
        <v>-0.57324140000000001</v>
      </c>
      <c r="E122">
        <v>4</v>
      </c>
      <c r="F122">
        <v>4</v>
      </c>
      <c r="G122">
        <v>2022</v>
      </c>
      <c r="H122">
        <v>12</v>
      </c>
      <c r="I122">
        <v>55</v>
      </c>
      <c r="J122">
        <v>39.799999999999997</v>
      </c>
      <c r="K122">
        <v>32.61</v>
      </c>
      <c r="L122">
        <v>0</v>
      </c>
      <c r="M122">
        <v>36.72</v>
      </c>
      <c r="N122">
        <v>0.57599999999999996</v>
      </c>
      <c r="P122" s="1">
        <f t="shared" si="7"/>
        <v>10.199999999999999</v>
      </c>
      <c r="Q122" s="3">
        <f t="shared" si="8"/>
        <v>-1.3000000000000078</v>
      </c>
      <c r="R122" s="3">
        <f t="shared" si="9"/>
        <v>-0.54000000000000092</v>
      </c>
      <c r="S122" s="3">
        <f t="shared" si="11"/>
        <v>-0.56571428571428584</v>
      </c>
      <c r="U122" s="1">
        <f t="shared" si="10"/>
        <v>10.232857142857142</v>
      </c>
      <c r="V122" s="3">
        <f t="shared" si="12"/>
        <v>-0.56571428571428761</v>
      </c>
      <c r="W122" s="1">
        <f t="shared" si="13"/>
        <v>-0.54612244897959272</v>
      </c>
      <c r="X122" s="3"/>
    </row>
    <row r="123" spans="1:24" x14ac:dyDescent="0.25">
      <c r="A123" t="s">
        <v>16</v>
      </c>
      <c r="C123">
        <v>52.049581799999999</v>
      </c>
      <c r="D123">
        <v>-0.57321949999999999</v>
      </c>
      <c r="E123">
        <v>4</v>
      </c>
      <c r="F123">
        <v>4</v>
      </c>
      <c r="G123">
        <v>2022</v>
      </c>
      <c r="H123">
        <v>12</v>
      </c>
      <c r="I123">
        <v>55</v>
      </c>
      <c r="J123">
        <v>40</v>
      </c>
      <c r="K123">
        <v>32.61</v>
      </c>
      <c r="L123">
        <v>0</v>
      </c>
      <c r="M123">
        <v>36.18</v>
      </c>
      <c r="N123">
        <v>0.57599999999999996</v>
      </c>
      <c r="P123" s="1">
        <f t="shared" si="7"/>
        <v>10.050000000000001</v>
      </c>
      <c r="Q123" s="3">
        <f t="shared" si="8"/>
        <v>-1.4999999999999858</v>
      </c>
      <c r="R123" s="3">
        <f t="shared" si="9"/>
        <v>-8.0000000000000071E-2</v>
      </c>
      <c r="S123" s="3">
        <f t="shared" si="11"/>
        <v>-0.44142857142857167</v>
      </c>
      <c r="U123" s="1">
        <f t="shared" si="10"/>
        <v>10.168571428571427</v>
      </c>
      <c r="V123" s="3">
        <f t="shared" si="12"/>
        <v>-0.44142857142857039</v>
      </c>
      <c r="W123" s="1">
        <f t="shared" si="13"/>
        <v>-0.4938775510204087</v>
      </c>
      <c r="X123" s="3"/>
    </row>
    <row r="124" spans="1:24" x14ac:dyDescent="0.25">
      <c r="A124" t="s">
        <v>16</v>
      </c>
      <c r="C124">
        <v>52.049593299999998</v>
      </c>
      <c r="D124">
        <v>-0.57319620000000004</v>
      </c>
      <c r="E124">
        <v>4</v>
      </c>
      <c r="F124">
        <v>4</v>
      </c>
      <c r="G124">
        <v>2022</v>
      </c>
      <c r="H124">
        <v>12</v>
      </c>
      <c r="I124">
        <v>55</v>
      </c>
      <c r="J124">
        <v>40.200000000000003</v>
      </c>
      <c r="K124">
        <v>32.61</v>
      </c>
      <c r="L124">
        <v>0</v>
      </c>
      <c r="M124">
        <v>36.036000000000001</v>
      </c>
      <c r="N124">
        <v>0.54</v>
      </c>
      <c r="P124" s="1">
        <f t="shared" si="7"/>
        <v>10.01</v>
      </c>
      <c r="Q124" s="3">
        <f t="shared" si="8"/>
        <v>-0.40000000000000924</v>
      </c>
      <c r="R124" s="3">
        <f t="shared" si="9"/>
        <v>-0.4399999999999995</v>
      </c>
      <c r="S124" s="3">
        <f t="shared" si="11"/>
        <v>-0.37285714285714305</v>
      </c>
      <c r="U124" s="1">
        <f t="shared" si="10"/>
        <v>10.112857142857143</v>
      </c>
      <c r="V124" s="3">
        <f t="shared" si="12"/>
        <v>-0.37285714285714455</v>
      </c>
      <c r="W124" s="1">
        <f t="shared" si="13"/>
        <v>-0.45000000000000029</v>
      </c>
      <c r="X124" s="3"/>
    </row>
    <row r="125" spans="1:24" x14ac:dyDescent="0.25">
      <c r="A125" t="s">
        <v>16</v>
      </c>
      <c r="C125">
        <v>52.0496038</v>
      </c>
      <c r="D125">
        <v>-0.57317119999999999</v>
      </c>
      <c r="E125">
        <v>4</v>
      </c>
      <c r="F125">
        <v>4</v>
      </c>
      <c r="G125">
        <v>2022</v>
      </c>
      <c r="H125">
        <v>12</v>
      </c>
      <c r="I125">
        <v>55</v>
      </c>
      <c r="J125">
        <v>40.4</v>
      </c>
      <c r="K125">
        <v>32.61</v>
      </c>
      <c r="L125">
        <v>0</v>
      </c>
      <c r="M125">
        <v>36.396000000000001</v>
      </c>
      <c r="N125">
        <v>0.64800000000000002</v>
      </c>
      <c r="P125" s="1">
        <f t="shared" si="7"/>
        <v>10.11</v>
      </c>
      <c r="Q125" s="3">
        <f t="shared" si="8"/>
        <v>0.99999999999999645</v>
      </c>
      <c r="R125" s="3">
        <f t="shared" si="9"/>
        <v>-0.30999999999999872</v>
      </c>
      <c r="S125" s="3">
        <f t="shared" si="11"/>
        <v>-0.36428571428571416</v>
      </c>
      <c r="U125" s="1">
        <f t="shared" si="10"/>
        <v>10.049999999999999</v>
      </c>
      <c r="V125" s="3">
        <f t="shared" si="12"/>
        <v>-0.36428571428571388</v>
      </c>
      <c r="W125" s="1">
        <f t="shared" si="13"/>
        <v>-0.40693877551020435</v>
      </c>
      <c r="X125" s="3"/>
    </row>
    <row r="126" spans="1:24" x14ac:dyDescent="0.25">
      <c r="A126" t="s">
        <v>16</v>
      </c>
      <c r="C126">
        <v>52.049613200000003</v>
      </c>
      <c r="D126">
        <v>-0.57314540000000003</v>
      </c>
      <c r="E126">
        <v>4</v>
      </c>
      <c r="F126">
        <v>4</v>
      </c>
      <c r="G126">
        <v>2022</v>
      </c>
      <c r="H126">
        <v>12</v>
      </c>
      <c r="I126">
        <v>55</v>
      </c>
      <c r="J126">
        <v>40.6</v>
      </c>
      <c r="K126">
        <v>32.61</v>
      </c>
      <c r="L126">
        <v>0</v>
      </c>
      <c r="M126">
        <v>36.72</v>
      </c>
      <c r="N126">
        <v>0.75600000000000001</v>
      </c>
      <c r="P126" s="1">
        <f t="shared" si="7"/>
        <v>10.199999999999999</v>
      </c>
      <c r="Q126" s="3">
        <f t="shared" si="8"/>
        <v>0.89999999999999858</v>
      </c>
      <c r="R126" s="3">
        <f t="shared" si="9"/>
        <v>-0.11000000000000121</v>
      </c>
      <c r="S126" s="3">
        <f t="shared" si="11"/>
        <v>-0.3728571428571425</v>
      </c>
      <c r="U126" s="1">
        <f t="shared" si="10"/>
        <v>10.012857142857143</v>
      </c>
      <c r="V126" s="3">
        <f t="shared" si="12"/>
        <v>-0.37285714285714278</v>
      </c>
      <c r="W126" s="1">
        <f t="shared" si="13"/>
        <v>-0.39163265306122469</v>
      </c>
      <c r="X126" s="3"/>
    </row>
    <row r="127" spans="1:24" x14ac:dyDescent="0.25">
      <c r="A127" t="s">
        <v>16</v>
      </c>
      <c r="C127">
        <v>52.049621600000002</v>
      </c>
      <c r="D127">
        <v>-0.57311889999999999</v>
      </c>
      <c r="E127">
        <v>4</v>
      </c>
      <c r="F127">
        <v>4</v>
      </c>
      <c r="G127">
        <v>2022</v>
      </c>
      <c r="H127">
        <v>12</v>
      </c>
      <c r="I127">
        <v>55</v>
      </c>
      <c r="J127">
        <v>40.799999999999997</v>
      </c>
      <c r="K127">
        <v>32.299999999999997</v>
      </c>
      <c r="L127">
        <v>0</v>
      </c>
      <c r="M127">
        <v>35.603999999999999</v>
      </c>
      <c r="N127">
        <v>0.68400000000000005</v>
      </c>
      <c r="P127" s="1">
        <f t="shared" si="7"/>
        <v>9.89</v>
      </c>
      <c r="Q127" s="3">
        <f t="shared" si="8"/>
        <v>-3.0999999999999872</v>
      </c>
      <c r="R127" s="3">
        <f t="shared" si="9"/>
        <v>-0.42999999999999972</v>
      </c>
      <c r="S127" s="3">
        <f t="shared" si="11"/>
        <v>-0.38285714285714256</v>
      </c>
      <c r="U127" s="1">
        <f t="shared" si="10"/>
        <v>9.9457142857142848</v>
      </c>
      <c r="V127" s="3">
        <f t="shared" si="12"/>
        <v>-0.38285714285714256</v>
      </c>
      <c r="W127" s="1">
        <f t="shared" si="13"/>
        <v>-0.41387755102040835</v>
      </c>
      <c r="X127" s="3"/>
    </row>
    <row r="128" spans="1:24" x14ac:dyDescent="0.25">
      <c r="A128" t="s">
        <v>16</v>
      </c>
      <c r="C128">
        <v>52.049629099999997</v>
      </c>
      <c r="D128">
        <v>-0.57309200000000005</v>
      </c>
      <c r="E128">
        <v>4</v>
      </c>
      <c r="F128">
        <v>4</v>
      </c>
      <c r="G128">
        <v>2022</v>
      </c>
      <c r="H128">
        <v>12</v>
      </c>
      <c r="I128">
        <v>55</v>
      </c>
      <c r="J128">
        <v>41</v>
      </c>
      <c r="K128">
        <v>32.61</v>
      </c>
      <c r="L128">
        <v>0</v>
      </c>
      <c r="M128">
        <v>35.603999999999999</v>
      </c>
      <c r="N128">
        <v>0.61199999999999999</v>
      </c>
      <c r="P128" s="1">
        <f t="shared" si="7"/>
        <v>9.89</v>
      </c>
      <c r="Q128" s="3">
        <f t="shared" si="8"/>
        <v>0</v>
      </c>
      <c r="R128" s="3">
        <f t="shared" si="9"/>
        <v>-0.63999999999999879</v>
      </c>
      <c r="S128" s="3">
        <f t="shared" si="11"/>
        <v>-0.34857142857142848</v>
      </c>
      <c r="U128" s="1">
        <f t="shared" si="10"/>
        <v>9.8685714285714283</v>
      </c>
      <c r="V128" s="3">
        <f t="shared" si="12"/>
        <v>-0.34857142857142875</v>
      </c>
      <c r="W128" s="1">
        <f t="shared" si="13"/>
        <v>-0.45244897959183661</v>
      </c>
      <c r="X128" s="3"/>
    </row>
    <row r="129" spans="1:24" x14ac:dyDescent="0.25">
      <c r="A129" t="s">
        <v>16</v>
      </c>
      <c r="C129">
        <v>52.049635899999998</v>
      </c>
      <c r="D129">
        <v>-0.57306449999999998</v>
      </c>
      <c r="E129">
        <v>4</v>
      </c>
      <c r="F129">
        <v>4</v>
      </c>
      <c r="G129">
        <v>2022</v>
      </c>
      <c r="H129">
        <v>12</v>
      </c>
      <c r="I129">
        <v>55</v>
      </c>
      <c r="J129">
        <v>41.2</v>
      </c>
      <c r="K129">
        <v>32.61</v>
      </c>
      <c r="L129">
        <v>0</v>
      </c>
      <c r="M129">
        <v>35.783999999999999</v>
      </c>
      <c r="N129">
        <v>0.57599999999999996</v>
      </c>
      <c r="P129" s="1">
        <f t="shared" si="7"/>
        <v>9.94</v>
      </c>
      <c r="Q129" s="3">
        <f t="shared" si="8"/>
        <v>0.49999999999998934</v>
      </c>
      <c r="R129" s="3">
        <f t="shared" si="9"/>
        <v>-0.59999999999999964</v>
      </c>
      <c r="S129" s="3">
        <f t="shared" si="11"/>
        <v>-0.45857142857142869</v>
      </c>
      <c r="U129" s="1">
        <f t="shared" si="10"/>
        <v>9.7957142857142845</v>
      </c>
      <c r="V129" s="3">
        <f t="shared" si="12"/>
        <v>-0.45857142857142996</v>
      </c>
      <c r="W129" s="1">
        <f t="shared" si="13"/>
        <v>-0.49510204081632636</v>
      </c>
      <c r="X129" s="3"/>
    </row>
    <row r="130" spans="1:24" x14ac:dyDescent="0.25">
      <c r="A130" t="s">
        <v>16</v>
      </c>
      <c r="C130">
        <v>52.049641700000002</v>
      </c>
      <c r="D130">
        <v>-0.57303740000000003</v>
      </c>
      <c r="E130">
        <v>4</v>
      </c>
      <c r="F130">
        <v>4</v>
      </c>
      <c r="G130">
        <v>2022</v>
      </c>
      <c r="H130">
        <v>12</v>
      </c>
      <c r="I130">
        <v>55</v>
      </c>
      <c r="J130">
        <v>41.4</v>
      </c>
      <c r="K130">
        <v>32.61</v>
      </c>
      <c r="L130">
        <v>0</v>
      </c>
      <c r="M130">
        <v>34.488</v>
      </c>
      <c r="N130">
        <v>0.93600000000000005</v>
      </c>
      <c r="P130" s="1">
        <f t="shared" si="7"/>
        <v>9.58</v>
      </c>
      <c r="Q130" s="3">
        <f t="shared" si="8"/>
        <v>-3.5999999999999943</v>
      </c>
      <c r="R130" s="3">
        <f t="shared" si="9"/>
        <v>-0.15000000000000036</v>
      </c>
      <c r="S130" s="3">
        <f t="shared" si="11"/>
        <v>-0.59714285714285709</v>
      </c>
      <c r="U130" s="1">
        <f t="shared" si="10"/>
        <v>9.73</v>
      </c>
      <c r="V130" s="3">
        <f t="shared" si="12"/>
        <v>-0.59714285714285609</v>
      </c>
      <c r="W130" s="1">
        <f t="shared" si="13"/>
        <v>-0.5434693877551019</v>
      </c>
      <c r="X130" s="3"/>
    </row>
    <row r="131" spans="1:24" x14ac:dyDescent="0.25">
      <c r="A131" t="s">
        <v>16</v>
      </c>
      <c r="C131">
        <v>52.0496464</v>
      </c>
      <c r="D131">
        <v>-0.57301029999999997</v>
      </c>
      <c r="E131">
        <v>4</v>
      </c>
      <c r="F131">
        <v>4</v>
      </c>
      <c r="G131">
        <v>2022</v>
      </c>
      <c r="H131">
        <v>12</v>
      </c>
      <c r="I131">
        <v>55</v>
      </c>
      <c r="J131">
        <v>41.6</v>
      </c>
      <c r="K131">
        <v>32.61</v>
      </c>
      <c r="L131">
        <v>0</v>
      </c>
      <c r="M131">
        <v>34.091999999999999</v>
      </c>
      <c r="N131">
        <v>0.93600000000000005</v>
      </c>
      <c r="P131" s="1">
        <f t="shared" ref="P131:P194" si="14">M131*1000/3600</f>
        <v>9.4700000000000006</v>
      </c>
      <c r="Q131" s="3">
        <f t="shared" si="8"/>
        <v>-1.0999999999999943</v>
      </c>
      <c r="R131" s="3">
        <f t="shared" si="9"/>
        <v>-0.20000000000000107</v>
      </c>
      <c r="S131" s="3">
        <f t="shared" si="11"/>
        <v>-0.6428571428571429</v>
      </c>
      <c r="U131" s="1">
        <f t="shared" si="10"/>
        <v>9.7014285714285702</v>
      </c>
      <c r="V131" s="3">
        <f t="shared" si="12"/>
        <v>-0.64285714285714235</v>
      </c>
      <c r="W131" s="1">
        <f t="shared" si="13"/>
        <v>-0.60571428571428554</v>
      </c>
      <c r="X131" s="3"/>
    </row>
    <row r="132" spans="1:24" x14ac:dyDescent="0.25">
      <c r="A132" t="s">
        <v>16</v>
      </c>
      <c r="C132">
        <v>52.049649799999997</v>
      </c>
      <c r="D132">
        <v>-0.5729824</v>
      </c>
      <c r="E132">
        <v>4</v>
      </c>
      <c r="F132">
        <v>4</v>
      </c>
      <c r="G132">
        <v>2022</v>
      </c>
      <c r="H132">
        <v>12</v>
      </c>
      <c r="I132">
        <v>55</v>
      </c>
      <c r="J132">
        <v>41.8</v>
      </c>
      <c r="K132">
        <v>32.61</v>
      </c>
      <c r="L132">
        <v>0</v>
      </c>
      <c r="M132">
        <v>34.56</v>
      </c>
      <c r="N132">
        <v>0.9</v>
      </c>
      <c r="P132" s="1">
        <f t="shared" si="14"/>
        <v>9.6</v>
      </c>
      <c r="Q132" s="3">
        <f t="shared" si="8"/>
        <v>1.2999999999999901</v>
      </c>
      <c r="R132" s="3">
        <f t="shared" si="9"/>
        <v>-1.08</v>
      </c>
      <c r="S132" s="3">
        <f t="shared" si="11"/>
        <v>-0.66285714285714292</v>
      </c>
      <c r="U132" s="1">
        <f t="shared" si="10"/>
        <v>9.5542857142857134</v>
      </c>
      <c r="V132" s="3">
        <f t="shared" si="12"/>
        <v>-0.66285714285714192</v>
      </c>
      <c r="W132" s="1">
        <f t="shared" si="13"/>
        <v>-0.66204081632653022</v>
      </c>
      <c r="X132" s="3"/>
    </row>
    <row r="133" spans="1:24" x14ac:dyDescent="0.25">
      <c r="A133" t="s">
        <v>16</v>
      </c>
      <c r="C133">
        <v>52.049652899999998</v>
      </c>
      <c r="D133">
        <v>-0.57295410000000002</v>
      </c>
      <c r="E133">
        <v>4</v>
      </c>
      <c r="F133">
        <v>4</v>
      </c>
      <c r="G133">
        <v>2022</v>
      </c>
      <c r="H133">
        <v>12</v>
      </c>
      <c r="I133">
        <v>55</v>
      </c>
      <c r="J133">
        <v>42</v>
      </c>
      <c r="K133">
        <v>32.61</v>
      </c>
      <c r="L133">
        <v>0</v>
      </c>
      <c r="M133">
        <v>35.064</v>
      </c>
      <c r="N133">
        <v>0.72</v>
      </c>
      <c r="P133" s="1">
        <f t="shared" si="14"/>
        <v>9.74</v>
      </c>
      <c r="Q133" s="3">
        <f t="shared" ref="Q133:Q196" si="15">10*($P133-$P132)</f>
        <v>1.4000000000000057</v>
      </c>
      <c r="R133" s="3">
        <f t="shared" si="9"/>
        <v>-1.08</v>
      </c>
      <c r="S133" s="3">
        <f t="shared" si="11"/>
        <v>-0.71142857142857152</v>
      </c>
      <c r="U133" s="1">
        <f t="shared" si="10"/>
        <v>9.3485714285714288</v>
      </c>
      <c r="V133" s="3">
        <f t="shared" si="12"/>
        <v>-0.71142857142857174</v>
      </c>
      <c r="W133" s="1">
        <f t="shared" si="13"/>
        <v>-0.66795918367346885</v>
      </c>
      <c r="X133" s="3"/>
    </row>
    <row r="134" spans="1:24" x14ac:dyDescent="0.25">
      <c r="A134" t="s">
        <v>16</v>
      </c>
      <c r="C134">
        <v>52.049655700000002</v>
      </c>
      <c r="D134">
        <v>-0.57292589999999999</v>
      </c>
      <c r="E134">
        <v>4</v>
      </c>
      <c r="F134">
        <v>4</v>
      </c>
      <c r="G134">
        <v>2022</v>
      </c>
      <c r="H134">
        <v>12</v>
      </c>
      <c r="I134">
        <v>55</v>
      </c>
      <c r="J134">
        <v>42.2</v>
      </c>
      <c r="K134">
        <v>32.61</v>
      </c>
      <c r="L134">
        <v>0</v>
      </c>
      <c r="M134">
        <v>34.884</v>
      </c>
      <c r="N134">
        <v>0.79200000000000004</v>
      </c>
      <c r="P134" s="1">
        <f t="shared" si="14"/>
        <v>9.69</v>
      </c>
      <c r="Q134" s="3">
        <f t="shared" si="15"/>
        <v>-0.50000000000000711</v>
      </c>
      <c r="R134" s="3">
        <f t="shared" si="9"/>
        <v>-0.75</v>
      </c>
      <c r="S134" s="3">
        <f t="shared" si="11"/>
        <v>-0.81857142857142862</v>
      </c>
      <c r="U134" s="1">
        <f t="shared" si="10"/>
        <v>9.225714285714286</v>
      </c>
      <c r="V134" s="3">
        <f t="shared" si="12"/>
        <v>-0.81857142857142762</v>
      </c>
      <c r="W134" s="1">
        <f t="shared" si="13"/>
        <v>-0.62591836734693851</v>
      </c>
      <c r="X134" s="3"/>
    </row>
    <row r="135" spans="1:24" x14ac:dyDescent="0.25">
      <c r="A135" t="s">
        <v>16</v>
      </c>
      <c r="C135">
        <v>52.0496579</v>
      </c>
      <c r="D135">
        <v>-0.57290010000000002</v>
      </c>
      <c r="E135">
        <v>4</v>
      </c>
      <c r="F135">
        <v>4</v>
      </c>
      <c r="G135">
        <v>2022</v>
      </c>
      <c r="H135">
        <v>12</v>
      </c>
      <c r="I135">
        <v>55</v>
      </c>
      <c r="J135">
        <v>42.4</v>
      </c>
      <c r="K135">
        <v>32.61</v>
      </c>
      <c r="L135">
        <v>0</v>
      </c>
      <c r="M135">
        <v>31.896000000000001</v>
      </c>
      <c r="N135">
        <v>1.3320000000000001</v>
      </c>
      <c r="P135" s="1">
        <f t="shared" si="14"/>
        <v>8.86</v>
      </c>
      <c r="Q135" s="3">
        <f t="shared" si="15"/>
        <v>-8.3000000000000007</v>
      </c>
      <c r="R135" s="3">
        <f t="shared" ref="R135:R198" si="16">($P138-$P132)</f>
        <v>-0.77999999999999936</v>
      </c>
      <c r="S135" s="3">
        <f t="shared" si="11"/>
        <v>-0.74285714285714277</v>
      </c>
      <c r="U135" s="1">
        <f t="shared" ref="U135:U198" si="17">AVERAGE(P132:P138)</f>
        <v>9.1328571428571426</v>
      </c>
      <c r="V135" s="3">
        <f t="shared" si="12"/>
        <v>-0.74285714285714199</v>
      </c>
      <c r="W135" s="1">
        <f t="shared" si="13"/>
        <v>-0.56326530612244896</v>
      </c>
      <c r="X135" s="3"/>
    </row>
    <row r="136" spans="1:24" x14ac:dyDescent="0.25">
      <c r="A136" t="s">
        <v>16</v>
      </c>
      <c r="C136">
        <v>52.049658600000001</v>
      </c>
      <c r="D136">
        <v>-0.57287520000000003</v>
      </c>
      <c r="E136">
        <v>4</v>
      </c>
      <c r="F136">
        <v>4</v>
      </c>
      <c r="G136">
        <v>2022</v>
      </c>
      <c r="H136">
        <v>12</v>
      </c>
      <c r="I136">
        <v>55</v>
      </c>
      <c r="J136">
        <v>42.6</v>
      </c>
      <c r="K136">
        <v>32.61</v>
      </c>
      <c r="L136">
        <v>0</v>
      </c>
      <c r="M136">
        <v>30.6</v>
      </c>
      <c r="N136">
        <v>1.044</v>
      </c>
      <c r="P136" s="1">
        <f t="shared" si="14"/>
        <v>8.5</v>
      </c>
      <c r="Q136" s="3">
        <f t="shared" si="15"/>
        <v>-3.5999999999999943</v>
      </c>
      <c r="R136" s="3">
        <f t="shared" si="16"/>
        <v>-0.9399999999999995</v>
      </c>
      <c r="S136" s="3">
        <f t="shared" si="11"/>
        <v>-0.5</v>
      </c>
      <c r="U136" s="1">
        <f t="shared" si="17"/>
        <v>9.0185714285714287</v>
      </c>
      <c r="V136" s="3">
        <f t="shared" si="12"/>
        <v>-0.5</v>
      </c>
      <c r="W136" s="1">
        <f t="shared" si="13"/>
        <v>-0.48306122448979594</v>
      </c>
      <c r="X136" s="3"/>
    </row>
    <row r="137" spans="1:24" x14ac:dyDescent="0.25">
      <c r="A137" t="s">
        <v>16</v>
      </c>
      <c r="C137">
        <v>52.049658299999997</v>
      </c>
      <c r="D137">
        <v>-0.57284919999999995</v>
      </c>
      <c r="E137">
        <v>4</v>
      </c>
      <c r="F137">
        <v>4</v>
      </c>
      <c r="G137">
        <v>2022</v>
      </c>
      <c r="H137">
        <v>12</v>
      </c>
      <c r="I137">
        <v>55</v>
      </c>
      <c r="J137">
        <v>42.8</v>
      </c>
      <c r="K137">
        <v>32.61</v>
      </c>
      <c r="L137">
        <v>0</v>
      </c>
      <c r="M137">
        <v>31.391999999999999</v>
      </c>
      <c r="N137">
        <v>1.1160000000000001</v>
      </c>
      <c r="P137" s="1">
        <f t="shared" si="14"/>
        <v>8.7200000000000006</v>
      </c>
      <c r="Q137" s="3">
        <f t="shared" si="15"/>
        <v>2.2000000000000064</v>
      </c>
      <c r="R137" s="3">
        <f t="shared" si="16"/>
        <v>-0.90000000000000036</v>
      </c>
      <c r="S137" s="3">
        <f t="shared" si="11"/>
        <v>-0.30285714285714299</v>
      </c>
      <c r="U137" s="1">
        <f t="shared" si="17"/>
        <v>8.8828571428571426</v>
      </c>
      <c r="V137" s="3">
        <f t="shared" si="12"/>
        <v>-0.30285714285714427</v>
      </c>
      <c r="W137" s="1">
        <f t="shared" si="13"/>
        <v>-0.3771428571428575</v>
      </c>
      <c r="X137" s="3"/>
    </row>
    <row r="138" spans="1:24" x14ac:dyDescent="0.25">
      <c r="A138" t="s">
        <v>16</v>
      </c>
      <c r="C138">
        <v>52.049650700000001</v>
      </c>
      <c r="D138">
        <v>-0.57282429999999995</v>
      </c>
      <c r="E138">
        <v>4</v>
      </c>
      <c r="F138">
        <v>4</v>
      </c>
      <c r="G138">
        <v>2022</v>
      </c>
      <c r="H138">
        <v>12</v>
      </c>
      <c r="I138">
        <v>55</v>
      </c>
      <c r="J138">
        <v>43</v>
      </c>
      <c r="K138">
        <v>32.61</v>
      </c>
      <c r="L138">
        <v>0</v>
      </c>
      <c r="M138">
        <v>31.751999999999999</v>
      </c>
      <c r="N138">
        <v>1.08</v>
      </c>
      <c r="P138" s="1">
        <f t="shared" si="14"/>
        <v>8.82</v>
      </c>
      <c r="Q138" s="3">
        <f t="shared" si="15"/>
        <v>0.99999999999999645</v>
      </c>
      <c r="R138" s="3">
        <f t="shared" si="16"/>
        <v>0.33000000000000007</v>
      </c>
      <c r="S138" s="3">
        <f t="shared" ref="S138:S201" si="18">AVERAGE(R135:R141)</f>
        <v>-0.20428571428571449</v>
      </c>
      <c r="U138" s="1">
        <f t="shared" si="17"/>
        <v>8.8114285714285714</v>
      </c>
      <c r="V138" s="3">
        <f t="shared" si="12"/>
        <v>-0.20428571428571551</v>
      </c>
      <c r="W138" s="1">
        <f t="shared" si="13"/>
        <v>-0.24918367346938833</v>
      </c>
      <c r="X138" s="3"/>
    </row>
    <row r="139" spans="1:24" x14ac:dyDescent="0.25">
      <c r="A139" t="s">
        <v>16</v>
      </c>
      <c r="C139">
        <v>52.049644999999998</v>
      </c>
      <c r="D139">
        <v>-0.57279999999999998</v>
      </c>
      <c r="E139">
        <v>4</v>
      </c>
      <c r="F139">
        <v>4</v>
      </c>
      <c r="G139">
        <v>2022</v>
      </c>
      <c r="H139">
        <v>12</v>
      </c>
      <c r="I139">
        <v>55</v>
      </c>
      <c r="J139">
        <v>43.2</v>
      </c>
      <c r="K139">
        <v>32.61</v>
      </c>
      <c r="L139">
        <v>0</v>
      </c>
      <c r="M139">
        <v>31.68</v>
      </c>
      <c r="N139">
        <v>1.224</v>
      </c>
      <c r="P139" s="1">
        <f t="shared" si="14"/>
        <v>8.8000000000000007</v>
      </c>
      <c r="Q139" s="3">
        <f t="shared" si="15"/>
        <v>-0.19999999999999574</v>
      </c>
      <c r="R139" s="3">
        <f t="shared" si="16"/>
        <v>0.61999999999999922</v>
      </c>
      <c r="S139" s="3">
        <f t="shared" si="18"/>
        <v>-0.1014285714285718</v>
      </c>
      <c r="U139" s="1">
        <f t="shared" si="17"/>
        <v>8.8485714285714288</v>
      </c>
      <c r="V139" s="3">
        <f t="shared" si="12"/>
        <v>-0.10142857142857054</v>
      </c>
      <c r="W139" s="1">
        <f t="shared" si="13"/>
        <v>-0.14816326530612325</v>
      </c>
      <c r="X139" s="3"/>
    </row>
    <row r="140" spans="1:24" x14ac:dyDescent="0.25">
      <c r="A140" t="s">
        <v>16</v>
      </c>
      <c r="C140">
        <v>52.049638799999997</v>
      </c>
      <c r="D140">
        <v>-0.5727757</v>
      </c>
      <c r="E140">
        <v>4</v>
      </c>
      <c r="F140">
        <v>4</v>
      </c>
      <c r="G140">
        <v>2022</v>
      </c>
      <c r="H140">
        <v>12</v>
      </c>
      <c r="I140">
        <v>55</v>
      </c>
      <c r="J140">
        <v>43.4</v>
      </c>
      <c r="K140">
        <v>32.61</v>
      </c>
      <c r="L140">
        <v>0</v>
      </c>
      <c r="M140">
        <v>31.643999999999998</v>
      </c>
      <c r="N140">
        <v>1.5840000000000001</v>
      </c>
      <c r="P140" s="1">
        <f t="shared" si="14"/>
        <v>8.7899999999999991</v>
      </c>
      <c r="Q140" s="3">
        <f t="shared" si="15"/>
        <v>-0.10000000000001563</v>
      </c>
      <c r="R140" s="3">
        <f t="shared" si="16"/>
        <v>0.29999999999999893</v>
      </c>
      <c r="S140" s="3">
        <f t="shared" si="18"/>
        <v>2.9999999999999614E-2</v>
      </c>
      <c r="U140" s="1">
        <f t="shared" si="17"/>
        <v>8.9228571428571417</v>
      </c>
      <c r="V140" s="3">
        <f t="shared" ref="V140:V203" si="19">($U143-$U137)</f>
        <v>2.9999999999997584E-2</v>
      </c>
      <c r="W140" s="1">
        <f t="shared" si="13"/>
        <v>-0.10163265306122504</v>
      </c>
      <c r="X140" s="3"/>
    </row>
    <row r="141" spans="1:24" x14ac:dyDescent="0.25">
      <c r="A141" t="s">
        <v>16</v>
      </c>
      <c r="C141">
        <v>52.049631599999998</v>
      </c>
      <c r="D141">
        <v>-0.57275129999999996</v>
      </c>
      <c r="E141">
        <v>4</v>
      </c>
      <c r="F141">
        <v>4</v>
      </c>
      <c r="G141">
        <v>2022</v>
      </c>
      <c r="H141">
        <v>12</v>
      </c>
      <c r="I141">
        <v>55</v>
      </c>
      <c r="J141">
        <v>43.6</v>
      </c>
      <c r="K141">
        <v>32.61</v>
      </c>
      <c r="L141">
        <v>0</v>
      </c>
      <c r="M141">
        <v>33.084000000000003</v>
      </c>
      <c r="N141">
        <v>1.476</v>
      </c>
      <c r="P141" s="1">
        <f t="shared" si="14"/>
        <v>9.19</v>
      </c>
      <c r="Q141" s="3">
        <f t="shared" si="15"/>
        <v>4.0000000000000036</v>
      </c>
      <c r="R141" s="3">
        <f t="shared" si="16"/>
        <v>-6.0000000000000497E-2</v>
      </c>
      <c r="S141" s="3">
        <f t="shared" si="18"/>
        <v>7.7142857142856763E-2</v>
      </c>
      <c r="U141" s="1">
        <f t="shared" si="17"/>
        <v>8.928571428571427</v>
      </c>
      <c r="V141" s="3">
        <f t="shared" si="19"/>
        <v>7.7142857142856514E-2</v>
      </c>
      <c r="W141" s="1">
        <f t="shared" ref="W141:W204" si="20">AVERAGE(V138:V144)</f>
        <v>-9.0612244897959313E-2</v>
      </c>
      <c r="X141" s="3"/>
    </row>
    <row r="142" spans="1:24" x14ac:dyDescent="0.25">
      <c r="A142" t="s">
        <v>16</v>
      </c>
      <c r="C142">
        <v>52.049622599999999</v>
      </c>
      <c r="D142">
        <v>-0.57272860000000003</v>
      </c>
      <c r="E142">
        <v>4</v>
      </c>
      <c r="F142">
        <v>4</v>
      </c>
      <c r="G142">
        <v>2022</v>
      </c>
      <c r="H142">
        <v>12</v>
      </c>
      <c r="I142">
        <v>55</v>
      </c>
      <c r="J142">
        <v>43.8</v>
      </c>
      <c r="K142">
        <v>32.61</v>
      </c>
      <c r="L142">
        <v>0</v>
      </c>
      <c r="M142">
        <v>32.832000000000001</v>
      </c>
      <c r="N142">
        <v>1.548</v>
      </c>
      <c r="P142" s="1">
        <f t="shared" si="14"/>
        <v>9.1199999999999992</v>
      </c>
      <c r="Q142" s="3">
        <f t="shared" si="15"/>
        <v>-0.70000000000000284</v>
      </c>
      <c r="R142" s="3">
        <f t="shared" si="16"/>
        <v>-6.0000000000000497E-2</v>
      </c>
      <c r="S142" s="3">
        <f t="shared" si="18"/>
        <v>-3.5714285714285969E-2</v>
      </c>
      <c r="U142" s="1">
        <f t="shared" si="17"/>
        <v>8.9171428571428581</v>
      </c>
      <c r="V142" s="3">
        <f t="shared" si="19"/>
        <v>-3.5714285714286476E-2</v>
      </c>
      <c r="W142" s="1">
        <f t="shared" si="20"/>
        <v>-8.8979591836734942E-2</v>
      </c>
      <c r="X142" s="3"/>
    </row>
    <row r="143" spans="1:24" x14ac:dyDescent="0.25">
      <c r="A143" t="s">
        <v>16</v>
      </c>
      <c r="C143">
        <v>52.049612500000002</v>
      </c>
      <c r="D143">
        <v>-0.57270759999999998</v>
      </c>
      <c r="E143">
        <v>4</v>
      </c>
      <c r="F143">
        <v>4</v>
      </c>
      <c r="G143">
        <v>2022</v>
      </c>
      <c r="H143">
        <v>12</v>
      </c>
      <c r="I143">
        <v>55</v>
      </c>
      <c r="J143">
        <v>44</v>
      </c>
      <c r="K143">
        <v>32.61</v>
      </c>
      <c r="L143">
        <v>0</v>
      </c>
      <c r="M143">
        <v>32.472000000000001</v>
      </c>
      <c r="N143">
        <v>1.476</v>
      </c>
      <c r="P143" s="1">
        <f t="shared" si="14"/>
        <v>9.02</v>
      </c>
      <c r="Q143" s="3">
        <f t="shared" si="15"/>
        <v>-0.99999999999999645</v>
      </c>
      <c r="R143" s="3">
        <f t="shared" si="16"/>
        <v>-1.9999999999999574E-2</v>
      </c>
      <c r="S143" s="3">
        <f t="shared" si="18"/>
        <v>-0.17428571428571438</v>
      </c>
      <c r="U143" s="1">
        <f t="shared" si="17"/>
        <v>8.9128571428571401</v>
      </c>
      <c r="V143" s="3">
        <f t="shared" si="19"/>
        <v>-0.1742857142857126</v>
      </c>
      <c r="W143" s="1">
        <f t="shared" si="20"/>
        <v>-0.10163265306122453</v>
      </c>
      <c r="X143" s="3"/>
    </row>
    <row r="144" spans="1:24" x14ac:dyDescent="0.25">
      <c r="A144" t="s">
        <v>16</v>
      </c>
      <c r="C144">
        <v>52.049602899999996</v>
      </c>
      <c r="D144">
        <v>-0.57268830000000004</v>
      </c>
      <c r="E144">
        <v>4</v>
      </c>
      <c r="F144">
        <v>4</v>
      </c>
      <c r="G144">
        <v>2022</v>
      </c>
      <c r="H144">
        <v>12</v>
      </c>
      <c r="I144">
        <v>55</v>
      </c>
      <c r="J144">
        <v>44.2</v>
      </c>
      <c r="K144">
        <v>32.61</v>
      </c>
      <c r="L144">
        <v>0</v>
      </c>
      <c r="M144">
        <v>31.536000000000001</v>
      </c>
      <c r="N144">
        <v>1.3680000000000001</v>
      </c>
      <c r="P144" s="1">
        <f t="shared" si="14"/>
        <v>8.76</v>
      </c>
      <c r="Q144" s="3">
        <f t="shared" si="15"/>
        <v>-2.5999999999999979</v>
      </c>
      <c r="R144" s="3">
        <f t="shared" si="16"/>
        <v>-0.57000000000000028</v>
      </c>
      <c r="S144" s="3">
        <f t="shared" si="18"/>
        <v>-0.22571428571428573</v>
      </c>
      <c r="U144" s="1">
        <f t="shared" si="17"/>
        <v>8.8885714285714279</v>
      </c>
      <c r="V144" s="3">
        <f t="shared" si="19"/>
        <v>-0.2257142857142842</v>
      </c>
      <c r="W144" s="1">
        <f t="shared" si="20"/>
        <v>-0.11469387755101985</v>
      </c>
      <c r="X144" s="3"/>
    </row>
    <row r="145" spans="1:24" x14ac:dyDescent="0.25">
      <c r="A145" t="s">
        <v>16</v>
      </c>
      <c r="C145">
        <v>52.049592199999999</v>
      </c>
      <c r="D145">
        <v>-0.57267000000000001</v>
      </c>
      <c r="E145">
        <v>4</v>
      </c>
      <c r="F145">
        <v>4</v>
      </c>
      <c r="G145">
        <v>2022</v>
      </c>
      <c r="H145">
        <v>12</v>
      </c>
      <c r="I145">
        <v>55</v>
      </c>
      <c r="J145">
        <v>44.4</v>
      </c>
      <c r="K145">
        <v>32.61</v>
      </c>
      <c r="L145">
        <v>0</v>
      </c>
      <c r="M145">
        <v>31.463999999999999</v>
      </c>
      <c r="N145">
        <v>1.9079999999999999</v>
      </c>
      <c r="P145" s="1">
        <f t="shared" si="14"/>
        <v>8.74</v>
      </c>
      <c r="Q145" s="3">
        <f t="shared" si="15"/>
        <v>-0.19999999999999574</v>
      </c>
      <c r="R145" s="3">
        <f t="shared" si="16"/>
        <v>-0.45999999999999908</v>
      </c>
      <c r="S145" s="3">
        <f t="shared" si="18"/>
        <v>-0.19285714285714281</v>
      </c>
      <c r="U145" s="1">
        <f t="shared" si="17"/>
        <v>8.8128571428571423</v>
      </c>
      <c r="V145" s="3">
        <f t="shared" si="19"/>
        <v>-0.19285714285714484</v>
      </c>
      <c r="W145" s="1">
        <f t="shared" si="20"/>
        <v>-0.10775510204081559</v>
      </c>
      <c r="X145" s="3"/>
    </row>
    <row r="146" spans="1:24" x14ac:dyDescent="0.25">
      <c r="A146" t="s">
        <v>16</v>
      </c>
      <c r="C146">
        <v>52.049581099999997</v>
      </c>
      <c r="D146">
        <v>-0.57265189999999999</v>
      </c>
      <c r="E146">
        <v>4</v>
      </c>
      <c r="F146">
        <v>4</v>
      </c>
      <c r="G146">
        <v>2022</v>
      </c>
      <c r="H146">
        <v>12</v>
      </c>
      <c r="I146">
        <v>55</v>
      </c>
      <c r="J146">
        <v>44.6</v>
      </c>
      <c r="K146">
        <v>32.61</v>
      </c>
      <c r="L146">
        <v>0</v>
      </c>
      <c r="M146">
        <v>31.571999999999999</v>
      </c>
      <c r="N146">
        <v>1.6559999999999999</v>
      </c>
      <c r="P146" s="1">
        <f t="shared" si="14"/>
        <v>8.77</v>
      </c>
      <c r="Q146" s="3">
        <f t="shared" si="15"/>
        <v>0.29999999999999361</v>
      </c>
      <c r="R146" s="3">
        <f t="shared" si="16"/>
        <v>-0.34999999999999964</v>
      </c>
      <c r="S146" s="3">
        <f t="shared" si="18"/>
        <v>-0.18999999999999975</v>
      </c>
      <c r="U146" s="1">
        <f t="shared" si="17"/>
        <v>8.7485714285714291</v>
      </c>
      <c r="V146" s="3">
        <f t="shared" si="19"/>
        <v>-0.18999999999999773</v>
      </c>
      <c r="W146" s="1">
        <f t="shared" si="20"/>
        <v>-5.7142857142856433E-2</v>
      </c>
      <c r="X146" s="3"/>
    </row>
    <row r="147" spans="1:24" x14ac:dyDescent="0.25">
      <c r="A147" t="s">
        <v>16</v>
      </c>
      <c r="C147">
        <v>52.0495698</v>
      </c>
      <c r="D147">
        <v>-0.57263419999999998</v>
      </c>
      <c r="E147">
        <v>4</v>
      </c>
      <c r="F147">
        <v>4</v>
      </c>
      <c r="G147">
        <v>2022</v>
      </c>
      <c r="H147">
        <v>12</v>
      </c>
      <c r="I147">
        <v>55</v>
      </c>
      <c r="J147">
        <v>44.8</v>
      </c>
      <c r="K147">
        <v>32.61</v>
      </c>
      <c r="L147">
        <v>0</v>
      </c>
      <c r="M147">
        <v>31.032</v>
      </c>
      <c r="N147">
        <v>1.548</v>
      </c>
      <c r="P147" s="1">
        <f t="shared" si="14"/>
        <v>8.6199999999999992</v>
      </c>
      <c r="Q147" s="3">
        <f t="shared" si="15"/>
        <v>-1.5000000000000036</v>
      </c>
      <c r="R147" s="3">
        <f t="shared" si="16"/>
        <v>-6.0000000000000497E-2</v>
      </c>
      <c r="S147" s="3">
        <f t="shared" si="18"/>
        <v>-6.1428571428571131E-2</v>
      </c>
      <c r="U147" s="1">
        <f t="shared" si="17"/>
        <v>8.7028571428571428</v>
      </c>
      <c r="V147" s="3">
        <f t="shared" si="19"/>
        <v>-6.1428571428569612E-2</v>
      </c>
      <c r="W147" s="1">
        <f t="shared" si="20"/>
        <v>4.1224489795919084E-2</v>
      </c>
      <c r="X147" s="3"/>
    </row>
    <row r="148" spans="1:24" x14ac:dyDescent="0.25">
      <c r="A148" t="s">
        <v>16</v>
      </c>
      <c r="C148">
        <v>52.049557800000002</v>
      </c>
      <c r="D148">
        <v>-0.5726175</v>
      </c>
      <c r="E148">
        <v>4</v>
      </c>
      <c r="F148">
        <v>4</v>
      </c>
      <c r="G148">
        <v>2022</v>
      </c>
      <c r="H148">
        <v>12</v>
      </c>
      <c r="I148">
        <v>55</v>
      </c>
      <c r="J148">
        <v>45</v>
      </c>
      <c r="K148">
        <v>32.61</v>
      </c>
      <c r="L148">
        <v>0</v>
      </c>
      <c r="M148">
        <v>31.175999999999998</v>
      </c>
      <c r="N148">
        <v>1.5840000000000001</v>
      </c>
      <c r="P148" s="1">
        <f t="shared" si="14"/>
        <v>8.66</v>
      </c>
      <c r="Q148" s="3">
        <f t="shared" si="15"/>
        <v>0.40000000000000924</v>
      </c>
      <c r="R148" s="3">
        <f t="shared" si="16"/>
        <v>0.16999999999999993</v>
      </c>
      <c r="S148" s="3">
        <f t="shared" si="18"/>
        <v>0.12571428571428608</v>
      </c>
      <c r="U148" s="1">
        <f t="shared" si="17"/>
        <v>8.7242857142857133</v>
      </c>
      <c r="V148" s="3">
        <f t="shared" si="19"/>
        <v>0.12571428571428633</v>
      </c>
      <c r="W148" s="1">
        <f t="shared" si="20"/>
        <v>0.16510204081632729</v>
      </c>
      <c r="X148" s="3"/>
    </row>
    <row r="149" spans="1:24" x14ac:dyDescent="0.25">
      <c r="A149" t="s">
        <v>16</v>
      </c>
      <c r="C149">
        <v>52.049545500000001</v>
      </c>
      <c r="D149">
        <v>-0.57260109999999997</v>
      </c>
      <c r="E149">
        <v>4</v>
      </c>
      <c r="F149">
        <v>4</v>
      </c>
      <c r="G149">
        <v>2022</v>
      </c>
      <c r="H149">
        <v>12</v>
      </c>
      <c r="I149">
        <v>55</v>
      </c>
      <c r="J149">
        <v>45.2</v>
      </c>
      <c r="K149">
        <v>32.61</v>
      </c>
      <c r="L149">
        <v>0</v>
      </c>
      <c r="M149">
        <v>31.212</v>
      </c>
      <c r="N149">
        <v>1.44</v>
      </c>
      <c r="P149" s="1">
        <f t="shared" si="14"/>
        <v>8.67</v>
      </c>
      <c r="Q149" s="3">
        <f t="shared" si="15"/>
        <v>9.9999999999997868E-2</v>
      </c>
      <c r="R149" s="3">
        <f t="shared" si="16"/>
        <v>-3.9999999999999147E-2</v>
      </c>
      <c r="S149" s="3">
        <f t="shared" si="18"/>
        <v>0.31857142857142889</v>
      </c>
      <c r="U149" s="1">
        <f t="shared" si="17"/>
        <v>8.7228571428571424</v>
      </c>
      <c r="V149" s="3">
        <f t="shared" si="19"/>
        <v>0.31857142857142762</v>
      </c>
      <c r="W149" s="1">
        <f t="shared" si="20"/>
        <v>0.30816326530612365</v>
      </c>
      <c r="X149" s="3"/>
    </row>
    <row r="150" spans="1:24" x14ac:dyDescent="0.25">
      <c r="A150" t="s">
        <v>16</v>
      </c>
      <c r="C150">
        <v>52.0495327</v>
      </c>
      <c r="D150">
        <v>-0.57258600000000004</v>
      </c>
      <c r="E150">
        <v>4</v>
      </c>
      <c r="F150">
        <v>4</v>
      </c>
      <c r="G150">
        <v>2022</v>
      </c>
      <c r="H150">
        <v>12</v>
      </c>
      <c r="I150">
        <v>55</v>
      </c>
      <c r="J150">
        <v>45.4</v>
      </c>
      <c r="K150">
        <v>32.909999999999997</v>
      </c>
      <c r="L150">
        <v>0</v>
      </c>
      <c r="M150">
        <v>31.32</v>
      </c>
      <c r="N150">
        <v>1.8360000000000001</v>
      </c>
      <c r="P150" s="1">
        <f t="shared" si="14"/>
        <v>8.6999999999999993</v>
      </c>
      <c r="Q150" s="3">
        <f t="shared" si="15"/>
        <v>0.29999999999999361</v>
      </c>
      <c r="R150" s="3">
        <f t="shared" si="16"/>
        <v>0.88000000000000078</v>
      </c>
      <c r="S150" s="3">
        <f t="shared" si="18"/>
        <v>0.51428571428571479</v>
      </c>
      <c r="U150" s="1">
        <f t="shared" si="17"/>
        <v>8.8271428571428583</v>
      </c>
      <c r="V150" s="3">
        <f t="shared" si="19"/>
        <v>0.51428571428571601</v>
      </c>
      <c r="W150" s="1">
        <f t="shared" si="20"/>
        <v>0.46775510204081705</v>
      </c>
      <c r="X150" s="3"/>
    </row>
    <row r="151" spans="1:24" x14ac:dyDescent="0.25">
      <c r="A151" t="s">
        <v>16</v>
      </c>
      <c r="C151">
        <v>52.049519799999999</v>
      </c>
      <c r="D151">
        <v>-0.57257049999999998</v>
      </c>
      <c r="E151">
        <v>4</v>
      </c>
      <c r="F151">
        <v>4</v>
      </c>
      <c r="G151">
        <v>2022</v>
      </c>
      <c r="H151">
        <v>12</v>
      </c>
      <c r="I151">
        <v>55</v>
      </c>
      <c r="J151">
        <v>45.6</v>
      </c>
      <c r="K151">
        <v>32.909999999999997</v>
      </c>
      <c r="L151">
        <v>0</v>
      </c>
      <c r="M151">
        <v>32.076000000000001</v>
      </c>
      <c r="N151">
        <v>1.512</v>
      </c>
      <c r="P151" s="1">
        <f t="shared" si="14"/>
        <v>8.91</v>
      </c>
      <c r="Q151" s="3">
        <f t="shared" si="15"/>
        <v>2.1000000000000085</v>
      </c>
      <c r="R151" s="3">
        <f t="shared" si="16"/>
        <v>0.74000000000000021</v>
      </c>
      <c r="S151" s="3">
        <f t="shared" si="18"/>
        <v>0.64142857142857201</v>
      </c>
      <c r="U151" s="1">
        <f t="shared" si="17"/>
        <v>8.9385714285714286</v>
      </c>
      <c r="V151" s="3">
        <f t="shared" si="19"/>
        <v>0.64142857142857324</v>
      </c>
      <c r="W151" s="1">
        <f t="shared" si="20"/>
        <v>0.61510204081632713</v>
      </c>
      <c r="X151" s="3"/>
    </row>
    <row r="152" spans="1:24" x14ac:dyDescent="0.25">
      <c r="A152" t="s">
        <v>16</v>
      </c>
      <c r="C152">
        <v>52.049506899999997</v>
      </c>
      <c r="D152">
        <v>-0.57255560000000005</v>
      </c>
      <c r="E152">
        <v>4</v>
      </c>
      <c r="F152">
        <v>4</v>
      </c>
      <c r="G152">
        <v>2022</v>
      </c>
      <c r="H152">
        <v>12</v>
      </c>
      <c r="I152">
        <v>55</v>
      </c>
      <c r="J152">
        <v>45.8</v>
      </c>
      <c r="K152">
        <v>32.909999999999997</v>
      </c>
      <c r="L152">
        <v>0</v>
      </c>
      <c r="M152">
        <v>31.428000000000001</v>
      </c>
      <c r="N152">
        <v>1.6919999999999999</v>
      </c>
      <c r="P152" s="1">
        <f t="shared" si="14"/>
        <v>8.73</v>
      </c>
      <c r="Q152" s="3">
        <f t="shared" si="15"/>
        <v>-1.7999999999999972</v>
      </c>
      <c r="R152" s="3">
        <f t="shared" si="16"/>
        <v>0.89000000000000057</v>
      </c>
      <c r="S152" s="3">
        <f t="shared" si="18"/>
        <v>0.80857142857142905</v>
      </c>
      <c r="U152" s="1">
        <f t="shared" si="17"/>
        <v>9.0671428571428567</v>
      </c>
      <c r="V152" s="3">
        <f t="shared" si="19"/>
        <v>0.80857142857142961</v>
      </c>
      <c r="W152" s="1">
        <f t="shared" si="20"/>
        <v>0.73795918367347013</v>
      </c>
      <c r="X152" s="3"/>
    </row>
    <row r="153" spans="1:24" x14ac:dyDescent="0.25">
      <c r="A153" t="s">
        <v>16</v>
      </c>
      <c r="C153">
        <v>52.0494919</v>
      </c>
      <c r="D153">
        <v>-0.57254090000000002</v>
      </c>
      <c r="E153">
        <v>4</v>
      </c>
      <c r="F153">
        <v>4</v>
      </c>
      <c r="G153">
        <v>2022</v>
      </c>
      <c r="H153">
        <v>12</v>
      </c>
      <c r="I153">
        <v>55</v>
      </c>
      <c r="J153">
        <v>46</v>
      </c>
      <c r="K153">
        <v>32.909999999999997</v>
      </c>
      <c r="L153">
        <v>0</v>
      </c>
      <c r="M153">
        <v>34.200000000000003</v>
      </c>
      <c r="N153">
        <v>1.3320000000000001</v>
      </c>
      <c r="P153" s="1">
        <f t="shared" si="14"/>
        <v>9.5</v>
      </c>
      <c r="Q153" s="3">
        <f t="shared" si="15"/>
        <v>7.6999999999999957</v>
      </c>
      <c r="R153" s="3">
        <f t="shared" si="16"/>
        <v>1.0200000000000014</v>
      </c>
      <c r="S153" s="3">
        <f t="shared" si="18"/>
        <v>0.92714285714285738</v>
      </c>
      <c r="U153" s="1">
        <f t="shared" si="17"/>
        <v>9.2171428571428589</v>
      </c>
      <c r="V153" s="3">
        <f t="shared" si="19"/>
        <v>0.92714285714285616</v>
      </c>
      <c r="W153" s="1">
        <f t="shared" si="20"/>
        <v>0.82938775510204166</v>
      </c>
      <c r="X153" s="3"/>
    </row>
    <row r="154" spans="1:24" x14ac:dyDescent="0.25">
      <c r="A154" t="s">
        <v>16</v>
      </c>
      <c r="C154">
        <v>52.0494773</v>
      </c>
      <c r="D154">
        <v>-0.57252689999999995</v>
      </c>
      <c r="E154">
        <v>4</v>
      </c>
      <c r="F154">
        <v>4</v>
      </c>
      <c r="G154">
        <v>2022</v>
      </c>
      <c r="H154">
        <v>12</v>
      </c>
      <c r="I154">
        <v>55</v>
      </c>
      <c r="J154">
        <v>46.2</v>
      </c>
      <c r="K154">
        <v>32.909999999999997</v>
      </c>
      <c r="L154">
        <v>0</v>
      </c>
      <c r="M154">
        <v>33.840000000000003</v>
      </c>
      <c r="N154">
        <v>1.224</v>
      </c>
      <c r="P154" s="1">
        <f t="shared" si="14"/>
        <v>9.4</v>
      </c>
      <c r="Q154" s="3">
        <f t="shared" si="15"/>
        <v>-0.99999999999999645</v>
      </c>
      <c r="R154" s="3">
        <f t="shared" si="16"/>
        <v>0.83000000000000007</v>
      </c>
      <c r="S154" s="3">
        <f t="shared" si="18"/>
        <v>0.97000000000000008</v>
      </c>
      <c r="U154" s="1">
        <f t="shared" si="17"/>
        <v>9.3657142857142865</v>
      </c>
      <c r="V154" s="3">
        <f t="shared" si="19"/>
        <v>0.97000000000000064</v>
      </c>
      <c r="W154" s="1">
        <f t="shared" si="20"/>
        <v>0.88571428571428612</v>
      </c>
      <c r="X154" s="3"/>
    </row>
    <row r="155" spans="1:24" x14ac:dyDescent="0.25">
      <c r="A155" t="s">
        <v>16</v>
      </c>
      <c r="C155">
        <v>52.049461999999998</v>
      </c>
      <c r="D155">
        <v>-0.57251370000000001</v>
      </c>
      <c r="E155">
        <v>4</v>
      </c>
      <c r="F155">
        <v>4</v>
      </c>
      <c r="G155">
        <v>2022</v>
      </c>
      <c r="H155">
        <v>12</v>
      </c>
      <c r="I155">
        <v>55</v>
      </c>
      <c r="J155">
        <v>46.4</v>
      </c>
      <c r="K155">
        <v>32.909999999999997</v>
      </c>
      <c r="L155">
        <v>0</v>
      </c>
      <c r="M155">
        <v>34.415999999999997</v>
      </c>
      <c r="N155">
        <v>1.6559999999999999</v>
      </c>
      <c r="P155" s="1">
        <f t="shared" si="14"/>
        <v>9.56</v>
      </c>
      <c r="Q155" s="3">
        <f t="shared" si="15"/>
        <v>1.6000000000000014</v>
      </c>
      <c r="R155" s="3">
        <f t="shared" si="16"/>
        <v>1.3399999999999999</v>
      </c>
      <c r="S155" s="3">
        <f t="shared" si="18"/>
        <v>0.98571428571428577</v>
      </c>
      <c r="U155" s="1">
        <f t="shared" si="17"/>
        <v>9.531428571428572</v>
      </c>
      <c r="V155" s="3">
        <f t="shared" si="19"/>
        <v>0.98571428571428754</v>
      </c>
      <c r="W155" s="1">
        <f t="shared" si="20"/>
        <v>0.9169387755102042</v>
      </c>
      <c r="X155" s="3"/>
    </row>
    <row r="156" spans="1:24" x14ac:dyDescent="0.25">
      <c r="A156" t="s">
        <v>16</v>
      </c>
      <c r="C156">
        <v>52.049446199999998</v>
      </c>
      <c r="D156">
        <v>-0.57250060000000003</v>
      </c>
      <c r="E156">
        <v>4</v>
      </c>
      <c r="F156">
        <v>4</v>
      </c>
      <c r="G156">
        <v>2022</v>
      </c>
      <c r="H156">
        <v>12</v>
      </c>
      <c r="I156">
        <v>55</v>
      </c>
      <c r="J156">
        <v>46.6</v>
      </c>
      <c r="K156">
        <v>32.909999999999997</v>
      </c>
      <c r="L156">
        <v>0</v>
      </c>
      <c r="M156">
        <v>34.991999999999997</v>
      </c>
      <c r="N156">
        <v>1.6559999999999999</v>
      </c>
      <c r="P156" s="1">
        <f t="shared" si="14"/>
        <v>9.7200000000000006</v>
      </c>
      <c r="Q156" s="3">
        <f t="shared" si="15"/>
        <v>1.6000000000000014</v>
      </c>
      <c r="R156" s="3">
        <f t="shared" si="16"/>
        <v>0.78999999999999915</v>
      </c>
      <c r="S156" s="3">
        <f t="shared" si="18"/>
        <v>0.95857142857142841</v>
      </c>
      <c r="U156" s="1">
        <f t="shared" si="17"/>
        <v>9.7542857142857144</v>
      </c>
      <c r="V156" s="3">
        <f t="shared" si="19"/>
        <v>0.95857142857142819</v>
      </c>
      <c r="W156" s="1">
        <f t="shared" si="20"/>
        <v>0.90551020408163241</v>
      </c>
      <c r="X156" s="3"/>
    </row>
    <row r="157" spans="1:24" x14ac:dyDescent="0.25">
      <c r="A157" t="s">
        <v>16</v>
      </c>
      <c r="C157">
        <v>52.0494305</v>
      </c>
      <c r="D157">
        <v>-0.572488</v>
      </c>
      <c r="E157">
        <v>4</v>
      </c>
      <c r="F157">
        <v>4</v>
      </c>
      <c r="G157">
        <v>2022</v>
      </c>
      <c r="H157">
        <v>12</v>
      </c>
      <c r="I157">
        <v>55</v>
      </c>
      <c r="J157">
        <v>46.8</v>
      </c>
      <c r="K157">
        <v>32.909999999999997</v>
      </c>
      <c r="L157">
        <v>0</v>
      </c>
      <c r="M157">
        <v>35.064</v>
      </c>
      <c r="N157">
        <v>1.548</v>
      </c>
      <c r="P157" s="1">
        <f t="shared" si="14"/>
        <v>9.74</v>
      </c>
      <c r="Q157" s="3">
        <f t="shared" si="15"/>
        <v>0.19999999999999574</v>
      </c>
      <c r="R157" s="3">
        <f t="shared" si="16"/>
        <v>1.1799999999999997</v>
      </c>
      <c r="S157" s="3">
        <f t="shared" si="18"/>
        <v>0.90857142857142825</v>
      </c>
      <c r="U157" s="1">
        <f t="shared" si="17"/>
        <v>9.9085714285714293</v>
      </c>
      <c r="V157" s="3">
        <f t="shared" si="19"/>
        <v>0.90857142857142748</v>
      </c>
      <c r="W157" s="1">
        <f t="shared" si="20"/>
        <v>0.8622448979591838</v>
      </c>
      <c r="X157" s="3"/>
    </row>
    <row r="158" spans="1:24" x14ac:dyDescent="0.25">
      <c r="A158" t="s">
        <v>16</v>
      </c>
      <c r="C158">
        <v>52.049413800000004</v>
      </c>
      <c r="D158">
        <v>-0.57247610000000004</v>
      </c>
      <c r="E158">
        <v>4</v>
      </c>
      <c r="F158">
        <v>4</v>
      </c>
      <c r="G158">
        <v>2022</v>
      </c>
      <c r="H158">
        <v>12</v>
      </c>
      <c r="I158">
        <v>55</v>
      </c>
      <c r="J158">
        <v>47</v>
      </c>
      <c r="K158">
        <v>32.61</v>
      </c>
      <c r="L158">
        <v>0</v>
      </c>
      <c r="M158">
        <v>36.252000000000002</v>
      </c>
      <c r="N158">
        <v>1.3680000000000001</v>
      </c>
      <c r="P158" s="1">
        <f t="shared" si="14"/>
        <v>10.07</v>
      </c>
      <c r="Q158" s="3">
        <f t="shared" si="15"/>
        <v>3.3000000000000007</v>
      </c>
      <c r="R158" s="3">
        <f t="shared" si="16"/>
        <v>0.84999999999999964</v>
      </c>
      <c r="S158" s="3">
        <f t="shared" si="18"/>
        <v>0.85999999999999965</v>
      </c>
      <c r="U158" s="1">
        <f t="shared" si="17"/>
        <v>10.052857142857144</v>
      </c>
      <c r="V158" s="3">
        <f t="shared" si="19"/>
        <v>0.85999999999999943</v>
      </c>
      <c r="W158" s="1">
        <f t="shared" si="20"/>
        <v>0.79530612244897925</v>
      </c>
      <c r="X158" s="3"/>
    </row>
    <row r="159" spans="1:24" x14ac:dyDescent="0.25">
      <c r="A159" t="s">
        <v>16</v>
      </c>
      <c r="C159">
        <v>52.049396799999997</v>
      </c>
      <c r="D159">
        <v>-0.57246490000000005</v>
      </c>
      <c r="E159">
        <v>4</v>
      </c>
      <c r="F159">
        <v>4</v>
      </c>
      <c r="G159">
        <v>2022</v>
      </c>
      <c r="H159">
        <v>12</v>
      </c>
      <c r="I159">
        <v>55</v>
      </c>
      <c r="J159">
        <v>47.2</v>
      </c>
      <c r="K159">
        <v>32.61</v>
      </c>
      <c r="L159">
        <v>0</v>
      </c>
      <c r="M159">
        <v>37.043999999999997</v>
      </c>
      <c r="N159">
        <v>1.1519999999999999</v>
      </c>
      <c r="P159" s="1">
        <f t="shared" si="14"/>
        <v>10.29</v>
      </c>
      <c r="Q159" s="3">
        <f t="shared" si="15"/>
        <v>2.1999999999999886</v>
      </c>
      <c r="R159" s="3">
        <f t="shared" si="16"/>
        <v>0.69999999999999929</v>
      </c>
      <c r="S159" s="3">
        <f t="shared" si="18"/>
        <v>0.72857142857142854</v>
      </c>
      <c r="U159" s="1">
        <f t="shared" si="17"/>
        <v>10.175714285714287</v>
      </c>
      <c r="V159" s="3">
        <f t="shared" si="19"/>
        <v>0.72857142857142776</v>
      </c>
      <c r="W159" s="1">
        <f t="shared" si="20"/>
        <v>0.71897959183673399</v>
      </c>
      <c r="X159" s="3"/>
    </row>
    <row r="160" spans="1:24" x14ac:dyDescent="0.25">
      <c r="A160" t="s">
        <v>16</v>
      </c>
      <c r="C160">
        <v>52.049379000000002</v>
      </c>
      <c r="D160">
        <v>-0.57245369999999995</v>
      </c>
      <c r="E160">
        <v>4</v>
      </c>
      <c r="F160">
        <v>4</v>
      </c>
      <c r="G160">
        <v>2022</v>
      </c>
      <c r="H160">
        <v>12</v>
      </c>
      <c r="I160">
        <v>55</v>
      </c>
      <c r="J160">
        <v>47.4</v>
      </c>
      <c r="K160">
        <v>32.61</v>
      </c>
      <c r="L160">
        <v>0</v>
      </c>
      <c r="M160">
        <v>38.088000000000001</v>
      </c>
      <c r="N160">
        <v>1.44</v>
      </c>
      <c r="P160" s="1">
        <f t="shared" si="14"/>
        <v>10.58</v>
      </c>
      <c r="Q160" s="3">
        <f t="shared" si="15"/>
        <v>2.9000000000000092</v>
      </c>
      <c r="R160" s="3">
        <f t="shared" si="16"/>
        <v>0.66999999999999993</v>
      </c>
      <c r="S160" s="3">
        <f t="shared" si="18"/>
        <v>0.62428571428571444</v>
      </c>
      <c r="U160" s="1">
        <f t="shared" si="17"/>
        <v>10.274285714285714</v>
      </c>
      <c r="V160" s="3">
        <f t="shared" si="19"/>
        <v>0.62428571428571544</v>
      </c>
      <c r="W160" s="1">
        <f t="shared" si="20"/>
        <v>0.64387755102040756</v>
      </c>
      <c r="X160" s="3"/>
    </row>
    <row r="161" spans="1:24" x14ac:dyDescent="0.25">
      <c r="A161" t="s">
        <v>16</v>
      </c>
      <c r="C161">
        <v>52.049361699999999</v>
      </c>
      <c r="D161">
        <v>-0.57244200000000001</v>
      </c>
      <c r="E161">
        <v>4</v>
      </c>
      <c r="F161">
        <v>4</v>
      </c>
      <c r="G161">
        <v>2022</v>
      </c>
      <c r="H161">
        <v>12</v>
      </c>
      <c r="I161">
        <v>55</v>
      </c>
      <c r="J161">
        <v>47.6</v>
      </c>
      <c r="K161">
        <v>32.61</v>
      </c>
      <c r="L161">
        <v>0</v>
      </c>
      <c r="M161">
        <v>37.475999999999999</v>
      </c>
      <c r="N161">
        <v>1.224</v>
      </c>
      <c r="P161" s="1">
        <f t="shared" si="14"/>
        <v>10.41</v>
      </c>
      <c r="Q161" s="3">
        <f t="shared" si="15"/>
        <v>-1.6999999999999993</v>
      </c>
      <c r="R161" s="3">
        <f t="shared" si="16"/>
        <v>0.49000000000000021</v>
      </c>
      <c r="S161" s="3">
        <f t="shared" si="18"/>
        <v>0.50142857142857167</v>
      </c>
      <c r="U161" s="1">
        <f t="shared" si="17"/>
        <v>10.391428571428571</v>
      </c>
      <c r="V161" s="3">
        <f t="shared" si="19"/>
        <v>0.50142857142856911</v>
      </c>
      <c r="W161" s="1">
        <f t="shared" si="20"/>
        <v>0.57142857142857117</v>
      </c>
      <c r="X161" s="3"/>
    </row>
    <row r="162" spans="1:24" x14ac:dyDescent="0.25">
      <c r="A162" t="s">
        <v>16</v>
      </c>
      <c r="C162">
        <v>52.049344300000001</v>
      </c>
      <c r="D162">
        <v>-0.57243140000000003</v>
      </c>
      <c r="E162">
        <v>4</v>
      </c>
      <c r="F162">
        <v>4</v>
      </c>
      <c r="G162">
        <v>2022</v>
      </c>
      <c r="H162">
        <v>12</v>
      </c>
      <c r="I162">
        <v>55</v>
      </c>
      <c r="J162">
        <v>47.8</v>
      </c>
      <c r="K162">
        <v>32.61</v>
      </c>
      <c r="L162">
        <v>0</v>
      </c>
      <c r="M162">
        <v>37.512</v>
      </c>
      <c r="N162">
        <v>1.08</v>
      </c>
      <c r="P162" s="1">
        <f t="shared" si="14"/>
        <v>10.42</v>
      </c>
      <c r="Q162" s="3">
        <f t="shared" si="15"/>
        <v>9.9999999999997868E-2</v>
      </c>
      <c r="R162" s="3">
        <f t="shared" si="16"/>
        <v>0.42000000000000171</v>
      </c>
      <c r="S162" s="3">
        <f t="shared" si="18"/>
        <v>0.45142857142857168</v>
      </c>
      <c r="U162" s="1">
        <f t="shared" si="17"/>
        <v>10.482857142857142</v>
      </c>
      <c r="V162" s="3">
        <f t="shared" si="19"/>
        <v>0.45142857142857018</v>
      </c>
      <c r="W162" s="1">
        <f t="shared" si="20"/>
        <v>0.5077551020408162</v>
      </c>
      <c r="X162" s="3"/>
    </row>
    <row r="163" spans="1:24" x14ac:dyDescent="0.25">
      <c r="A163" t="s">
        <v>16</v>
      </c>
      <c r="C163">
        <v>52.049326700000002</v>
      </c>
      <c r="D163">
        <v>-0.57242130000000002</v>
      </c>
      <c r="E163">
        <v>4</v>
      </c>
      <c r="F163">
        <v>4</v>
      </c>
      <c r="G163">
        <v>2022</v>
      </c>
      <c r="H163">
        <v>12</v>
      </c>
      <c r="I163">
        <v>55</v>
      </c>
      <c r="J163">
        <v>48</v>
      </c>
      <c r="K163">
        <v>32.61</v>
      </c>
      <c r="L163">
        <v>0</v>
      </c>
      <c r="M163">
        <v>37.475999999999999</v>
      </c>
      <c r="N163">
        <v>1.476</v>
      </c>
      <c r="P163" s="1">
        <f t="shared" si="14"/>
        <v>10.41</v>
      </c>
      <c r="Q163" s="3">
        <f t="shared" si="15"/>
        <v>-9.9999999999997868E-2</v>
      </c>
      <c r="R163" s="3">
        <f t="shared" si="16"/>
        <v>6.0000000000000497E-2</v>
      </c>
      <c r="S163" s="3">
        <f t="shared" si="18"/>
        <v>0.43285714285714327</v>
      </c>
      <c r="U163" s="1">
        <f t="shared" si="17"/>
        <v>10.532857142857145</v>
      </c>
      <c r="V163" s="3">
        <f t="shared" si="19"/>
        <v>0.43285714285714327</v>
      </c>
      <c r="W163" s="1">
        <f t="shared" si="20"/>
        <v>0.47204081632653022</v>
      </c>
      <c r="X163" s="3"/>
    </row>
    <row r="164" spans="1:24" x14ac:dyDescent="0.25">
      <c r="A164" t="s">
        <v>16</v>
      </c>
      <c r="C164">
        <v>52.049308600000003</v>
      </c>
      <c r="D164">
        <v>-0.57241160000000002</v>
      </c>
      <c r="E164">
        <v>4</v>
      </c>
      <c r="F164">
        <v>4</v>
      </c>
      <c r="G164">
        <v>2022</v>
      </c>
      <c r="H164">
        <v>12</v>
      </c>
      <c r="I164">
        <v>55</v>
      </c>
      <c r="J164">
        <v>48.2</v>
      </c>
      <c r="K164">
        <v>32.61</v>
      </c>
      <c r="L164">
        <v>0</v>
      </c>
      <c r="M164">
        <v>38.015999999999998</v>
      </c>
      <c r="N164">
        <v>1.512</v>
      </c>
      <c r="P164" s="1">
        <f t="shared" si="14"/>
        <v>10.56</v>
      </c>
      <c r="Q164" s="3">
        <f t="shared" si="15"/>
        <v>1.5000000000000036</v>
      </c>
      <c r="R164" s="3">
        <f t="shared" si="16"/>
        <v>0.32000000000000028</v>
      </c>
      <c r="S164" s="3">
        <f t="shared" si="18"/>
        <v>0.40142857142857175</v>
      </c>
      <c r="U164" s="1">
        <f t="shared" si="17"/>
        <v>10.554285714285713</v>
      </c>
      <c r="V164" s="3">
        <f t="shared" si="19"/>
        <v>0.40142857142857302</v>
      </c>
      <c r="W164" s="1">
        <f t="shared" si="20"/>
        <v>0.46775510204081577</v>
      </c>
      <c r="X164" s="3"/>
    </row>
    <row r="165" spans="1:24" x14ac:dyDescent="0.25">
      <c r="A165" t="s">
        <v>16</v>
      </c>
      <c r="C165">
        <v>52.049290200000002</v>
      </c>
      <c r="D165">
        <v>-0.57240219999999997</v>
      </c>
      <c r="E165">
        <v>4</v>
      </c>
      <c r="F165">
        <v>4</v>
      </c>
      <c r="G165">
        <v>2022</v>
      </c>
      <c r="H165">
        <v>12</v>
      </c>
      <c r="I165">
        <v>55</v>
      </c>
      <c r="J165">
        <v>48.4</v>
      </c>
      <c r="K165">
        <v>32.61</v>
      </c>
      <c r="L165">
        <v>0</v>
      </c>
      <c r="M165">
        <v>38.555999999999997</v>
      </c>
      <c r="N165">
        <v>1.8</v>
      </c>
      <c r="P165" s="1">
        <f t="shared" si="14"/>
        <v>10.71</v>
      </c>
      <c r="Q165" s="3">
        <f t="shared" si="15"/>
        <v>1.5000000000000036</v>
      </c>
      <c r="R165" s="3">
        <f t="shared" si="16"/>
        <v>0.5</v>
      </c>
      <c r="S165" s="3">
        <f t="shared" si="18"/>
        <v>0.41428571428571431</v>
      </c>
      <c r="U165" s="1">
        <f t="shared" si="17"/>
        <v>10.627142857142857</v>
      </c>
      <c r="V165" s="3">
        <f t="shared" si="19"/>
        <v>0.41428571428571459</v>
      </c>
      <c r="W165" s="1">
        <f t="shared" si="20"/>
        <v>0.49020408163265244</v>
      </c>
      <c r="X165" s="3"/>
    </row>
    <row r="166" spans="1:24" x14ac:dyDescent="0.25">
      <c r="A166" t="s">
        <v>16</v>
      </c>
      <c r="C166">
        <v>52.049272100000003</v>
      </c>
      <c r="D166">
        <v>-0.57239309999999999</v>
      </c>
      <c r="E166">
        <v>4</v>
      </c>
      <c r="F166">
        <v>4</v>
      </c>
      <c r="G166">
        <v>2022</v>
      </c>
      <c r="H166">
        <v>12</v>
      </c>
      <c r="I166">
        <v>55</v>
      </c>
      <c r="J166">
        <v>48.6</v>
      </c>
      <c r="K166">
        <v>32.61</v>
      </c>
      <c r="L166">
        <v>0</v>
      </c>
      <c r="M166">
        <v>38.304000000000002</v>
      </c>
      <c r="N166">
        <v>1.3680000000000001</v>
      </c>
      <c r="P166" s="1">
        <f t="shared" si="14"/>
        <v>10.64</v>
      </c>
      <c r="Q166" s="3">
        <f t="shared" si="15"/>
        <v>-0.70000000000000284</v>
      </c>
      <c r="R166" s="3">
        <f t="shared" si="16"/>
        <v>0.57000000000000028</v>
      </c>
      <c r="S166" s="3">
        <f t="shared" si="18"/>
        <v>0.47857142857142826</v>
      </c>
      <c r="U166" s="1">
        <f t="shared" si="17"/>
        <v>10.707142857142857</v>
      </c>
      <c r="V166" s="3">
        <f t="shared" si="19"/>
        <v>0.47857142857142598</v>
      </c>
      <c r="W166" s="1">
        <f t="shared" si="20"/>
        <v>0.51918367346938743</v>
      </c>
      <c r="X166" s="3"/>
    </row>
    <row r="167" spans="1:24" x14ac:dyDescent="0.25">
      <c r="A167" t="s">
        <v>16</v>
      </c>
      <c r="C167">
        <v>52.049253499999999</v>
      </c>
      <c r="D167">
        <v>-0.57238370000000005</v>
      </c>
      <c r="E167">
        <v>4</v>
      </c>
      <c r="F167">
        <v>4</v>
      </c>
      <c r="G167">
        <v>2022</v>
      </c>
      <c r="H167">
        <v>12</v>
      </c>
      <c r="I167">
        <v>55</v>
      </c>
      <c r="J167">
        <v>48.8</v>
      </c>
      <c r="K167">
        <v>32.61</v>
      </c>
      <c r="L167">
        <v>0</v>
      </c>
      <c r="M167">
        <v>38.628</v>
      </c>
      <c r="N167">
        <v>1.1879999999999999</v>
      </c>
      <c r="P167" s="1">
        <f t="shared" si="14"/>
        <v>10.73</v>
      </c>
      <c r="Q167" s="3">
        <f t="shared" si="15"/>
        <v>0.89999999999999858</v>
      </c>
      <c r="R167" s="3">
        <f t="shared" si="16"/>
        <v>0.44999999999999929</v>
      </c>
      <c r="S167" s="3">
        <f t="shared" si="18"/>
        <v>0.59428571428571375</v>
      </c>
      <c r="U167" s="1">
        <f t="shared" si="17"/>
        <v>10.792857142857144</v>
      </c>
      <c r="V167" s="3">
        <f t="shared" si="19"/>
        <v>0.59428571428571431</v>
      </c>
      <c r="W167" s="1">
        <f t="shared" si="20"/>
        <v>0.54938775510204019</v>
      </c>
      <c r="X167" s="3"/>
    </row>
    <row r="168" spans="1:24" x14ac:dyDescent="0.25">
      <c r="A168" t="s">
        <v>16</v>
      </c>
      <c r="C168">
        <v>52.0492347</v>
      </c>
      <c r="D168">
        <v>-0.5723741</v>
      </c>
      <c r="E168">
        <v>4</v>
      </c>
      <c r="F168">
        <v>4</v>
      </c>
      <c r="G168">
        <v>2022</v>
      </c>
      <c r="H168">
        <v>12</v>
      </c>
      <c r="I168">
        <v>55</v>
      </c>
      <c r="J168">
        <v>49</v>
      </c>
      <c r="K168">
        <v>32.909999999999997</v>
      </c>
      <c r="L168">
        <v>0</v>
      </c>
      <c r="M168">
        <v>39.311999999999998</v>
      </c>
      <c r="N168">
        <v>1.1160000000000001</v>
      </c>
      <c r="P168" s="1">
        <f t="shared" si="14"/>
        <v>10.92</v>
      </c>
      <c r="Q168" s="3">
        <f t="shared" si="15"/>
        <v>1.899999999999995</v>
      </c>
      <c r="R168" s="3">
        <f t="shared" si="16"/>
        <v>0.57999999999999829</v>
      </c>
      <c r="S168" s="3">
        <f t="shared" si="18"/>
        <v>0.65857142857142803</v>
      </c>
      <c r="U168" s="1">
        <f t="shared" si="17"/>
        <v>10.897142857142857</v>
      </c>
      <c r="V168" s="3">
        <f t="shared" si="19"/>
        <v>0.6585714285714257</v>
      </c>
      <c r="W168" s="1">
        <f t="shared" si="20"/>
        <v>0.57755102040816253</v>
      </c>
      <c r="X168" s="3"/>
    </row>
    <row r="169" spans="1:24" x14ac:dyDescent="0.25">
      <c r="A169" t="s">
        <v>16</v>
      </c>
      <c r="C169">
        <v>52.049215699999998</v>
      </c>
      <c r="D169">
        <v>-0.57236430000000005</v>
      </c>
      <c r="E169">
        <v>4</v>
      </c>
      <c r="F169">
        <v>4</v>
      </c>
      <c r="G169">
        <v>2022</v>
      </c>
      <c r="H169">
        <v>12</v>
      </c>
      <c r="I169">
        <v>55</v>
      </c>
      <c r="J169">
        <v>49.2</v>
      </c>
      <c r="K169">
        <v>32.909999999999997</v>
      </c>
      <c r="L169">
        <v>0</v>
      </c>
      <c r="M169">
        <v>39.527999999999999</v>
      </c>
      <c r="N169">
        <v>1.26</v>
      </c>
      <c r="P169" s="1">
        <f t="shared" si="14"/>
        <v>10.98</v>
      </c>
      <c r="Q169" s="3">
        <f t="shared" si="15"/>
        <v>0.60000000000000497</v>
      </c>
      <c r="R169" s="3">
        <f t="shared" si="16"/>
        <v>0.86999999999999922</v>
      </c>
      <c r="S169" s="3">
        <f t="shared" si="18"/>
        <v>0.65428571428571358</v>
      </c>
      <c r="U169" s="1">
        <f t="shared" si="17"/>
        <v>11.011428571428571</v>
      </c>
      <c r="V169" s="3">
        <f t="shared" si="19"/>
        <v>0.6542857142857148</v>
      </c>
      <c r="W169" s="1">
        <f t="shared" si="20"/>
        <v>0.59244897959183596</v>
      </c>
      <c r="X169" s="3"/>
    </row>
    <row r="170" spans="1:24" x14ac:dyDescent="0.25">
      <c r="A170" t="s">
        <v>16</v>
      </c>
      <c r="C170">
        <v>52.049196799999997</v>
      </c>
      <c r="D170">
        <v>-0.57235409999999998</v>
      </c>
      <c r="E170">
        <v>4</v>
      </c>
      <c r="F170">
        <v>4</v>
      </c>
      <c r="G170">
        <v>2022</v>
      </c>
      <c r="H170">
        <v>12</v>
      </c>
      <c r="I170">
        <v>55</v>
      </c>
      <c r="J170">
        <v>49.4</v>
      </c>
      <c r="K170">
        <v>32.909999999999997</v>
      </c>
      <c r="L170">
        <v>0</v>
      </c>
      <c r="M170">
        <v>39.636000000000003</v>
      </c>
      <c r="N170">
        <v>1.512</v>
      </c>
      <c r="P170" s="1">
        <f t="shared" si="14"/>
        <v>11.01</v>
      </c>
      <c r="Q170" s="3">
        <f t="shared" si="15"/>
        <v>0.29999999999999361</v>
      </c>
      <c r="R170" s="3">
        <f t="shared" si="16"/>
        <v>0.86999999999999922</v>
      </c>
      <c r="S170" s="3">
        <f t="shared" si="18"/>
        <v>0.64428571428571346</v>
      </c>
      <c r="U170" s="1">
        <f t="shared" si="17"/>
        <v>11.148571428571428</v>
      </c>
      <c r="V170" s="3">
        <f t="shared" si="19"/>
        <v>0.64428571428571324</v>
      </c>
      <c r="W170" s="1">
        <f t="shared" si="20"/>
        <v>0.58367346938775455</v>
      </c>
      <c r="X170" s="3"/>
    </row>
    <row r="171" spans="1:24" x14ac:dyDescent="0.25">
      <c r="A171" t="s">
        <v>16</v>
      </c>
      <c r="C171">
        <v>52.049177100000001</v>
      </c>
      <c r="D171">
        <v>-0.57234370000000001</v>
      </c>
      <c r="E171">
        <v>4</v>
      </c>
      <c r="F171">
        <v>4</v>
      </c>
      <c r="G171">
        <v>2022</v>
      </c>
      <c r="H171">
        <v>12</v>
      </c>
      <c r="I171">
        <v>55</v>
      </c>
      <c r="J171">
        <v>49.6</v>
      </c>
      <c r="K171">
        <v>32.909999999999997</v>
      </c>
      <c r="L171">
        <v>0</v>
      </c>
      <c r="M171">
        <v>40.643999999999998</v>
      </c>
      <c r="N171">
        <v>1.3320000000000001</v>
      </c>
      <c r="P171" s="1">
        <f t="shared" si="14"/>
        <v>11.29</v>
      </c>
      <c r="Q171" s="3">
        <f t="shared" si="15"/>
        <v>2.7999999999999936</v>
      </c>
      <c r="R171" s="3">
        <f t="shared" si="16"/>
        <v>0.76999999999999957</v>
      </c>
      <c r="S171" s="3">
        <f t="shared" si="18"/>
        <v>0.59857142857142798</v>
      </c>
      <c r="U171" s="1">
        <f t="shared" si="17"/>
        <v>11.285714285714283</v>
      </c>
      <c r="V171" s="3">
        <f t="shared" si="19"/>
        <v>0.59857142857142875</v>
      </c>
      <c r="W171" s="1">
        <f t="shared" si="20"/>
        <v>0.54020408163265288</v>
      </c>
      <c r="X171" s="3"/>
    </row>
    <row r="172" spans="1:24" x14ac:dyDescent="0.25">
      <c r="A172" t="s">
        <v>16</v>
      </c>
      <c r="C172">
        <v>52.049157100000002</v>
      </c>
      <c r="D172">
        <v>-0.57233310000000004</v>
      </c>
      <c r="E172">
        <v>4</v>
      </c>
      <c r="F172">
        <v>4</v>
      </c>
      <c r="G172">
        <v>2022</v>
      </c>
      <c r="H172">
        <v>12</v>
      </c>
      <c r="I172">
        <v>55</v>
      </c>
      <c r="J172">
        <v>49.8</v>
      </c>
      <c r="K172">
        <v>32.909999999999997</v>
      </c>
      <c r="L172">
        <v>0</v>
      </c>
      <c r="M172">
        <v>41.436</v>
      </c>
      <c r="N172">
        <v>1.008</v>
      </c>
      <c r="P172" s="1">
        <f t="shared" si="14"/>
        <v>11.51</v>
      </c>
      <c r="Q172" s="3">
        <f t="shared" si="15"/>
        <v>2.2000000000000064</v>
      </c>
      <c r="R172" s="3">
        <f t="shared" si="16"/>
        <v>0.46999999999999886</v>
      </c>
      <c r="S172" s="3">
        <f t="shared" si="18"/>
        <v>0.51857142857142813</v>
      </c>
      <c r="U172" s="1">
        <f t="shared" si="17"/>
        <v>11.361428571428572</v>
      </c>
      <c r="V172" s="3">
        <f t="shared" si="19"/>
        <v>0.51857142857142868</v>
      </c>
      <c r="W172" s="1">
        <f t="shared" si="20"/>
        <v>0.47265306122448997</v>
      </c>
      <c r="X172" s="3"/>
    </row>
    <row r="173" spans="1:24" x14ac:dyDescent="0.25">
      <c r="A173" t="s">
        <v>16</v>
      </c>
      <c r="C173">
        <v>52.049137199999997</v>
      </c>
      <c r="D173">
        <v>-0.5723222</v>
      </c>
      <c r="E173">
        <v>4</v>
      </c>
      <c r="F173">
        <v>4</v>
      </c>
      <c r="G173">
        <v>2022</v>
      </c>
      <c r="H173">
        <v>12</v>
      </c>
      <c r="I173">
        <v>55</v>
      </c>
      <c r="J173">
        <v>50</v>
      </c>
      <c r="K173">
        <v>32.61</v>
      </c>
      <c r="L173">
        <v>0</v>
      </c>
      <c r="M173">
        <v>41.76</v>
      </c>
      <c r="N173">
        <v>1.044</v>
      </c>
      <c r="P173" s="1">
        <f t="shared" si="14"/>
        <v>11.6</v>
      </c>
      <c r="Q173" s="3">
        <f t="shared" si="15"/>
        <v>0.89999999999999858</v>
      </c>
      <c r="R173" s="3">
        <f t="shared" si="16"/>
        <v>0.5</v>
      </c>
      <c r="S173" s="3">
        <f t="shared" si="18"/>
        <v>0.41714285714285687</v>
      </c>
      <c r="U173" s="1">
        <f t="shared" si="17"/>
        <v>11.437142857142858</v>
      </c>
      <c r="V173" s="3">
        <f t="shared" si="19"/>
        <v>0.41714285714285637</v>
      </c>
      <c r="W173" s="1">
        <f t="shared" si="20"/>
        <v>0.39938775510204066</v>
      </c>
      <c r="X173" s="3"/>
    </row>
    <row r="174" spans="1:24" x14ac:dyDescent="0.25">
      <c r="A174" t="s">
        <v>16</v>
      </c>
      <c r="C174">
        <v>52.049117000000003</v>
      </c>
      <c r="D174">
        <v>-0.57231129999999997</v>
      </c>
      <c r="E174">
        <v>4</v>
      </c>
      <c r="F174">
        <v>4</v>
      </c>
      <c r="G174">
        <v>2022</v>
      </c>
      <c r="H174">
        <v>12</v>
      </c>
      <c r="I174">
        <v>55</v>
      </c>
      <c r="J174">
        <v>50.2</v>
      </c>
      <c r="K174">
        <v>32.61</v>
      </c>
      <c r="L174">
        <v>0</v>
      </c>
      <c r="M174">
        <v>42.084000000000003</v>
      </c>
      <c r="N174">
        <v>1.26</v>
      </c>
      <c r="P174" s="1">
        <f t="shared" si="14"/>
        <v>11.69</v>
      </c>
      <c r="Q174" s="3">
        <f t="shared" si="15"/>
        <v>0.89999999999999858</v>
      </c>
      <c r="R174" s="3">
        <f t="shared" si="16"/>
        <v>0.13000000000000078</v>
      </c>
      <c r="S174" s="3">
        <f t="shared" si="18"/>
        <v>0.28999999999999992</v>
      </c>
      <c r="U174" s="1">
        <f t="shared" si="17"/>
        <v>11.495714285714286</v>
      </c>
      <c r="V174" s="3">
        <f t="shared" si="19"/>
        <v>0.2900000000000027</v>
      </c>
      <c r="W174" s="1">
        <f t="shared" si="20"/>
        <v>0.32040816326530652</v>
      </c>
      <c r="X174" s="3"/>
    </row>
    <row r="175" spans="1:24" x14ac:dyDescent="0.25">
      <c r="A175" t="s">
        <v>16</v>
      </c>
      <c r="C175">
        <v>52.049097600000003</v>
      </c>
      <c r="D175">
        <v>-0.57230099999999995</v>
      </c>
      <c r="E175">
        <v>4</v>
      </c>
      <c r="F175">
        <v>4</v>
      </c>
      <c r="G175">
        <v>2022</v>
      </c>
      <c r="H175">
        <v>12</v>
      </c>
      <c r="I175">
        <v>55</v>
      </c>
      <c r="J175">
        <v>50.4</v>
      </c>
      <c r="K175">
        <v>32.909999999999997</v>
      </c>
      <c r="L175">
        <v>0</v>
      </c>
      <c r="M175">
        <v>41.22</v>
      </c>
      <c r="N175">
        <v>1.3320000000000001</v>
      </c>
      <c r="P175" s="1">
        <f t="shared" si="14"/>
        <v>11.45</v>
      </c>
      <c r="Q175" s="3">
        <f t="shared" si="15"/>
        <v>-2.4000000000000021</v>
      </c>
      <c r="R175" s="3">
        <f t="shared" si="16"/>
        <v>1.9999999999999574E-2</v>
      </c>
      <c r="S175" s="3">
        <f t="shared" si="18"/>
        <v>0.1857142857142858</v>
      </c>
      <c r="U175" s="1">
        <f t="shared" si="17"/>
        <v>11.53</v>
      </c>
      <c r="V175" s="3">
        <f t="shared" si="19"/>
        <v>0.18571428571428505</v>
      </c>
      <c r="W175" s="1">
        <f t="shared" si="20"/>
        <v>0.2465306122448985</v>
      </c>
      <c r="X175" s="3"/>
    </row>
    <row r="176" spans="1:24" x14ac:dyDescent="0.25">
      <c r="A176" t="s">
        <v>16</v>
      </c>
      <c r="C176">
        <v>52.049077699999998</v>
      </c>
      <c r="D176">
        <v>-0.57229099999999999</v>
      </c>
      <c r="E176">
        <v>4</v>
      </c>
      <c r="F176">
        <v>4</v>
      </c>
      <c r="G176">
        <v>2022</v>
      </c>
      <c r="H176">
        <v>12</v>
      </c>
      <c r="I176">
        <v>55</v>
      </c>
      <c r="J176">
        <v>50.6</v>
      </c>
      <c r="K176">
        <v>32.909999999999997</v>
      </c>
      <c r="L176">
        <v>0</v>
      </c>
      <c r="M176">
        <v>41.436</v>
      </c>
      <c r="N176">
        <v>1.1160000000000001</v>
      </c>
      <c r="P176" s="1">
        <f t="shared" si="14"/>
        <v>11.51</v>
      </c>
      <c r="Q176" s="3">
        <f t="shared" si="15"/>
        <v>0.60000000000000497</v>
      </c>
      <c r="R176" s="3">
        <f t="shared" si="16"/>
        <v>0.16000000000000014</v>
      </c>
      <c r="S176" s="3">
        <f t="shared" si="18"/>
        <v>0.14142857142857171</v>
      </c>
      <c r="U176" s="1">
        <f t="shared" si="17"/>
        <v>11.565714285714284</v>
      </c>
      <c r="V176" s="3">
        <f t="shared" si="19"/>
        <v>0.14142857142856968</v>
      </c>
      <c r="W176" s="1">
        <f t="shared" si="20"/>
        <v>0.18000000000000074</v>
      </c>
      <c r="X176" s="3"/>
    </row>
    <row r="177" spans="1:24" x14ac:dyDescent="0.25">
      <c r="A177" t="s">
        <v>16</v>
      </c>
      <c r="C177">
        <v>52.049058299999999</v>
      </c>
      <c r="D177">
        <v>-0.57228080000000003</v>
      </c>
      <c r="E177">
        <v>4</v>
      </c>
      <c r="F177">
        <v>4</v>
      </c>
      <c r="G177">
        <v>2022</v>
      </c>
      <c r="H177">
        <v>12</v>
      </c>
      <c r="I177">
        <v>55</v>
      </c>
      <c r="J177">
        <v>50.8</v>
      </c>
      <c r="K177">
        <v>32.909999999999997</v>
      </c>
      <c r="L177">
        <v>0</v>
      </c>
      <c r="M177">
        <v>41.112000000000002</v>
      </c>
      <c r="N177">
        <v>1.3320000000000001</v>
      </c>
      <c r="P177" s="1">
        <f t="shared" si="14"/>
        <v>11.42</v>
      </c>
      <c r="Q177" s="3">
        <f t="shared" si="15"/>
        <v>-0.89999999999999858</v>
      </c>
      <c r="R177" s="3">
        <f t="shared" si="16"/>
        <v>-1.9999999999999574E-2</v>
      </c>
      <c r="S177" s="3">
        <f t="shared" si="18"/>
        <v>9.1428571428571762E-2</v>
      </c>
      <c r="U177" s="1">
        <f t="shared" si="17"/>
        <v>11.575714285714286</v>
      </c>
      <c r="V177" s="3">
        <f t="shared" si="19"/>
        <v>9.1428571428574301E-2</v>
      </c>
      <c r="W177" s="1">
        <f t="shared" si="20"/>
        <v>0.12285714285714354</v>
      </c>
      <c r="X177" s="3"/>
    </row>
    <row r="178" spans="1:24" x14ac:dyDescent="0.25">
      <c r="A178" t="s">
        <v>16</v>
      </c>
      <c r="C178">
        <v>52.049038199999998</v>
      </c>
      <c r="D178">
        <v>-0.57227159999999999</v>
      </c>
      <c r="E178">
        <v>4</v>
      </c>
      <c r="F178">
        <v>4</v>
      </c>
      <c r="G178">
        <v>2022</v>
      </c>
      <c r="H178">
        <v>12</v>
      </c>
      <c r="I178">
        <v>55</v>
      </c>
      <c r="J178">
        <v>51</v>
      </c>
      <c r="K178">
        <v>32.909999999999997</v>
      </c>
      <c r="L178">
        <v>0</v>
      </c>
      <c r="M178">
        <v>41.508000000000003</v>
      </c>
      <c r="N178">
        <v>1.044</v>
      </c>
      <c r="P178" s="1">
        <f t="shared" si="14"/>
        <v>11.53</v>
      </c>
      <c r="Q178" s="3">
        <f t="shared" si="15"/>
        <v>1.0999999999999943</v>
      </c>
      <c r="R178" s="3">
        <f t="shared" si="16"/>
        <v>4.0000000000000924E-2</v>
      </c>
      <c r="S178" s="3">
        <f t="shared" si="18"/>
        <v>8.1428571428571725E-2</v>
      </c>
      <c r="U178" s="1">
        <f t="shared" si="17"/>
        <v>11.547142857142857</v>
      </c>
      <c r="V178" s="3">
        <f t="shared" si="19"/>
        <v>8.1428571428572738E-2</v>
      </c>
      <c r="W178" s="1">
        <f t="shared" si="20"/>
        <v>8.7551020408163788E-2</v>
      </c>
      <c r="X178" s="3"/>
    </row>
    <row r="179" spans="1:24" x14ac:dyDescent="0.25">
      <c r="A179" t="s">
        <v>16</v>
      </c>
      <c r="C179">
        <v>52.049017499999998</v>
      </c>
      <c r="D179">
        <v>-0.57226259999999995</v>
      </c>
      <c r="E179">
        <v>4</v>
      </c>
      <c r="F179">
        <v>4</v>
      </c>
      <c r="G179">
        <v>2022</v>
      </c>
      <c r="H179">
        <v>12</v>
      </c>
      <c r="I179">
        <v>55</v>
      </c>
      <c r="J179">
        <v>51.2</v>
      </c>
      <c r="K179">
        <v>32.61</v>
      </c>
      <c r="L179">
        <v>0</v>
      </c>
      <c r="M179">
        <v>42.335999999999999</v>
      </c>
      <c r="N179">
        <v>1.296</v>
      </c>
      <c r="P179" s="1">
        <f t="shared" si="14"/>
        <v>11.76</v>
      </c>
      <c r="Q179" s="3">
        <f t="shared" si="15"/>
        <v>2.3000000000000043</v>
      </c>
      <c r="R179" s="3">
        <f t="shared" si="16"/>
        <v>0.16000000000000014</v>
      </c>
      <c r="S179" s="3">
        <f t="shared" si="18"/>
        <v>5.2857142857143255E-2</v>
      </c>
      <c r="U179" s="1">
        <f t="shared" si="17"/>
        <v>11.578571428571427</v>
      </c>
      <c r="V179" s="3">
        <f t="shared" si="19"/>
        <v>5.2857142857144268E-2</v>
      </c>
      <c r="W179" s="1">
        <f t="shared" si="20"/>
        <v>6.591836734693958E-2</v>
      </c>
      <c r="X179" s="3"/>
    </row>
    <row r="180" spans="1:24" x14ac:dyDescent="0.25">
      <c r="A180" t="s">
        <v>16</v>
      </c>
      <c r="C180">
        <v>52.048997399999998</v>
      </c>
      <c r="D180">
        <v>-0.57225340000000002</v>
      </c>
      <c r="E180">
        <v>4</v>
      </c>
      <c r="F180">
        <v>4</v>
      </c>
      <c r="G180">
        <v>2022</v>
      </c>
      <c r="H180">
        <v>12</v>
      </c>
      <c r="I180">
        <v>55</v>
      </c>
      <c r="J180">
        <v>51.4</v>
      </c>
      <c r="K180">
        <v>32.909999999999997</v>
      </c>
      <c r="L180">
        <v>0</v>
      </c>
      <c r="M180">
        <v>42.012</v>
      </c>
      <c r="N180">
        <v>1.512</v>
      </c>
      <c r="P180" s="1">
        <f t="shared" si="14"/>
        <v>11.67</v>
      </c>
      <c r="Q180" s="3">
        <f t="shared" si="15"/>
        <v>-0.89999999999999858</v>
      </c>
      <c r="R180" s="3">
        <f t="shared" si="16"/>
        <v>0.15000000000000036</v>
      </c>
      <c r="S180" s="3">
        <f t="shared" si="18"/>
        <v>1.7142857142857539E-2</v>
      </c>
      <c r="U180" s="1">
        <f t="shared" si="17"/>
        <v>11.58714285714286</v>
      </c>
      <c r="V180" s="3">
        <f t="shared" si="19"/>
        <v>1.7142857142856016E-2</v>
      </c>
      <c r="W180" s="1">
        <f t="shared" si="20"/>
        <v>4.9183673469388518E-2</v>
      </c>
      <c r="X180" s="3"/>
    </row>
    <row r="181" spans="1:24" x14ac:dyDescent="0.25">
      <c r="A181" t="s">
        <v>16</v>
      </c>
      <c r="C181">
        <v>52.048977600000001</v>
      </c>
      <c r="D181">
        <v>-0.57224410000000003</v>
      </c>
      <c r="E181">
        <v>4</v>
      </c>
      <c r="F181">
        <v>4</v>
      </c>
      <c r="G181">
        <v>2022</v>
      </c>
      <c r="H181">
        <v>12</v>
      </c>
      <c r="I181">
        <v>55</v>
      </c>
      <c r="J181">
        <v>51.6</v>
      </c>
      <c r="K181">
        <v>32.909999999999997</v>
      </c>
      <c r="L181">
        <v>0</v>
      </c>
      <c r="M181">
        <v>41.363999999999997</v>
      </c>
      <c r="N181">
        <v>1.3680000000000001</v>
      </c>
      <c r="P181" s="1">
        <f t="shared" si="14"/>
        <v>11.49</v>
      </c>
      <c r="Q181" s="3">
        <f t="shared" si="15"/>
        <v>-1.7999999999999972</v>
      </c>
      <c r="R181" s="3">
        <f t="shared" si="16"/>
        <v>6.0000000000000497E-2</v>
      </c>
      <c r="S181" s="3">
        <f t="shared" si="18"/>
        <v>4.2857142857143211E-2</v>
      </c>
      <c r="U181" s="1">
        <f t="shared" si="17"/>
        <v>11.611428571428572</v>
      </c>
      <c r="V181" s="3">
        <f t="shared" si="19"/>
        <v>4.2857142857144481E-2</v>
      </c>
      <c r="W181" s="1">
        <f t="shared" si="20"/>
        <v>3.5714285714285712E-2</v>
      </c>
      <c r="X181" s="3"/>
    </row>
    <row r="182" spans="1:24" x14ac:dyDescent="0.25">
      <c r="A182" t="s">
        <v>16</v>
      </c>
      <c r="C182">
        <v>52.048957100000003</v>
      </c>
      <c r="D182">
        <v>-0.5722332</v>
      </c>
      <c r="E182">
        <v>4</v>
      </c>
      <c r="F182">
        <v>4</v>
      </c>
      <c r="G182">
        <v>2022</v>
      </c>
      <c r="H182">
        <v>12</v>
      </c>
      <c r="I182">
        <v>55</v>
      </c>
      <c r="J182">
        <v>51.8</v>
      </c>
      <c r="K182">
        <v>32.909999999999997</v>
      </c>
      <c r="L182">
        <v>0</v>
      </c>
      <c r="M182">
        <v>42.012</v>
      </c>
      <c r="N182">
        <v>1.224</v>
      </c>
      <c r="P182" s="1">
        <f t="shared" si="14"/>
        <v>11.67</v>
      </c>
      <c r="Q182" s="3">
        <f t="shared" si="15"/>
        <v>1.7999999999999972</v>
      </c>
      <c r="R182" s="3">
        <f t="shared" si="16"/>
        <v>-0.17999999999999972</v>
      </c>
      <c r="S182" s="3">
        <f t="shared" si="18"/>
        <v>3.4285714285714572E-2</v>
      </c>
      <c r="U182" s="1">
        <f t="shared" si="17"/>
        <v>11.618571428571428</v>
      </c>
      <c r="V182" s="3">
        <f t="shared" si="19"/>
        <v>3.4285714285715585E-2</v>
      </c>
      <c r="W182" s="1">
        <f t="shared" si="20"/>
        <v>2.346938775510183E-2</v>
      </c>
      <c r="X182" s="3"/>
    </row>
    <row r="183" spans="1:24" x14ac:dyDescent="0.25">
      <c r="A183" t="s">
        <v>16</v>
      </c>
      <c r="C183">
        <v>52.048937299999999</v>
      </c>
      <c r="D183">
        <v>-0.57222229999999996</v>
      </c>
      <c r="E183">
        <v>4</v>
      </c>
      <c r="F183">
        <v>4</v>
      </c>
      <c r="G183">
        <v>2022</v>
      </c>
      <c r="H183">
        <v>12</v>
      </c>
      <c r="I183">
        <v>55</v>
      </c>
      <c r="J183">
        <v>52</v>
      </c>
      <c r="K183">
        <v>32.909999999999997</v>
      </c>
      <c r="L183">
        <v>0</v>
      </c>
      <c r="M183">
        <v>41.652000000000001</v>
      </c>
      <c r="N183">
        <v>1.008</v>
      </c>
      <c r="P183" s="1">
        <f t="shared" si="14"/>
        <v>11.57</v>
      </c>
      <c r="Q183" s="3">
        <f t="shared" si="15"/>
        <v>-0.99999999999999645</v>
      </c>
      <c r="R183" s="3">
        <f t="shared" si="16"/>
        <v>-8.9999999999999858E-2</v>
      </c>
      <c r="S183" s="3">
        <f t="shared" si="18"/>
        <v>2.4285714285714528E-2</v>
      </c>
      <c r="U183" s="1">
        <f t="shared" si="17"/>
        <v>11.592857142857142</v>
      </c>
      <c r="V183" s="3">
        <f t="shared" si="19"/>
        <v>2.4285714285712245E-2</v>
      </c>
      <c r="W183" s="1">
        <f t="shared" si="20"/>
        <v>2.5102040816326214E-2</v>
      </c>
      <c r="X183" s="3"/>
    </row>
    <row r="184" spans="1:24" x14ac:dyDescent="0.25">
      <c r="A184" t="s">
        <v>16</v>
      </c>
      <c r="C184">
        <v>52.048917400000001</v>
      </c>
      <c r="D184">
        <v>-0.57221129999999998</v>
      </c>
      <c r="E184">
        <v>4</v>
      </c>
      <c r="F184">
        <v>4</v>
      </c>
      <c r="G184">
        <v>2022</v>
      </c>
      <c r="H184">
        <v>12</v>
      </c>
      <c r="I184">
        <v>55</v>
      </c>
      <c r="J184">
        <v>52.2</v>
      </c>
      <c r="K184">
        <v>32.909999999999997</v>
      </c>
      <c r="L184">
        <v>0</v>
      </c>
      <c r="M184">
        <v>41.723999999999997</v>
      </c>
      <c r="N184">
        <v>0.86399999999999999</v>
      </c>
      <c r="P184" s="1">
        <f t="shared" si="14"/>
        <v>11.59</v>
      </c>
      <c r="Q184" s="3">
        <f t="shared" si="15"/>
        <v>0.19999999999999574</v>
      </c>
      <c r="R184" s="3">
        <f t="shared" si="16"/>
        <v>0.16000000000000014</v>
      </c>
      <c r="S184" s="3">
        <f t="shared" si="18"/>
        <v>-2.8571428571425423E-3</v>
      </c>
      <c r="U184" s="1">
        <f t="shared" si="17"/>
        <v>11.590000000000002</v>
      </c>
      <c r="V184" s="3">
        <f t="shared" si="19"/>
        <v>-2.8571428571453339E-3</v>
      </c>
      <c r="W184" s="1">
        <f t="shared" si="20"/>
        <v>3.5102040816326251E-2</v>
      </c>
      <c r="X184" s="3"/>
    </row>
    <row r="185" spans="1:24" x14ac:dyDescent="0.25">
      <c r="A185" t="s">
        <v>16</v>
      </c>
      <c r="C185">
        <v>52.048897500000002</v>
      </c>
      <c r="D185">
        <v>-0.57220009999999999</v>
      </c>
      <c r="E185">
        <v>4</v>
      </c>
      <c r="F185">
        <v>4</v>
      </c>
      <c r="G185">
        <v>2022</v>
      </c>
      <c r="H185">
        <v>12</v>
      </c>
      <c r="I185">
        <v>55</v>
      </c>
      <c r="J185">
        <v>52.4</v>
      </c>
      <c r="K185">
        <v>32.909999999999997</v>
      </c>
      <c r="L185">
        <v>0</v>
      </c>
      <c r="M185">
        <v>41.688000000000002</v>
      </c>
      <c r="N185">
        <v>1.296</v>
      </c>
      <c r="P185" s="1">
        <f t="shared" si="14"/>
        <v>11.58</v>
      </c>
      <c r="Q185" s="3">
        <f t="shared" si="15"/>
        <v>-9.9999999999997868E-2</v>
      </c>
      <c r="R185" s="3">
        <f t="shared" si="16"/>
        <v>-1.9999999999999574E-2</v>
      </c>
      <c r="S185" s="3">
        <f t="shared" si="18"/>
        <v>-4.2857142857139407E-3</v>
      </c>
      <c r="U185" s="1">
        <f t="shared" si="17"/>
        <v>11.612857142857143</v>
      </c>
      <c r="V185" s="3">
        <f t="shared" si="19"/>
        <v>-4.2857142857144481E-3</v>
      </c>
      <c r="W185" s="1">
        <f t="shared" si="20"/>
        <v>3.7959183673469052E-2</v>
      </c>
      <c r="X185" s="3"/>
    </row>
    <row r="186" spans="1:24" x14ac:dyDescent="0.25">
      <c r="A186" t="s">
        <v>16</v>
      </c>
      <c r="C186">
        <v>52.048877599999997</v>
      </c>
      <c r="D186">
        <v>-0.57218930000000001</v>
      </c>
      <c r="E186">
        <v>4</v>
      </c>
      <c r="F186">
        <v>4</v>
      </c>
      <c r="G186">
        <v>2022</v>
      </c>
      <c r="H186">
        <v>12</v>
      </c>
      <c r="I186">
        <v>55</v>
      </c>
      <c r="J186">
        <v>52.6</v>
      </c>
      <c r="K186">
        <v>32.909999999999997</v>
      </c>
      <c r="L186">
        <v>0</v>
      </c>
      <c r="M186">
        <v>41.688000000000002</v>
      </c>
      <c r="N186">
        <v>1.296</v>
      </c>
      <c r="P186" s="1">
        <f t="shared" si="14"/>
        <v>11.58</v>
      </c>
      <c r="Q186" s="3">
        <f t="shared" si="15"/>
        <v>0</v>
      </c>
      <c r="R186" s="3">
        <f t="shared" si="16"/>
        <v>8.9999999999999858E-2</v>
      </c>
      <c r="S186" s="3">
        <f t="shared" si="18"/>
        <v>6.4285714285714696E-2</v>
      </c>
      <c r="U186" s="1">
        <f t="shared" si="17"/>
        <v>11.611428571428572</v>
      </c>
      <c r="V186" s="3">
        <f t="shared" si="19"/>
        <v>6.4285714285714946E-2</v>
      </c>
      <c r="W186" s="1">
        <f t="shared" si="20"/>
        <v>3.8775510204081244E-2</v>
      </c>
      <c r="X186" s="3"/>
    </row>
    <row r="187" spans="1:24" x14ac:dyDescent="0.25">
      <c r="A187" t="s">
        <v>16</v>
      </c>
      <c r="C187">
        <v>52.048857699999999</v>
      </c>
      <c r="D187">
        <v>-0.57217870000000004</v>
      </c>
      <c r="E187">
        <v>4</v>
      </c>
      <c r="F187">
        <v>4</v>
      </c>
      <c r="G187">
        <v>2022</v>
      </c>
      <c r="H187">
        <v>12</v>
      </c>
      <c r="I187">
        <v>55</v>
      </c>
      <c r="J187">
        <v>52.8</v>
      </c>
      <c r="K187">
        <v>32.909999999999997</v>
      </c>
      <c r="L187">
        <v>0</v>
      </c>
      <c r="M187">
        <v>41.94</v>
      </c>
      <c r="N187">
        <v>1.1879999999999999</v>
      </c>
      <c r="P187" s="1">
        <f t="shared" si="14"/>
        <v>11.65</v>
      </c>
      <c r="Q187" s="3">
        <f t="shared" si="15"/>
        <v>0.70000000000000284</v>
      </c>
      <c r="R187" s="3">
        <f t="shared" si="16"/>
        <v>-3.9999999999999147E-2</v>
      </c>
      <c r="S187" s="3">
        <f t="shared" si="18"/>
        <v>8.7142857142857563E-2</v>
      </c>
      <c r="U187" s="1">
        <f t="shared" si="17"/>
        <v>11.608571428571427</v>
      </c>
      <c r="V187" s="3">
        <f t="shared" si="19"/>
        <v>8.71428571428563E-2</v>
      </c>
      <c r="W187" s="1">
        <f t="shared" si="20"/>
        <v>3.5714285714285969E-2</v>
      </c>
      <c r="X187" s="3"/>
    </row>
    <row r="188" spans="1:24" x14ac:dyDescent="0.25">
      <c r="A188" t="s">
        <v>16</v>
      </c>
      <c r="C188">
        <v>52.0488377</v>
      </c>
      <c r="D188">
        <v>-0.57216860000000003</v>
      </c>
      <c r="E188">
        <v>4</v>
      </c>
      <c r="F188">
        <v>4</v>
      </c>
      <c r="G188">
        <v>2022</v>
      </c>
      <c r="H188">
        <v>12</v>
      </c>
      <c r="I188">
        <v>55</v>
      </c>
      <c r="J188">
        <v>53</v>
      </c>
      <c r="K188">
        <v>32.909999999999997</v>
      </c>
      <c r="L188">
        <v>0</v>
      </c>
      <c r="M188">
        <v>41.94</v>
      </c>
      <c r="N188">
        <v>1.08</v>
      </c>
      <c r="P188" s="1">
        <f t="shared" si="14"/>
        <v>11.65</v>
      </c>
      <c r="Q188" s="3">
        <f t="shared" si="15"/>
        <v>0</v>
      </c>
      <c r="R188" s="3">
        <f t="shared" si="16"/>
        <v>5.0000000000000711E-2</v>
      </c>
      <c r="S188" s="3">
        <f t="shared" si="18"/>
        <v>6.2857142857143292E-2</v>
      </c>
      <c r="U188" s="1">
        <f t="shared" si="17"/>
        <v>11.614285714285714</v>
      </c>
      <c r="V188" s="3">
        <f t="shared" si="19"/>
        <v>6.2857142857144055E-2</v>
      </c>
      <c r="W188" s="1">
        <f t="shared" si="20"/>
        <v>3.632653061224568E-2</v>
      </c>
      <c r="X188" s="3"/>
    </row>
    <row r="189" spans="1:24" x14ac:dyDescent="0.25">
      <c r="A189" t="s">
        <v>16</v>
      </c>
      <c r="C189">
        <v>52.0488176</v>
      </c>
      <c r="D189">
        <v>-0.57215859999999996</v>
      </c>
      <c r="E189">
        <v>4</v>
      </c>
      <c r="F189">
        <v>4</v>
      </c>
      <c r="G189">
        <v>2022</v>
      </c>
      <c r="H189">
        <v>12</v>
      </c>
      <c r="I189">
        <v>55</v>
      </c>
      <c r="J189">
        <v>53.2</v>
      </c>
      <c r="K189">
        <v>32.909999999999997</v>
      </c>
      <c r="L189">
        <v>0</v>
      </c>
      <c r="M189">
        <v>41.975999999999999</v>
      </c>
      <c r="N189">
        <v>1.1160000000000001</v>
      </c>
      <c r="P189" s="1">
        <f t="shared" si="14"/>
        <v>11.66</v>
      </c>
      <c r="Q189" s="3">
        <f t="shared" si="15"/>
        <v>9.9999999999997868E-2</v>
      </c>
      <c r="R189" s="3">
        <f t="shared" si="16"/>
        <v>0.30000000000000071</v>
      </c>
      <c r="S189" s="3">
        <f t="shared" si="18"/>
        <v>4.0000000000000417E-2</v>
      </c>
      <c r="U189" s="1">
        <f t="shared" si="17"/>
        <v>11.657142857142857</v>
      </c>
      <c r="V189" s="3">
        <f t="shared" si="19"/>
        <v>4.0000000000000924E-2</v>
      </c>
      <c r="W189" s="1">
        <f t="shared" si="20"/>
        <v>3.5306122448980758E-2</v>
      </c>
      <c r="X189" s="3"/>
    </row>
    <row r="190" spans="1:24" x14ac:dyDescent="0.25">
      <c r="A190" t="s">
        <v>16</v>
      </c>
      <c r="C190">
        <v>52.0487976</v>
      </c>
      <c r="D190">
        <v>-0.57214880000000001</v>
      </c>
      <c r="E190">
        <v>4</v>
      </c>
      <c r="F190">
        <v>4</v>
      </c>
      <c r="G190">
        <v>2022</v>
      </c>
      <c r="H190">
        <v>12</v>
      </c>
      <c r="I190">
        <v>55</v>
      </c>
      <c r="J190">
        <v>53.4</v>
      </c>
      <c r="K190">
        <v>32.909999999999997</v>
      </c>
      <c r="L190">
        <v>0</v>
      </c>
      <c r="M190">
        <v>41.58</v>
      </c>
      <c r="N190">
        <v>1.476</v>
      </c>
      <c r="P190" s="1">
        <f t="shared" si="14"/>
        <v>11.55</v>
      </c>
      <c r="Q190" s="3">
        <f t="shared" si="15"/>
        <v>-1.0999999999999943</v>
      </c>
      <c r="R190" s="3">
        <f t="shared" si="16"/>
        <v>7.0000000000000284E-2</v>
      </c>
      <c r="S190" s="3">
        <f t="shared" si="18"/>
        <v>2.8571428571433038E-3</v>
      </c>
      <c r="U190" s="1">
        <f t="shared" si="17"/>
        <v>11.677142857142858</v>
      </c>
      <c r="V190" s="3">
        <f t="shared" si="19"/>
        <v>2.8571428571453339E-3</v>
      </c>
      <c r="W190" s="1">
        <f t="shared" si="20"/>
        <v>2.244897959183767E-2</v>
      </c>
      <c r="X190" s="3"/>
    </row>
    <row r="191" spans="1:24" x14ac:dyDescent="0.25">
      <c r="A191" t="s">
        <v>16</v>
      </c>
      <c r="C191">
        <v>52.048777399999999</v>
      </c>
      <c r="D191">
        <v>-0.57213879999999995</v>
      </c>
      <c r="E191">
        <v>4</v>
      </c>
      <c r="F191">
        <v>4</v>
      </c>
      <c r="G191">
        <v>2022</v>
      </c>
      <c r="H191">
        <v>12</v>
      </c>
      <c r="I191">
        <v>55</v>
      </c>
      <c r="J191">
        <v>53.6</v>
      </c>
      <c r="K191">
        <v>32.909999999999997</v>
      </c>
      <c r="L191">
        <v>0</v>
      </c>
      <c r="M191">
        <v>41.868000000000002</v>
      </c>
      <c r="N191">
        <v>1.008</v>
      </c>
      <c r="P191" s="1">
        <f t="shared" si="14"/>
        <v>11.63</v>
      </c>
      <c r="Q191" s="3">
        <f t="shared" si="15"/>
        <v>0.80000000000000071</v>
      </c>
      <c r="R191" s="3">
        <f t="shared" si="16"/>
        <v>-9.9999999999997868E-3</v>
      </c>
      <c r="S191" s="3">
        <f t="shared" si="18"/>
        <v>1.4285714285716519E-3</v>
      </c>
      <c r="U191" s="1">
        <f t="shared" si="17"/>
        <v>11.675714285714287</v>
      </c>
      <c r="V191" s="3">
        <f t="shared" si="19"/>
        <v>1.4285714285726669E-3</v>
      </c>
      <c r="W191" s="1">
        <f t="shared" si="20"/>
        <v>7.5510204081642284E-3</v>
      </c>
      <c r="X191" s="3"/>
    </row>
    <row r="192" spans="1:24" x14ac:dyDescent="0.25">
      <c r="A192" t="s">
        <v>16</v>
      </c>
      <c r="C192">
        <v>52.0487568</v>
      </c>
      <c r="D192">
        <v>-0.5721292</v>
      </c>
      <c r="E192">
        <v>4</v>
      </c>
      <c r="F192">
        <v>4</v>
      </c>
      <c r="G192">
        <v>2022</v>
      </c>
      <c r="H192">
        <v>12</v>
      </c>
      <c r="I192">
        <v>55</v>
      </c>
      <c r="J192">
        <v>53.8</v>
      </c>
      <c r="K192">
        <v>32.909999999999997</v>
      </c>
      <c r="L192">
        <v>0</v>
      </c>
      <c r="M192">
        <v>42.768000000000001</v>
      </c>
      <c r="N192">
        <v>0.9</v>
      </c>
      <c r="P192" s="1">
        <f t="shared" si="14"/>
        <v>11.88</v>
      </c>
      <c r="Q192" s="3">
        <f t="shared" si="15"/>
        <v>2.5</v>
      </c>
      <c r="R192" s="3">
        <f t="shared" si="16"/>
        <v>-0.17999999999999972</v>
      </c>
      <c r="S192" s="3">
        <f t="shared" si="18"/>
        <v>-1.1428571428571439E-2</v>
      </c>
      <c r="U192" s="1">
        <f t="shared" si="17"/>
        <v>11.651428571428573</v>
      </c>
      <c r="V192" s="3">
        <f t="shared" si="19"/>
        <v>-1.1428571428568901E-2</v>
      </c>
      <c r="W192" s="1">
        <f t="shared" si="20"/>
        <v>4.8979591836741622E-3</v>
      </c>
      <c r="X192" s="3"/>
    </row>
    <row r="193" spans="1:24" x14ac:dyDescent="0.25">
      <c r="A193" t="s">
        <v>16</v>
      </c>
      <c r="C193">
        <v>52.048736300000002</v>
      </c>
      <c r="D193">
        <v>-0.57212070000000004</v>
      </c>
      <c r="E193">
        <v>4</v>
      </c>
      <c r="F193">
        <v>4</v>
      </c>
      <c r="G193">
        <v>2022</v>
      </c>
      <c r="H193">
        <v>12</v>
      </c>
      <c r="I193">
        <v>55</v>
      </c>
      <c r="J193">
        <v>54</v>
      </c>
      <c r="K193">
        <v>32.909999999999997</v>
      </c>
      <c r="L193">
        <v>0</v>
      </c>
      <c r="M193">
        <v>42.192</v>
      </c>
      <c r="N193">
        <v>0.93600000000000005</v>
      </c>
      <c r="P193" s="1">
        <f t="shared" si="14"/>
        <v>11.72</v>
      </c>
      <c r="Q193" s="3">
        <f t="shared" si="15"/>
        <v>-1.6000000000000014</v>
      </c>
      <c r="R193" s="3">
        <f t="shared" si="16"/>
        <v>-0.16999999999999993</v>
      </c>
      <c r="S193" s="3">
        <f t="shared" si="18"/>
        <v>-2.5714285714285929E-2</v>
      </c>
      <c r="U193" s="1">
        <f t="shared" si="17"/>
        <v>11.611428571428572</v>
      </c>
      <c r="V193" s="3">
        <f t="shared" si="19"/>
        <v>-2.5714285714286689E-2</v>
      </c>
      <c r="W193" s="1">
        <f t="shared" si="20"/>
        <v>1.5102040816326934E-2</v>
      </c>
      <c r="X193" s="3"/>
    </row>
    <row r="194" spans="1:24" x14ac:dyDescent="0.25">
      <c r="A194" t="s">
        <v>16</v>
      </c>
      <c r="C194">
        <v>52.0487161</v>
      </c>
      <c r="D194">
        <v>-0.57211270000000003</v>
      </c>
      <c r="E194">
        <v>4</v>
      </c>
      <c r="F194">
        <v>4</v>
      </c>
      <c r="G194">
        <v>2022</v>
      </c>
      <c r="H194">
        <v>12</v>
      </c>
      <c r="I194">
        <v>55</v>
      </c>
      <c r="J194">
        <v>54.2</v>
      </c>
      <c r="K194">
        <v>32.909999999999997</v>
      </c>
      <c r="L194">
        <v>0</v>
      </c>
      <c r="M194">
        <v>41.904000000000003</v>
      </c>
      <c r="N194">
        <v>0.82799999999999996</v>
      </c>
      <c r="P194" s="1">
        <f t="shared" si="14"/>
        <v>11.64</v>
      </c>
      <c r="Q194" s="3">
        <f t="shared" si="15"/>
        <v>-0.80000000000000071</v>
      </c>
      <c r="R194" s="3">
        <f t="shared" si="16"/>
        <v>-5.0000000000000711E-2</v>
      </c>
      <c r="S194" s="3">
        <f t="shared" si="18"/>
        <v>-1.7142857142857539E-2</v>
      </c>
      <c r="U194" s="1">
        <f t="shared" si="17"/>
        <v>11.615714285714287</v>
      </c>
      <c r="V194" s="3">
        <f t="shared" si="19"/>
        <v>-1.7142857142857792E-2</v>
      </c>
      <c r="W194" s="1">
        <f t="shared" si="20"/>
        <v>3.4693877551020283E-2</v>
      </c>
      <c r="X194" s="3"/>
    </row>
    <row r="195" spans="1:24" x14ac:dyDescent="0.25">
      <c r="A195" t="s">
        <v>16</v>
      </c>
      <c r="C195">
        <v>52.048696</v>
      </c>
      <c r="D195">
        <v>-0.57210559999999999</v>
      </c>
      <c r="E195">
        <v>4</v>
      </c>
      <c r="F195">
        <v>4</v>
      </c>
      <c r="G195">
        <v>2022</v>
      </c>
      <c r="H195">
        <v>12</v>
      </c>
      <c r="I195">
        <v>55</v>
      </c>
      <c r="J195">
        <v>54.4</v>
      </c>
      <c r="K195">
        <v>32.909999999999997</v>
      </c>
      <c r="L195">
        <v>0</v>
      </c>
      <c r="M195">
        <v>41.328000000000003</v>
      </c>
      <c r="N195">
        <v>1.44</v>
      </c>
      <c r="P195" s="1">
        <f t="shared" ref="P195:P248" si="21">M195*1000/3600</f>
        <v>11.48</v>
      </c>
      <c r="Q195" s="3">
        <f t="shared" si="15"/>
        <v>-1.6000000000000014</v>
      </c>
      <c r="R195" s="3">
        <f t="shared" si="16"/>
        <v>-4.0000000000000924E-2</v>
      </c>
      <c r="S195" s="3">
        <f t="shared" si="18"/>
        <v>4.4285714285713852E-2</v>
      </c>
      <c r="U195" s="1">
        <f t="shared" si="17"/>
        <v>11.645714285714288</v>
      </c>
      <c r="V195" s="3">
        <f t="shared" si="19"/>
        <v>4.4285714285713595E-2</v>
      </c>
      <c r="W195" s="1">
        <f t="shared" si="20"/>
        <v>5.2040816326530299E-2</v>
      </c>
      <c r="X195" s="3"/>
    </row>
    <row r="196" spans="1:24" x14ac:dyDescent="0.25">
      <c r="A196" t="s">
        <v>16</v>
      </c>
      <c r="C196">
        <v>52.048676100000002</v>
      </c>
      <c r="D196">
        <v>-0.57209880000000002</v>
      </c>
      <c r="E196">
        <v>4</v>
      </c>
      <c r="F196">
        <v>4</v>
      </c>
      <c r="G196">
        <v>2022</v>
      </c>
      <c r="H196">
        <v>12</v>
      </c>
      <c r="I196">
        <v>55</v>
      </c>
      <c r="J196">
        <v>54.6</v>
      </c>
      <c r="K196">
        <v>32.909999999999997</v>
      </c>
      <c r="L196">
        <v>0</v>
      </c>
      <c r="M196">
        <v>40.968000000000004</v>
      </c>
      <c r="N196">
        <v>1.44</v>
      </c>
      <c r="P196" s="1">
        <f t="shared" si="21"/>
        <v>11.38</v>
      </c>
      <c r="Q196" s="3">
        <f t="shared" si="15"/>
        <v>-0.99999999999999645</v>
      </c>
      <c r="R196" s="3">
        <f t="shared" si="16"/>
        <v>0.19999999999999929</v>
      </c>
      <c r="S196" s="3">
        <f t="shared" si="18"/>
        <v>0.11142857142857084</v>
      </c>
      <c r="U196" s="1">
        <f t="shared" si="17"/>
        <v>11.651428571428571</v>
      </c>
      <c r="V196" s="3">
        <f t="shared" si="19"/>
        <v>0.11142857142857032</v>
      </c>
      <c r="W196" s="1">
        <f t="shared" si="20"/>
        <v>7.2448979591835841E-2</v>
      </c>
      <c r="X196" s="3"/>
    </row>
    <row r="197" spans="1:24" x14ac:dyDescent="0.25">
      <c r="A197" t="s">
        <v>16</v>
      </c>
      <c r="C197">
        <v>52.048655699999998</v>
      </c>
      <c r="D197">
        <v>-0.57209319999999997</v>
      </c>
      <c r="E197">
        <v>4</v>
      </c>
      <c r="F197">
        <v>4</v>
      </c>
      <c r="G197">
        <v>2022</v>
      </c>
      <c r="H197">
        <v>12</v>
      </c>
      <c r="I197">
        <v>55</v>
      </c>
      <c r="J197">
        <v>54.8</v>
      </c>
      <c r="K197">
        <v>32.909999999999997</v>
      </c>
      <c r="L197">
        <v>0</v>
      </c>
      <c r="M197">
        <v>41.688000000000002</v>
      </c>
      <c r="N197">
        <v>1.44</v>
      </c>
      <c r="P197" s="1">
        <f t="shared" si="21"/>
        <v>11.58</v>
      </c>
      <c r="Q197" s="3">
        <f t="shared" ref="Q197:Q248" si="22">10*($P197-$P196)</f>
        <v>1.9999999999999929</v>
      </c>
      <c r="R197" s="3">
        <f t="shared" si="16"/>
        <v>0.12999999999999901</v>
      </c>
      <c r="S197" s="3">
        <f t="shared" si="18"/>
        <v>0.13999999999999929</v>
      </c>
      <c r="U197" s="1">
        <f t="shared" si="17"/>
        <v>11.658571428571429</v>
      </c>
      <c r="V197" s="3">
        <f t="shared" si="19"/>
        <v>0.13999999999999879</v>
      </c>
      <c r="W197" s="1">
        <f t="shared" si="20"/>
        <v>9.4081632653060562E-2</v>
      </c>
      <c r="X197" s="3"/>
    </row>
    <row r="198" spans="1:24" x14ac:dyDescent="0.25">
      <c r="A198" t="s">
        <v>16</v>
      </c>
      <c r="C198">
        <v>52.048634399999997</v>
      </c>
      <c r="D198">
        <v>-0.57208769999999998</v>
      </c>
      <c r="E198">
        <v>4</v>
      </c>
      <c r="F198">
        <v>4</v>
      </c>
      <c r="G198">
        <v>2022</v>
      </c>
      <c r="H198">
        <v>12</v>
      </c>
      <c r="I198">
        <v>55</v>
      </c>
      <c r="J198">
        <v>55</v>
      </c>
      <c r="K198">
        <v>32.909999999999997</v>
      </c>
      <c r="L198">
        <v>0</v>
      </c>
      <c r="M198">
        <v>42.624000000000002</v>
      </c>
      <c r="N198">
        <v>1.4039999999999999</v>
      </c>
      <c r="P198" s="1">
        <f t="shared" si="21"/>
        <v>11.84</v>
      </c>
      <c r="Q198" s="3">
        <f t="shared" si="22"/>
        <v>2.5999999999999979</v>
      </c>
      <c r="R198" s="3">
        <f t="shared" si="16"/>
        <v>0.41999999999999993</v>
      </c>
      <c r="S198" s="3">
        <f t="shared" si="18"/>
        <v>0.12285714285714226</v>
      </c>
      <c r="U198" s="1">
        <f t="shared" si="17"/>
        <v>11.695714285714287</v>
      </c>
      <c r="V198" s="3">
        <f t="shared" si="19"/>
        <v>0.12285714285714278</v>
      </c>
      <c r="W198" s="1">
        <f t="shared" si="20"/>
        <v>0.10999999999999943</v>
      </c>
      <c r="X198" s="3"/>
    </row>
    <row r="199" spans="1:24" x14ac:dyDescent="0.25">
      <c r="A199" t="s">
        <v>16</v>
      </c>
      <c r="C199">
        <v>52.048613199999998</v>
      </c>
      <c r="D199">
        <v>-0.57208199999999998</v>
      </c>
      <c r="E199">
        <v>4</v>
      </c>
      <c r="F199">
        <v>4</v>
      </c>
      <c r="G199">
        <v>2022</v>
      </c>
      <c r="H199">
        <v>12</v>
      </c>
      <c r="I199">
        <v>55</v>
      </c>
      <c r="J199">
        <v>55.2</v>
      </c>
      <c r="K199">
        <v>32.909999999999997</v>
      </c>
      <c r="L199">
        <v>0</v>
      </c>
      <c r="M199">
        <v>42.911999999999999</v>
      </c>
      <c r="N199">
        <v>1.548</v>
      </c>
      <c r="P199" s="1">
        <f t="shared" si="21"/>
        <v>11.92</v>
      </c>
      <c r="Q199" s="3">
        <f t="shared" si="22"/>
        <v>0.80000000000000071</v>
      </c>
      <c r="R199" s="3">
        <f t="shared" ref="R199:R246" si="23">($P202-$P196)</f>
        <v>0.28999999999999915</v>
      </c>
      <c r="S199" s="3">
        <f t="shared" si="18"/>
        <v>0.13142857142857092</v>
      </c>
      <c r="U199" s="1">
        <f t="shared" ref="U199:U248" si="24">AVERAGE(P196:P202)</f>
        <v>11.722857142857142</v>
      </c>
      <c r="V199" s="3">
        <f t="shared" si="19"/>
        <v>0.1314285714285699</v>
      </c>
      <c r="W199" s="1">
        <f t="shared" si="20"/>
        <v>0.1126530612244895</v>
      </c>
      <c r="X199" s="3"/>
    </row>
    <row r="200" spans="1:24" x14ac:dyDescent="0.25">
      <c r="A200" t="s">
        <v>16</v>
      </c>
      <c r="C200">
        <v>52.048592300000003</v>
      </c>
      <c r="D200">
        <v>-0.57207569999999996</v>
      </c>
      <c r="E200">
        <v>4</v>
      </c>
      <c r="F200">
        <v>4</v>
      </c>
      <c r="G200">
        <v>2022</v>
      </c>
      <c r="H200">
        <v>12</v>
      </c>
      <c r="I200">
        <v>55</v>
      </c>
      <c r="J200">
        <v>55.4</v>
      </c>
      <c r="K200">
        <v>32.909999999999997</v>
      </c>
      <c r="L200">
        <v>0</v>
      </c>
      <c r="M200">
        <v>42.372</v>
      </c>
      <c r="N200">
        <v>1.548</v>
      </c>
      <c r="P200" s="1">
        <f t="shared" si="21"/>
        <v>11.77</v>
      </c>
      <c r="Q200" s="3">
        <f t="shared" si="22"/>
        <v>-1.5000000000000036</v>
      </c>
      <c r="R200" s="3">
        <f t="shared" si="23"/>
        <v>2.9999999999999361E-2</v>
      </c>
      <c r="S200" s="3">
        <f t="shared" si="18"/>
        <v>0.12571428571428531</v>
      </c>
      <c r="U200" s="1">
        <f t="shared" si="24"/>
        <v>11.755714285714285</v>
      </c>
      <c r="V200" s="3">
        <f t="shared" si="19"/>
        <v>0.12571428571428633</v>
      </c>
      <c r="W200" s="1">
        <f t="shared" si="20"/>
        <v>0.1020408163265305</v>
      </c>
      <c r="X200" s="3"/>
    </row>
    <row r="201" spans="1:24" x14ac:dyDescent="0.25">
      <c r="A201" t="s">
        <v>16</v>
      </c>
      <c r="C201">
        <v>52.048570599999998</v>
      </c>
      <c r="D201">
        <v>-0.57206990000000002</v>
      </c>
      <c r="E201">
        <v>4</v>
      </c>
      <c r="F201">
        <v>4</v>
      </c>
      <c r="G201">
        <v>2022</v>
      </c>
      <c r="H201">
        <v>12</v>
      </c>
      <c r="I201">
        <v>55</v>
      </c>
      <c r="J201">
        <v>55.6</v>
      </c>
      <c r="K201">
        <v>32.61</v>
      </c>
      <c r="L201">
        <v>0</v>
      </c>
      <c r="M201">
        <v>42.84</v>
      </c>
      <c r="N201">
        <v>1.512</v>
      </c>
      <c r="P201" s="1">
        <f t="shared" si="21"/>
        <v>11.9</v>
      </c>
      <c r="Q201" s="3">
        <f t="shared" si="22"/>
        <v>1.3000000000000078</v>
      </c>
      <c r="R201" s="3">
        <f t="shared" si="23"/>
        <v>-0.16999999999999993</v>
      </c>
      <c r="S201" s="3">
        <f t="shared" si="18"/>
        <v>9.4285714285714056E-2</v>
      </c>
      <c r="U201" s="1">
        <f t="shared" si="24"/>
        <v>11.76857142857143</v>
      </c>
      <c r="V201" s="3">
        <f t="shared" si="19"/>
        <v>9.4285714285714306E-2</v>
      </c>
      <c r="W201" s="1">
        <f t="shared" si="20"/>
        <v>8.2040816326530416E-2</v>
      </c>
      <c r="X201" s="3"/>
    </row>
    <row r="202" spans="1:24" x14ac:dyDescent="0.25">
      <c r="A202" t="s">
        <v>16</v>
      </c>
      <c r="C202">
        <v>52.048549800000004</v>
      </c>
      <c r="D202">
        <v>-0.57206400000000002</v>
      </c>
      <c r="E202">
        <v>4</v>
      </c>
      <c r="F202">
        <v>4</v>
      </c>
      <c r="G202">
        <v>2022</v>
      </c>
      <c r="H202">
        <v>12</v>
      </c>
      <c r="I202">
        <v>55</v>
      </c>
      <c r="J202">
        <v>55.8</v>
      </c>
      <c r="K202">
        <v>32.61</v>
      </c>
      <c r="L202">
        <v>0</v>
      </c>
      <c r="M202">
        <v>42.012</v>
      </c>
      <c r="N202">
        <v>1.3680000000000001</v>
      </c>
      <c r="P202" s="1">
        <f t="shared" si="21"/>
        <v>11.67</v>
      </c>
      <c r="Q202" s="3">
        <f t="shared" si="22"/>
        <v>-2.3000000000000043</v>
      </c>
      <c r="R202" s="3">
        <f t="shared" si="23"/>
        <v>1.9999999999999574E-2</v>
      </c>
      <c r="S202" s="3">
        <f t="shared" ref="S202:S242" si="25">AVERAGE(R199:R205)</f>
        <v>6.2857142857142528E-2</v>
      </c>
      <c r="U202" s="1">
        <f t="shared" si="24"/>
        <v>11.782857142857141</v>
      </c>
      <c r="V202" s="3">
        <f t="shared" si="19"/>
        <v>6.2857142857144055E-2</v>
      </c>
      <c r="W202" s="1">
        <f t="shared" si="20"/>
        <v>5.5306122448979575E-2</v>
      </c>
      <c r="X202" s="3"/>
    </row>
    <row r="203" spans="1:24" x14ac:dyDescent="0.25">
      <c r="A203" t="s">
        <v>16</v>
      </c>
      <c r="C203">
        <v>52.0485294</v>
      </c>
      <c r="D203">
        <v>-0.57205859999999997</v>
      </c>
      <c r="E203">
        <v>4</v>
      </c>
      <c r="F203">
        <v>4</v>
      </c>
      <c r="G203">
        <v>2022</v>
      </c>
      <c r="H203">
        <v>12</v>
      </c>
      <c r="I203">
        <v>55</v>
      </c>
      <c r="J203">
        <v>56</v>
      </c>
      <c r="K203">
        <v>32.61</v>
      </c>
      <c r="L203">
        <v>0</v>
      </c>
      <c r="M203">
        <v>41.795999999999999</v>
      </c>
      <c r="N203">
        <v>1.476</v>
      </c>
      <c r="P203" s="1">
        <f t="shared" si="21"/>
        <v>11.61</v>
      </c>
      <c r="Q203" s="3">
        <f t="shared" si="22"/>
        <v>-0.60000000000000497</v>
      </c>
      <c r="R203" s="3">
        <f t="shared" si="23"/>
        <v>0.16000000000000014</v>
      </c>
      <c r="S203" s="3">
        <f t="shared" si="25"/>
        <v>3.7142857142857109E-2</v>
      </c>
      <c r="U203" s="1">
        <f t="shared" si="24"/>
        <v>11.784285714285716</v>
      </c>
      <c r="V203" s="3">
        <f t="shared" si="19"/>
        <v>3.7142857142857366E-2</v>
      </c>
      <c r="W203" s="1">
        <f t="shared" si="20"/>
        <v>1.1020408163265469E-2</v>
      </c>
      <c r="X203" s="3"/>
    </row>
    <row r="204" spans="1:24" x14ac:dyDescent="0.25">
      <c r="A204" t="s">
        <v>16</v>
      </c>
      <c r="C204">
        <v>52.048508599999998</v>
      </c>
      <c r="D204">
        <v>-0.57205329999999999</v>
      </c>
      <c r="E204">
        <v>4</v>
      </c>
      <c r="F204">
        <v>4</v>
      </c>
      <c r="G204">
        <v>2022</v>
      </c>
      <c r="H204">
        <v>12</v>
      </c>
      <c r="I204">
        <v>55</v>
      </c>
      <c r="J204">
        <v>56.2</v>
      </c>
      <c r="K204">
        <v>32.909999999999997</v>
      </c>
      <c r="L204">
        <v>0</v>
      </c>
      <c r="M204">
        <v>42.012</v>
      </c>
      <c r="N204">
        <v>1.3320000000000001</v>
      </c>
      <c r="P204" s="1">
        <f t="shared" si="21"/>
        <v>11.67</v>
      </c>
      <c r="Q204" s="3">
        <f t="shared" si="22"/>
        <v>0.60000000000000497</v>
      </c>
      <c r="R204" s="3">
        <f t="shared" si="23"/>
        <v>-8.9999999999999858E-2</v>
      </c>
      <c r="S204" s="3">
        <f t="shared" si="25"/>
        <v>0</v>
      </c>
      <c r="U204" s="1">
        <f t="shared" si="24"/>
        <v>11.790000000000001</v>
      </c>
      <c r="V204" s="3">
        <f t="shared" ref="V204:V267" si="26">($U207-$U201)</f>
        <v>-1.7763568394002505E-15</v>
      </c>
      <c r="W204" s="1">
        <f t="shared" si="20"/>
        <v>-4.7142857142857153E-2</v>
      </c>
      <c r="X204" s="3"/>
    </row>
    <row r="205" spans="1:24" x14ac:dyDescent="0.25">
      <c r="A205" t="s">
        <v>16</v>
      </c>
      <c r="C205">
        <v>52.048487399999999</v>
      </c>
      <c r="D205">
        <v>-0.57204710000000003</v>
      </c>
      <c r="E205">
        <v>4</v>
      </c>
      <c r="F205">
        <v>4</v>
      </c>
      <c r="G205">
        <v>2022</v>
      </c>
      <c r="H205">
        <v>12</v>
      </c>
      <c r="I205">
        <v>55</v>
      </c>
      <c r="J205">
        <v>56.4</v>
      </c>
      <c r="K205">
        <v>32.909999999999997</v>
      </c>
      <c r="L205">
        <v>0</v>
      </c>
      <c r="M205">
        <v>42.984000000000002</v>
      </c>
      <c r="N205">
        <v>1.764</v>
      </c>
      <c r="P205" s="1">
        <f t="shared" si="21"/>
        <v>11.94</v>
      </c>
      <c r="Q205" s="3">
        <f t="shared" si="22"/>
        <v>2.6999999999999957</v>
      </c>
      <c r="R205" s="3">
        <f t="shared" si="23"/>
        <v>0.19999999999999929</v>
      </c>
      <c r="S205" s="3">
        <f t="shared" si="25"/>
        <v>-6.4285714285714182E-2</v>
      </c>
      <c r="U205" s="1">
        <f t="shared" si="24"/>
        <v>11.785714285714286</v>
      </c>
      <c r="V205" s="3">
        <f t="shared" si="26"/>
        <v>-6.4285714285713169E-2</v>
      </c>
      <c r="W205" s="1">
        <f t="shared" ref="W205:W239" si="27">AVERAGE(V202:V208)</f>
        <v>-0.11306122448979597</v>
      </c>
      <c r="X205" s="3"/>
    </row>
    <row r="206" spans="1:24" x14ac:dyDescent="0.25">
      <c r="A206" t="s">
        <v>16</v>
      </c>
      <c r="C206">
        <v>52.048465800000002</v>
      </c>
      <c r="D206">
        <v>-0.57204069999999996</v>
      </c>
      <c r="E206">
        <v>4</v>
      </c>
      <c r="F206">
        <v>4</v>
      </c>
      <c r="G206">
        <v>2022</v>
      </c>
      <c r="H206">
        <v>12</v>
      </c>
      <c r="I206">
        <v>55</v>
      </c>
      <c r="J206">
        <v>56.6</v>
      </c>
      <c r="K206">
        <v>32.909999999999997</v>
      </c>
      <c r="L206">
        <v>0</v>
      </c>
      <c r="M206">
        <v>42.948</v>
      </c>
      <c r="N206">
        <v>1.44</v>
      </c>
      <c r="P206" s="1">
        <f t="shared" si="21"/>
        <v>11.93</v>
      </c>
      <c r="Q206" s="3">
        <f t="shared" si="22"/>
        <v>-9.9999999999997868E-2</v>
      </c>
      <c r="R206" s="3">
        <f t="shared" si="23"/>
        <v>0.11000000000000121</v>
      </c>
      <c r="S206" s="3">
        <f t="shared" si="25"/>
        <v>-0.17857142857142833</v>
      </c>
      <c r="U206" s="1">
        <f t="shared" si="24"/>
        <v>11.792857142857143</v>
      </c>
      <c r="V206" s="3">
        <f t="shared" si="26"/>
        <v>-0.17857142857142883</v>
      </c>
      <c r="W206" s="1">
        <f t="shared" si="27"/>
        <v>-0.18938775510204106</v>
      </c>
      <c r="X206" s="3"/>
    </row>
    <row r="207" spans="1:24" x14ac:dyDescent="0.25">
      <c r="A207" t="s">
        <v>16</v>
      </c>
      <c r="C207">
        <v>52.048444699999997</v>
      </c>
      <c r="D207">
        <v>-0.5720343</v>
      </c>
      <c r="E207">
        <v>4</v>
      </c>
      <c r="F207">
        <v>4</v>
      </c>
      <c r="G207">
        <v>2022</v>
      </c>
      <c r="H207">
        <v>12</v>
      </c>
      <c r="I207">
        <v>55</v>
      </c>
      <c r="J207">
        <v>56.8</v>
      </c>
      <c r="K207">
        <v>32.61</v>
      </c>
      <c r="L207">
        <v>0</v>
      </c>
      <c r="M207">
        <v>42.515999999999998</v>
      </c>
      <c r="N207">
        <v>1.26</v>
      </c>
      <c r="P207" s="1">
        <f t="shared" si="21"/>
        <v>11.81</v>
      </c>
      <c r="Q207" s="3">
        <f t="shared" si="22"/>
        <v>-1.1999999999999922</v>
      </c>
      <c r="R207" s="3">
        <f t="shared" si="23"/>
        <v>-0.23000000000000043</v>
      </c>
      <c r="S207" s="3">
        <f t="shared" si="25"/>
        <v>-0.28142857142857125</v>
      </c>
      <c r="U207" s="1">
        <f t="shared" si="24"/>
        <v>11.768571428571429</v>
      </c>
      <c r="V207" s="3">
        <f t="shared" si="26"/>
        <v>-0.28142857142857203</v>
      </c>
      <c r="W207" s="1">
        <f t="shared" si="27"/>
        <v>-0.27326530612244937</v>
      </c>
      <c r="X207" s="3"/>
    </row>
    <row r="208" spans="1:24" x14ac:dyDescent="0.25">
      <c r="A208" t="s">
        <v>16</v>
      </c>
      <c r="C208">
        <v>52.0484236</v>
      </c>
      <c r="D208">
        <v>-0.57202759999999997</v>
      </c>
      <c r="E208">
        <v>4</v>
      </c>
      <c r="F208">
        <v>4</v>
      </c>
      <c r="G208">
        <v>2022</v>
      </c>
      <c r="H208">
        <v>12</v>
      </c>
      <c r="I208">
        <v>55</v>
      </c>
      <c r="J208">
        <v>57</v>
      </c>
      <c r="K208">
        <v>32.61</v>
      </c>
      <c r="L208">
        <v>0</v>
      </c>
      <c r="M208">
        <v>42.731999999999999</v>
      </c>
      <c r="N208">
        <v>1.3320000000000001</v>
      </c>
      <c r="P208" s="1">
        <f t="shared" si="21"/>
        <v>11.87</v>
      </c>
      <c r="Q208" s="3">
        <f t="shared" si="22"/>
        <v>0.59999999999998721</v>
      </c>
      <c r="R208" s="3">
        <f t="shared" si="23"/>
        <v>-0.61999999999999922</v>
      </c>
      <c r="S208" s="3">
        <f t="shared" si="25"/>
        <v>-0.36714285714285694</v>
      </c>
      <c r="U208" s="1">
        <f t="shared" si="24"/>
        <v>11.718571428571428</v>
      </c>
      <c r="V208" s="3">
        <f t="shared" si="26"/>
        <v>-0.36714285714285744</v>
      </c>
      <c r="W208" s="1">
        <f t="shared" si="27"/>
        <v>-0.35551020408163275</v>
      </c>
      <c r="X208" s="3"/>
    </row>
    <row r="209" spans="1:24" x14ac:dyDescent="0.25">
      <c r="A209" t="s">
        <v>16</v>
      </c>
      <c r="C209">
        <v>52.048402600000003</v>
      </c>
      <c r="D209">
        <v>-0.57202180000000002</v>
      </c>
      <c r="E209">
        <v>4</v>
      </c>
      <c r="F209">
        <v>4</v>
      </c>
      <c r="G209">
        <v>2022</v>
      </c>
      <c r="H209">
        <v>12</v>
      </c>
      <c r="I209">
        <v>55</v>
      </c>
      <c r="J209">
        <v>57.2</v>
      </c>
      <c r="K209">
        <v>32.61</v>
      </c>
      <c r="L209">
        <v>0</v>
      </c>
      <c r="M209">
        <v>42.192</v>
      </c>
      <c r="N209">
        <v>1.3680000000000001</v>
      </c>
      <c r="P209" s="1">
        <f t="shared" si="21"/>
        <v>11.72</v>
      </c>
      <c r="Q209" s="3">
        <f t="shared" si="22"/>
        <v>-1.4999999999999858</v>
      </c>
      <c r="R209" s="3">
        <f t="shared" si="23"/>
        <v>-0.77999999999999936</v>
      </c>
      <c r="S209" s="3">
        <f t="shared" si="25"/>
        <v>-0.47142857142857125</v>
      </c>
      <c r="U209" s="1">
        <f t="shared" si="24"/>
        <v>11.605714285714287</v>
      </c>
      <c r="V209" s="3">
        <f t="shared" si="26"/>
        <v>-0.47142857142857153</v>
      </c>
      <c r="W209" s="1">
        <f t="shared" si="27"/>
        <v>-0.4197959183673477</v>
      </c>
      <c r="X209" s="3"/>
    </row>
    <row r="210" spans="1:24" x14ac:dyDescent="0.25">
      <c r="A210" t="s">
        <v>16</v>
      </c>
      <c r="C210">
        <v>52.048382400000001</v>
      </c>
      <c r="D210">
        <v>-0.57201639999999998</v>
      </c>
      <c r="E210">
        <v>4</v>
      </c>
      <c r="F210">
        <v>4</v>
      </c>
      <c r="G210">
        <v>2022</v>
      </c>
      <c r="H210">
        <v>12</v>
      </c>
      <c r="I210">
        <v>55</v>
      </c>
      <c r="J210">
        <v>57.4</v>
      </c>
      <c r="K210">
        <v>32.61</v>
      </c>
      <c r="L210">
        <v>0</v>
      </c>
      <c r="M210">
        <v>41.183999999999997</v>
      </c>
      <c r="N210">
        <v>1.62</v>
      </c>
      <c r="P210" s="1">
        <f t="shared" si="21"/>
        <v>11.44</v>
      </c>
      <c r="Q210" s="3">
        <f t="shared" si="22"/>
        <v>-2.8000000000000114</v>
      </c>
      <c r="R210" s="3">
        <f t="shared" si="23"/>
        <v>-0.5600000000000005</v>
      </c>
      <c r="S210" s="3">
        <f t="shared" si="25"/>
        <v>-0.54999999999999993</v>
      </c>
      <c r="U210" s="1">
        <f t="shared" si="24"/>
        <v>11.508571428571429</v>
      </c>
      <c r="V210" s="3">
        <f t="shared" si="26"/>
        <v>-0.55000000000000071</v>
      </c>
      <c r="W210" s="1">
        <f t="shared" si="27"/>
        <v>-0.45795918367346999</v>
      </c>
      <c r="X210" s="3"/>
    </row>
    <row r="211" spans="1:24" x14ac:dyDescent="0.25">
      <c r="A211" t="s">
        <v>16</v>
      </c>
      <c r="C211">
        <v>52.048362400000002</v>
      </c>
      <c r="D211">
        <v>-0.57201049999999998</v>
      </c>
      <c r="E211">
        <v>4</v>
      </c>
      <c r="F211">
        <v>4</v>
      </c>
      <c r="G211">
        <v>2022</v>
      </c>
      <c r="H211">
        <v>12</v>
      </c>
      <c r="I211">
        <v>55</v>
      </c>
      <c r="J211">
        <v>57.6</v>
      </c>
      <c r="K211">
        <v>32.61</v>
      </c>
      <c r="L211">
        <v>0</v>
      </c>
      <c r="M211">
        <v>40.752000000000002</v>
      </c>
      <c r="N211">
        <v>1.6919999999999999</v>
      </c>
      <c r="P211" s="1">
        <f t="shared" si="21"/>
        <v>11.32</v>
      </c>
      <c r="Q211" s="3">
        <f t="shared" si="22"/>
        <v>-1.1999999999999922</v>
      </c>
      <c r="R211" s="3">
        <f t="shared" si="23"/>
        <v>-0.6899999999999995</v>
      </c>
      <c r="S211" s="3">
        <f t="shared" si="25"/>
        <v>-0.57571428571428562</v>
      </c>
      <c r="U211" s="1">
        <f t="shared" si="24"/>
        <v>11.418571428571429</v>
      </c>
      <c r="V211" s="3">
        <f t="shared" si="26"/>
        <v>-0.57571428571428562</v>
      </c>
      <c r="W211" s="1">
        <f t="shared" si="27"/>
        <v>-0.47632653061224545</v>
      </c>
      <c r="X211" s="3"/>
    </row>
    <row r="212" spans="1:24" x14ac:dyDescent="0.25">
      <c r="A212" t="s">
        <v>16</v>
      </c>
      <c r="C212">
        <v>52.048342599999998</v>
      </c>
      <c r="D212">
        <v>-0.57200510000000004</v>
      </c>
      <c r="E212">
        <v>4</v>
      </c>
      <c r="F212">
        <v>4</v>
      </c>
      <c r="G212">
        <v>2022</v>
      </c>
      <c r="H212">
        <v>12</v>
      </c>
      <c r="I212">
        <v>55</v>
      </c>
      <c r="J212">
        <v>57.8</v>
      </c>
      <c r="K212">
        <v>32.61</v>
      </c>
      <c r="L212">
        <v>0</v>
      </c>
      <c r="M212">
        <v>40.14</v>
      </c>
      <c r="N212">
        <v>1.6919999999999999</v>
      </c>
      <c r="P212" s="1">
        <f t="shared" si="21"/>
        <v>11.15</v>
      </c>
      <c r="Q212" s="3">
        <f t="shared" si="22"/>
        <v>-1.6999999999999993</v>
      </c>
      <c r="R212" s="3">
        <f t="shared" si="23"/>
        <v>-0.53000000000000114</v>
      </c>
      <c r="S212" s="3">
        <f t="shared" si="25"/>
        <v>-0.51428571428571423</v>
      </c>
      <c r="U212" s="1">
        <f t="shared" si="24"/>
        <v>11.321428571428571</v>
      </c>
      <c r="V212" s="3">
        <f t="shared" si="26"/>
        <v>-0.51428571428571779</v>
      </c>
      <c r="W212" s="1">
        <f t="shared" si="27"/>
        <v>-0.47163265306122504</v>
      </c>
      <c r="X212" s="3"/>
    </row>
    <row r="213" spans="1:24" x14ac:dyDescent="0.25">
      <c r="A213" t="s">
        <v>16</v>
      </c>
      <c r="C213">
        <v>52.048322300000002</v>
      </c>
      <c r="D213">
        <v>-0.57199949999999999</v>
      </c>
      <c r="E213">
        <v>4</v>
      </c>
      <c r="F213">
        <v>4</v>
      </c>
      <c r="G213">
        <v>2022</v>
      </c>
      <c r="H213">
        <v>12</v>
      </c>
      <c r="I213">
        <v>55</v>
      </c>
      <c r="J213">
        <v>58</v>
      </c>
      <c r="K213">
        <v>32.299999999999997</v>
      </c>
      <c r="L213">
        <v>0</v>
      </c>
      <c r="M213">
        <v>40.5</v>
      </c>
      <c r="N213">
        <v>1.476</v>
      </c>
      <c r="P213" s="1">
        <f t="shared" si="21"/>
        <v>11.25</v>
      </c>
      <c r="Q213" s="3">
        <f t="shared" si="22"/>
        <v>0.99999999999999645</v>
      </c>
      <c r="R213" s="3">
        <f t="shared" si="23"/>
        <v>-0.4399999999999995</v>
      </c>
      <c r="S213" s="3">
        <f t="shared" si="25"/>
        <v>-0.44571428571428584</v>
      </c>
      <c r="U213" s="1">
        <f t="shared" si="24"/>
        <v>11.218571428571428</v>
      </c>
      <c r="V213" s="3">
        <f t="shared" si="26"/>
        <v>-0.44571428571428484</v>
      </c>
      <c r="W213" s="1">
        <f t="shared" si="27"/>
        <v>-0.4432653061224493</v>
      </c>
      <c r="X213" s="3"/>
    </row>
    <row r="214" spans="1:24" x14ac:dyDescent="0.25">
      <c r="A214" t="s">
        <v>16</v>
      </c>
      <c r="C214">
        <v>52.048302499999998</v>
      </c>
      <c r="D214">
        <v>-0.57199370000000005</v>
      </c>
      <c r="E214">
        <v>4</v>
      </c>
      <c r="F214">
        <v>4</v>
      </c>
      <c r="G214">
        <v>2022</v>
      </c>
      <c r="H214">
        <v>12</v>
      </c>
      <c r="I214">
        <v>55</v>
      </c>
      <c r="J214">
        <v>58.2</v>
      </c>
      <c r="K214">
        <v>32.299999999999997</v>
      </c>
      <c r="L214">
        <v>0</v>
      </c>
      <c r="M214">
        <v>40.247999999999998</v>
      </c>
      <c r="N214">
        <v>1.548</v>
      </c>
      <c r="P214" s="1">
        <f t="shared" si="21"/>
        <v>11.18</v>
      </c>
      <c r="Q214" s="3">
        <f t="shared" si="22"/>
        <v>-0.70000000000000284</v>
      </c>
      <c r="R214" s="3">
        <f t="shared" si="23"/>
        <v>-0.41000000000000014</v>
      </c>
      <c r="S214" s="3">
        <f t="shared" si="25"/>
        <v>-0.41000000000000014</v>
      </c>
      <c r="U214" s="1">
        <f t="shared" si="24"/>
        <v>11.142857142857142</v>
      </c>
      <c r="V214" s="3">
        <f t="shared" si="26"/>
        <v>-0.41000000000000014</v>
      </c>
      <c r="W214" s="1">
        <f t="shared" si="27"/>
        <v>-0.39632653061224488</v>
      </c>
      <c r="X214" s="3"/>
    </row>
    <row r="215" spans="1:24" x14ac:dyDescent="0.25">
      <c r="A215" t="s">
        <v>16</v>
      </c>
      <c r="C215">
        <v>52.0482826</v>
      </c>
      <c r="D215">
        <v>-0.57198780000000005</v>
      </c>
      <c r="E215">
        <v>4</v>
      </c>
      <c r="F215">
        <v>4</v>
      </c>
      <c r="G215">
        <v>2022</v>
      </c>
      <c r="H215">
        <v>12</v>
      </c>
      <c r="I215">
        <v>55</v>
      </c>
      <c r="J215">
        <v>58.4</v>
      </c>
      <c r="K215">
        <v>32.299999999999997</v>
      </c>
      <c r="L215">
        <v>0</v>
      </c>
      <c r="M215">
        <v>40.283999999999999</v>
      </c>
      <c r="N215">
        <v>1.728</v>
      </c>
      <c r="P215" s="1">
        <f t="shared" si="21"/>
        <v>11.19</v>
      </c>
      <c r="Q215" s="3">
        <f t="shared" si="22"/>
        <v>9.9999999999997868E-2</v>
      </c>
      <c r="R215" s="3">
        <f t="shared" si="23"/>
        <v>-0.1899999999999995</v>
      </c>
      <c r="S215" s="3">
        <f t="shared" si="25"/>
        <v>-0.33428571428571452</v>
      </c>
      <c r="U215" s="1">
        <f t="shared" si="24"/>
        <v>11.091428571428569</v>
      </c>
      <c r="V215" s="3">
        <f t="shared" si="26"/>
        <v>-0.33428571428571452</v>
      </c>
      <c r="W215" s="1">
        <f t="shared" si="27"/>
        <v>-0.33999999999999958</v>
      </c>
      <c r="X215" s="3"/>
    </row>
    <row r="216" spans="1:24" x14ac:dyDescent="0.25">
      <c r="A216" t="s">
        <v>16</v>
      </c>
      <c r="C216">
        <v>52.048263599999999</v>
      </c>
      <c r="D216">
        <v>-0.57198170000000004</v>
      </c>
      <c r="E216">
        <v>4</v>
      </c>
      <c r="F216">
        <v>4</v>
      </c>
      <c r="G216">
        <v>2022</v>
      </c>
      <c r="H216">
        <v>12</v>
      </c>
      <c r="I216">
        <v>55</v>
      </c>
      <c r="J216">
        <v>58.6</v>
      </c>
      <c r="K216">
        <v>32.299999999999997</v>
      </c>
      <c r="L216">
        <v>0</v>
      </c>
      <c r="M216">
        <v>39.6</v>
      </c>
      <c r="N216">
        <v>1.476</v>
      </c>
      <c r="P216" s="1">
        <f t="shared" si="21"/>
        <v>11</v>
      </c>
      <c r="Q216" s="3">
        <f t="shared" si="22"/>
        <v>-1.899999999999995</v>
      </c>
      <c r="R216" s="3">
        <f t="shared" si="23"/>
        <v>-0.30000000000000071</v>
      </c>
      <c r="S216" s="3">
        <f t="shared" si="25"/>
        <v>-0.27285714285714285</v>
      </c>
      <c r="U216" s="1">
        <f t="shared" si="24"/>
        <v>11.062857142857144</v>
      </c>
      <c r="V216" s="3">
        <f t="shared" si="26"/>
        <v>-0.27285714285714135</v>
      </c>
      <c r="W216" s="1">
        <f t="shared" si="27"/>
        <v>-0.29408163265306037</v>
      </c>
      <c r="X216" s="3"/>
    </row>
    <row r="217" spans="1:24" x14ac:dyDescent="0.25">
      <c r="A217" t="s">
        <v>16</v>
      </c>
      <c r="C217">
        <v>52.048244199999999</v>
      </c>
      <c r="D217">
        <v>-0.57197710000000002</v>
      </c>
      <c r="E217">
        <v>4</v>
      </c>
      <c r="F217">
        <v>4</v>
      </c>
      <c r="G217">
        <v>2022</v>
      </c>
      <c r="H217">
        <v>12</v>
      </c>
      <c r="I217">
        <v>55</v>
      </c>
      <c r="J217">
        <v>58.8</v>
      </c>
      <c r="K217">
        <v>32.299999999999997</v>
      </c>
      <c r="L217">
        <v>0</v>
      </c>
      <c r="M217">
        <v>39.276000000000003</v>
      </c>
      <c r="N217">
        <v>1.476</v>
      </c>
      <c r="P217" s="1">
        <f t="shared" si="21"/>
        <v>10.91</v>
      </c>
      <c r="Q217" s="3">
        <f t="shared" si="22"/>
        <v>-0.89999999999999858</v>
      </c>
      <c r="R217" s="3">
        <f t="shared" si="23"/>
        <v>-0.3100000000000005</v>
      </c>
      <c r="S217" s="3">
        <f t="shared" si="25"/>
        <v>-0.22142857142857153</v>
      </c>
      <c r="U217" s="1">
        <f t="shared" si="24"/>
        <v>11.008571428571429</v>
      </c>
      <c r="V217" s="3">
        <f t="shared" si="26"/>
        <v>-0.22142857142856975</v>
      </c>
      <c r="W217" s="1">
        <f t="shared" si="27"/>
        <v>-0.25102040816326493</v>
      </c>
      <c r="X217" s="3"/>
    </row>
    <row r="218" spans="1:24" x14ac:dyDescent="0.25">
      <c r="A218" t="s">
        <v>16</v>
      </c>
      <c r="C218">
        <v>52.048224900000001</v>
      </c>
      <c r="D218">
        <v>-0.57197220000000004</v>
      </c>
      <c r="E218">
        <v>4</v>
      </c>
      <c r="F218">
        <v>4</v>
      </c>
      <c r="G218">
        <v>2022</v>
      </c>
      <c r="H218">
        <v>12</v>
      </c>
      <c r="I218">
        <v>55</v>
      </c>
      <c r="J218">
        <v>59</v>
      </c>
      <c r="K218">
        <v>32.299999999999997</v>
      </c>
      <c r="L218">
        <v>0</v>
      </c>
      <c r="M218">
        <v>39.456000000000003</v>
      </c>
      <c r="N218">
        <v>1.3320000000000001</v>
      </c>
      <c r="P218" s="1">
        <f t="shared" si="21"/>
        <v>10.96</v>
      </c>
      <c r="Q218" s="3">
        <f t="shared" si="22"/>
        <v>0.50000000000000711</v>
      </c>
      <c r="R218" s="3">
        <f t="shared" si="23"/>
        <v>-0.16000000000000014</v>
      </c>
      <c r="S218" s="3">
        <f t="shared" si="25"/>
        <v>-0.18142857142857163</v>
      </c>
      <c r="U218" s="1">
        <f t="shared" si="24"/>
        <v>10.987142857142857</v>
      </c>
      <c r="V218" s="3">
        <f t="shared" si="26"/>
        <v>-0.18142857142856883</v>
      </c>
      <c r="W218" s="1">
        <f t="shared" si="27"/>
        <v>-0.2063265306122446</v>
      </c>
      <c r="X218" s="3"/>
    </row>
    <row r="219" spans="1:24" x14ac:dyDescent="0.25">
      <c r="A219" t="s">
        <v>16</v>
      </c>
      <c r="C219">
        <v>52.048205500000002</v>
      </c>
      <c r="D219">
        <v>-0.57196740000000001</v>
      </c>
      <c r="E219">
        <v>4</v>
      </c>
      <c r="F219">
        <v>4</v>
      </c>
      <c r="G219">
        <v>2022</v>
      </c>
      <c r="H219">
        <v>12</v>
      </c>
      <c r="I219">
        <v>55</v>
      </c>
      <c r="J219">
        <v>59.2</v>
      </c>
      <c r="K219">
        <v>32.299999999999997</v>
      </c>
      <c r="L219">
        <v>0</v>
      </c>
      <c r="M219">
        <v>39.42</v>
      </c>
      <c r="N219">
        <v>1.512</v>
      </c>
      <c r="P219" s="1">
        <f t="shared" si="21"/>
        <v>10.95</v>
      </c>
      <c r="Q219" s="3">
        <f t="shared" si="22"/>
        <v>-0.10000000000001563</v>
      </c>
      <c r="R219" s="3">
        <f t="shared" si="23"/>
        <v>-9.9999999999999645E-2</v>
      </c>
      <c r="S219" s="3">
        <f t="shared" si="25"/>
        <v>-0.19285714285714306</v>
      </c>
      <c r="U219" s="1">
        <f t="shared" si="24"/>
        <v>10.945714285714287</v>
      </c>
      <c r="V219" s="3">
        <f t="shared" si="26"/>
        <v>-0.19285714285714306</v>
      </c>
      <c r="W219" s="1">
        <f t="shared" si="27"/>
        <v>-0.1655102040816325</v>
      </c>
      <c r="X219" s="3"/>
    </row>
    <row r="220" spans="1:24" x14ac:dyDescent="0.25">
      <c r="A220" t="s">
        <v>16</v>
      </c>
      <c r="C220">
        <v>52.0481865</v>
      </c>
      <c r="D220">
        <v>-0.57196290000000005</v>
      </c>
      <c r="E220">
        <v>4</v>
      </c>
      <c r="F220">
        <v>4</v>
      </c>
      <c r="G220">
        <v>2022</v>
      </c>
      <c r="H220">
        <v>12</v>
      </c>
      <c r="I220">
        <v>55</v>
      </c>
      <c r="J220">
        <v>59.4</v>
      </c>
      <c r="K220">
        <v>32.299999999999997</v>
      </c>
      <c r="L220">
        <v>0</v>
      </c>
      <c r="M220">
        <v>39.131999999999998</v>
      </c>
      <c r="N220">
        <v>1.764</v>
      </c>
      <c r="P220" s="1">
        <f t="shared" si="21"/>
        <v>10.87</v>
      </c>
      <c r="Q220" s="3">
        <f t="shared" si="22"/>
        <v>-0.80000000000000071</v>
      </c>
      <c r="R220" s="3">
        <f t="shared" si="23"/>
        <v>-8.0000000000000071E-2</v>
      </c>
      <c r="S220" s="3">
        <f t="shared" si="25"/>
        <v>-0.14428571428571427</v>
      </c>
      <c r="U220" s="1">
        <f t="shared" si="24"/>
        <v>10.921428571428573</v>
      </c>
      <c r="V220" s="3">
        <f t="shared" si="26"/>
        <v>-0.14428571428571679</v>
      </c>
      <c r="W220" s="1">
        <f t="shared" si="27"/>
        <v>-0.12836734693877563</v>
      </c>
      <c r="X220" s="3"/>
    </row>
    <row r="221" spans="1:24" x14ac:dyDescent="0.25">
      <c r="A221" t="s">
        <v>16</v>
      </c>
      <c r="C221">
        <v>52.048166700000003</v>
      </c>
      <c r="D221">
        <v>-0.57195890000000005</v>
      </c>
      <c r="E221">
        <v>4</v>
      </c>
      <c r="F221">
        <v>4</v>
      </c>
      <c r="G221">
        <v>2022</v>
      </c>
      <c r="H221">
        <v>12</v>
      </c>
      <c r="I221">
        <v>55</v>
      </c>
      <c r="J221">
        <v>59.6</v>
      </c>
      <c r="K221">
        <v>32.61</v>
      </c>
      <c r="L221">
        <v>0</v>
      </c>
      <c r="M221">
        <v>39.707999999999998</v>
      </c>
      <c r="N221">
        <v>1.548</v>
      </c>
      <c r="P221" s="1">
        <f t="shared" si="21"/>
        <v>11.03</v>
      </c>
      <c r="Q221" s="3">
        <f t="shared" si="22"/>
        <v>1.6000000000000014</v>
      </c>
      <c r="R221" s="3">
        <f t="shared" si="23"/>
        <v>-0.13000000000000078</v>
      </c>
      <c r="S221" s="3">
        <f t="shared" si="25"/>
        <v>-9.714285714285685E-2</v>
      </c>
      <c r="U221" s="1">
        <f t="shared" si="24"/>
        <v>10.91</v>
      </c>
      <c r="V221" s="3">
        <f t="shared" si="26"/>
        <v>-9.7142857142857864E-2</v>
      </c>
      <c r="W221" s="1">
        <f t="shared" si="27"/>
        <v>-9.4081632653061575E-2</v>
      </c>
      <c r="X221" s="3"/>
    </row>
    <row r="222" spans="1:24" x14ac:dyDescent="0.25">
      <c r="A222" t="s">
        <v>16</v>
      </c>
      <c r="C222">
        <v>52.048147200000002</v>
      </c>
      <c r="D222">
        <v>-0.57195530000000006</v>
      </c>
      <c r="E222">
        <v>4</v>
      </c>
      <c r="F222">
        <v>4</v>
      </c>
      <c r="G222">
        <v>2022</v>
      </c>
      <c r="H222">
        <v>12</v>
      </c>
      <c r="I222">
        <v>55</v>
      </c>
      <c r="J222">
        <v>59.8</v>
      </c>
      <c r="K222">
        <v>32.61</v>
      </c>
      <c r="L222">
        <v>0</v>
      </c>
      <c r="M222">
        <v>39.24</v>
      </c>
      <c r="N222">
        <v>1.224</v>
      </c>
      <c r="P222" s="1">
        <f t="shared" si="21"/>
        <v>10.9</v>
      </c>
      <c r="Q222" s="3">
        <f t="shared" si="22"/>
        <v>-1.2999999999999901</v>
      </c>
      <c r="R222" s="3">
        <f t="shared" si="23"/>
        <v>-0.26999999999999957</v>
      </c>
      <c r="S222" s="3">
        <f t="shared" si="25"/>
        <v>-4.85714285714283E-2</v>
      </c>
      <c r="U222" s="1">
        <f t="shared" si="24"/>
        <v>10.870000000000001</v>
      </c>
      <c r="V222" s="3">
        <f t="shared" si="26"/>
        <v>-4.857142857142982E-2</v>
      </c>
      <c r="W222" s="1">
        <f t="shared" si="27"/>
        <v>-5.1632653061225345E-2</v>
      </c>
      <c r="X222" s="3"/>
    </row>
    <row r="223" spans="1:24" x14ac:dyDescent="0.25">
      <c r="A223" t="s">
        <v>16</v>
      </c>
      <c r="C223">
        <v>52.0481281</v>
      </c>
      <c r="D223">
        <v>-0.57195220000000002</v>
      </c>
      <c r="E223">
        <v>4</v>
      </c>
      <c r="F223">
        <v>4</v>
      </c>
      <c r="G223">
        <v>2022</v>
      </c>
      <c r="H223">
        <v>12</v>
      </c>
      <c r="I223">
        <v>56</v>
      </c>
      <c r="J223">
        <v>0</v>
      </c>
      <c r="K223">
        <v>32.61</v>
      </c>
      <c r="L223">
        <v>0</v>
      </c>
      <c r="M223">
        <v>38.988</v>
      </c>
      <c r="N223">
        <v>1.3320000000000001</v>
      </c>
      <c r="P223" s="1">
        <f t="shared" si="21"/>
        <v>10.83</v>
      </c>
      <c r="Q223" s="3">
        <f t="shared" si="22"/>
        <v>-0.70000000000000284</v>
      </c>
      <c r="R223" s="3">
        <f t="shared" si="23"/>
        <v>4.0000000000000924E-2</v>
      </c>
      <c r="S223" s="3">
        <f t="shared" si="25"/>
        <v>-1.2857142857142583E-2</v>
      </c>
      <c r="U223" s="1">
        <f t="shared" si="24"/>
        <v>10.864285714285712</v>
      </c>
      <c r="V223" s="3">
        <f t="shared" si="26"/>
        <v>-1.2857142857143344E-2</v>
      </c>
      <c r="W223" s="1">
        <f t="shared" si="27"/>
        <v>6.9387755102034987E-3</v>
      </c>
      <c r="X223" s="3"/>
    </row>
    <row r="224" spans="1:24" x14ac:dyDescent="0.25">
      <c r="A224" t="s">
        <v>16</v>
      </c>
      <c r="C224">
        <v>52.048108599999999</v>
      </c>
      <c r="D224">
        <v>-0.57194970000000001</v>
      </c>
      <c r="E224">
        <v>4</v>
      </c>
      <c r="F224">
        <v>4</v>
      </c>
      <c r="G224">
        <v>2022</v>
      </c>
      <c r="H224">
        <v>12</v>
      </c>
      <c r="I224">
        <v>56</v>
      </c>
      <c r="J224">
        <v>0.2</v>
      </c>
      <c r="K224">
        <v>32.61</v>
      </c>
      <c r="L224">
        <v>0</v>
      </c>
      <c r="M224">
        <v>38.988</v>
      </c>
      <c r="N224">
        <v>1.044</v>
      </c>
      <c r="P224" s="1">
        <f t="shared" si="21"/>
        <v>10.83</v>
      </c>
      <c r="Q224" s="3">
        <f t="shared" si="22"/>
        <v>0</v>
      </c>
      <c r="R224" s="3">
        <f t="shared" si="23"/>
        <v>2.000000000000135E-2</v>
      </c>
      <c r="S224" s="3">
        <f t="shared" si="25"/>
        <v>1.8571428571428936E-2</v>
      </c>
      <c r="U224" s="1">
        <f t="shared" si="24"/>
        <v>10.889999999999999</v>
      </c>
      <c r="V224" s="3">
        <f t="shared" si="26"/>
        <v>1.8571428571428683E-2</v>
      </c>
      <c r="W224" s="1">
        <f t="shared" si="27"/>
        <v>6.3265306122448753E-2</v>
      </c>
      <c r="X224" s="3"/>
    </row>
    <row r="225" spans="1:24" x14ac:dyDescent="0.25">
      <c r="A225" t="s">
        <v>16</v>
      </c>
      <c r="C225">
        <v>52.048089599999997</v>
      </c>
      <c r="D225">
        <v>-0.57194809999999996</v>
      </c>
      <c r="E225">
        <v>4</v>
      </c>
      <c r="F225">
        <v>4</v>
      </c>
      <c r="G225">
        <v>2022</v>
      </c>
      <c r="H225">
        <v>12</v>
      </c>
      <c r="I225">
        <v>56</v>
      </c>
      <c r="J225">
        <v>0.4</v>
      </c>
      <c r="K225">
        <v>32.61</v>
      </c>
      <c r="L225">
        <v>0</v>
      </c>
      <c r="M225">
        <v>38.448</v>
      </c>
      <c r="N225">
        <v>1.4039999999999999</v>
      </c>
      <c r="P225" s="1">
        <f t="shared" si="21"/>
        <v>10.68</v>
      </c>
      <c r="Q225" s="3">
        <f t="shared" si="22"/>
        <v>-1.5000000000000036</v>
      </c>
      <c r="R225" s="3">
        <f t="shared" si="23"/>
        <v>0.17999999999999972</v>
      </c>
      <c r="S225" s="3">
        <f t="shared" si="25"/>
        <v>0.1157142857142863</v>
      </c>
      <c r="U225" s="1">
        <f t="shared" si="24"/>
        <v>10.897142857142857</v>
      </c>
      <c r="V225" s="3">
        <f t="shared" si="26"/>
        <v>0.11571428571428477</v>
      </c>
      <c r="W225" s="1">
        <f t="shared" si="27"/>
        <v>0.11673469387755096</v>
      </c>
      <c r="X225" s="3"/>
    </row>
    <row r="226" spans="1:24" x14ac:dyDescent="0.25">
      <c r="A226" t="s">
        <v>16</v>
      </c>
      <c r="C226">
        <v>52.048070000000003</v>
      </c>
      <c r="D226">
        <v>-0.57194599999999995</v>
      </c>
      <c r="E226">
        <v>4</v>
      </c>
      <c r="F226">
        <v>4</v>
      </c>
      <c r="G226">
        <v>2022</v>
      </c>
      <c r="H226">
        <v>12</v>
      </c>
      <c r="I226">
        <v>56</v>
      </c>
      <c r="J226">
        <v>0.6</v>
      </c>
      <c r="K226">
        <v>32.61</v>
      </c>
      <c r="L226">
        <v>0</v>
      </c>
      <c r="M226">
        <v>39.276000000000003</v>
      </c>
      <c r="N226">
        <v>1.26</v>
      </c>
      <c r="P226" s="1">
        <f t="shared" si="21"/>
        <v>10.91</v>
      </c>
      <c r="Q226" s="3">
        <f t="shared" si="22"/>
        <v>2.3000000000000043</v>
      </c>
      <c r="R226" s="3">
        <f t="shared" si="23"/>
        <v>0.15000000000000036</v>
      </c>
      <c r="S226" s="3">
        <f t="shared" si="25"/>
        <v>0.21714285714285758</v>
      </c>
      <c r="U226" s="1">
        <f t="shared" si="24"/>
        <v>10.908571428571429</v>
      </c>
      <c r="V226" s="3">
        <f t="shared" si="26"/>
        <v>0.21714285714285886</v>
      </c>
      <c r="W226" s="1">
        <f t="shared" si="27"/>
        <v>0.16163265306122479</v>
      </c>
      <c r="X226" s="3"/>
    </row>
    <row r="227" spans="1:24" x14ac:dyDescent="0.25">
      <c r="A227" t="s">
        <v>16</v>
      </c>
      <c r="C227">
        <v>52.048050199999999</v>
      </c>
      <c r="D227">
        <v>-0.57194409999999996</v>
      </c>
      <c r="E227">
        <v>4</v>
      </c>
      <c r="F227">
        <v>4</v>
      </c>
      <c r="G227">
        <v>2022</v>
      </c>
      <c r="H227">
        <v>12</v>
      </c>
      <c r="I227">
        <v>56</v>
      </c>
      <c r="J227">
        <v>0.8</v>
      </c>
      <c r="K227">
        <v>32.909999999999997</v>
      </c>
      <c r="L227">
        <v>0</v>
      </c>
      <c r="M227">
        <v>39.78</v>
      </c>
      <c r="N227">
        <v>1.1519999999999999</v>
      </c>
      <c r="P227" s="1">
        <f t="shared" si="21"/>
        <v>11.05</v>
      </c>
      <c r="Q227" s="3">
        <f t="shared" si="22"/>
        <v>1.4000000000000057</v>
      </c>
      <c r="R227" s="3">
        <f t="shared" si="23"/>
        <v>0.14000000000000057</v>
      </c>
      <c r="S227" s="3">
        <f t="shared" si="25"/>
        <v>0.25000000000000028</v>
      </c>
      <c r="U227" s="1">
        <f t="shared" si="24"/>
        <v>10.928571428571429</v>
      </c>
      <c r="V227" s="3">
        <f t="shared" si="26"/>
        <v>0.25</v>
      </c>
      <c r="W227" s="1">
        <f t="shared" si="27"/>
        <v>0.20142857142857196</v>
      </c>
      <c r="X227" s="3"/>
    </row>
    <row r="228" spans="1:24" x14ac:dyDescent="0.25">
      <c r="A228" t="s">
        <v>16</v>
      </c>
      <c r="C228">
        <v>52.048031000000002</v>
      </c>
      <c r="D228">
        <v>-0.5719417</v>
      </c>
      <c r="E228">
        <v>4</v>
      </c>
      <c r="F228">
        <v>4</v>
      </c>
      <c r="G228">
        <v>2022</v>
      </c>
      <c r="H228">
        <v>12</v>
      </c>
      <c r="I228">
        <v>56</v>
      </c>
      <c r="J228">
        <v>1</v>
      </c>
      <c r="K228">
        <v>33.22</v>
      </c>
      <c r="L228">
        <v>0</v>
      </c>
      <c r="M228">
        <v>39.887999999999998</v>
      </c>
      <c r="N228">
        <v>0.93600000000000005</v>
      </c>
      <c r="P228" s="1">
        <f t="shared" si="21"/>
        <v>11.08</v>
      </c>
      <c r="Q228" s="3">
        <f t="shared" si="22"/>
        <v>0.29999999999999361</v>
      </c>
      <c r="R228" s="3">
        <f t="shared" si="23"/>
        <v>0.55000000000000071</v>
      </c>
      <c r="S228" s="3">
        <f t="shared" si="25"/>
        <v>0.27714285714285708</v>
      </c>
      <c r="U228" s="1">
        <f t="shared" si="24"/>
        <v>10.985714285714286</v>
      </c>
      <c r="V228" s="3">
        <f t="shared" si="26"/>
        <v>0.27714285714285758</v>
      </c>
      <c r="W228" s="1">
        <f t="shared" si="27"/>
        <v>0.23673469387755169</v>
      </c>
      <c r="X228" s="3"/>
    </row>
    <row r="229" spans="1:24" x14ac:dyDescent="0.25">
      <c r="A229" t="s">
        <v>16</v>
      </c>
      <c r="C229">
        <v>52.048011299999999</v>
      </c>
      <c r="D229">
        <v>-0.57193930000000004</v>
      </c>
      <c r="E229">
        <v>4</v>
      </c>
      <c r="F229">
        <v>4</v>
      </c>
      <c r="G229">
        <v>2022</v>
      </c>
      <c r="H229">
        <v>12</v>
      </c>
      <c r="I229">
        <v>56</v>
      </c>
      <c r="J229">
        <v>1.2</v>
      </c>
      <c r="K229">
        <v>33.22</v>
      </c>
      <c r="L229">
        <v>0</v>
      </c>
      <c r="M229">
        <v>39.527999999999999</v>
      </c>
      <c r="N229">
        <v>1.008</v>
      </c>
      <c r="P229" s="1">
        <f t="shared" si="21"/>
        <v>10.98</v>
      </c>
      <c r="Q229" s="3">
        <f t="shared" si="22"/>
        <v>-0.99999999999999645</v>
      </c>
      <c r="R229" s="3">
        <f t="shared" si="23"/>
        <v>0.4399999999999995</v>
      </c>
      <c r="S229" s="3">
        <f t="shared" si="25"/>
        <v>0.26571428571428563</v>
      </c>
      <c r="U229" s="1">
        <f t="shared" si="24"/>
        <v>11.081428571428571</v>
      </c>
      <c r="V229" s="3">
        <f t="shared" si="26"/>
        <v>0.2657142857142869</v>
      </c>
      <c r="W229" s="1">
        <f t="shared" si="27"/>
        <v>0.24469387755102115</v>
      </c>
      <c r="X229" s="3"/>
    </row>
    <row r="230" spans="1:24" x14ac:dyDescent="0.25">
      <c r="A230" t="s">
        <v>16</v>
      </c>
      <c r="C230">
        <v>52.047991600000003</v>
      </c>
      <c r="D230">
        <v>-0.57193629999999995</v>
      </c>
      <c r="E230">
        <v>4</v>
      </c>
      <c r="F230">
        <v>4</v>
      </c>
      <c r="G230">
        <v>2022</v>
      </c>
      <c r="H230">
        <v>12</v>
      </c>
      <c r="I230">
        <v>56</v>
      </c>
      <c r="J230">
        <v>1.4</v>
      </c>
      <c r="K230">
        <v>33.22</v>
      </c>
      <c r="L230">
        <v>0</v>
      </c>
      <c r="M230">
        <v>39.491999999999997</v>
      </c>
      <c r="N230">
        <v>1.3320000000000001</v>
      </c>
      <c r="P230" s="1">
        <f t="shared" si="21"/>
        <v>10.97</v>
      </c>
      <c r="Q230" s="3">
        <f t="shared" si="22"/>
        <v>-9.9999999999997868E-2</v>
      </c>
      <c r="R230" s="3">
        <f t="shared" si="23"/>
        <v>0.26999999999999957</v>
      </c>
      <c r="S230" s="3">
        <f t="shared" si="25"/>
        <v>0.2657142857142854</v>
      </c>
      <c r="U230" s="1">
        <f t="shared" si="24"/>
        <v>11.139999999999999</v>
      </c>
      <c r="V230" s="3">
        <f t="shared" si="26"/>
        <v>0.2657142857142869</v>
      </c>
      <c r="W230" s="1">
        <f t="shared" si="27"/>
        <v>0.22653061224489843</v>
      </c>
      <c r="X230" s="3"/>
    </row>
    <row r="231" spans="1:24" x14ac:dyDescent="0.25">
      <c r="A231" t="s">
        <v>16</v>
      </c>
      <c r="C231">
        <v>52.047971599999997</v>
      </c>
      <c r="D231">
        <v>-0.57193240000000001</v>
      </c>
      <c r="E231">
        <v>4</v>
      </c>
      <c r="F231">
        <v>4</v>
      </c>
      <c r="G231">
        <v>2022</v>
      </c>
      <c r="H231">
        <v>12</v>
      </c>
      <c r="I231">
        <v>56</v>
      </c>
      <c r="J231">
        <v>1.6</v>
      </c>
      <c r="K231">
        <v>33.22</v>
      </c>
      <c r="L231">
        <v>0</v>
      </c>
      <c r="M231">
        <v>40.427999999999997</v>
      </c>
      <c r="N231">
        <v>1.3680000000000001</v>
      </c>
      <c r="P231" s="1">
        <f t="shared" si="21"/>
        <v>11.23</v>
      </c>
      <c r="Q231" s="3">
        <f t="shared" si="22"/>
        <v>2.5999999999999979</v>
      </c>
      <c r="R231" s="3">
        <f t="shared" si="23"/>
        <v>0.20999999999999908</v>
      </c>
      <c r="S231" s="3">
        <f t="shared" si="25"/>
        <v>0.26571428571428513</v>
      </c>
      <c r="U231" s="1">
        <f t="shared" si="24"/>
        <v>11.174285714285714</v>
      </c>
      <c r="V231" s="3">
        <f t="shared" si="26"/>
        <v>0.2657142857142869</v>
      </c>
      <c r="W231" s="1">
        <f t="shared" si="27"/>
        <v>0.19775510204081645</v>
      </c>
      <c r="X231" s="3"/>
    </row>
    <row r="232" spans="1:24" x14ac:dyDescent="0.25">
      <c r="A232" t="s">
        <v>16</v>
      </c>
      <c r="C232">
        <v>52.047951500000003</v>
      </c>
      <c r="D232">
        <v>-0.57192889999999996</v>
      </c>
      <c r="E232">
        <v>4</v>
      </c>
      <c r="F232">
        <v>4</v>
      </c>
      <c r="G232">
        <v>2022</v>
      </c>
      <c r="H232">
        <v>12</v>
      </c>
      <c r="I232">
        <v>56</v>
      </c>
      <c r="J232">
        <v>1.8</v>
      </c>
      <c r="K232">
        <v>33.22</v>
      </c>
      <c r="L232">
        <v>0</v>
      </c>
      <c r="M232">
        <v>40.86</v>
      </c>
      <c r="N232">
        <v>0.64800000000000002</v>
      </c>
      <c r="P232" s="1">
        <f t="shared" si="21"/>
        <v>11.35</v>
      </c>
      <c r="Q232" s="3">
        <f t="shared" si="22"/>
        <v>1.1999999999999922</v>
      </c>
      <c r="R232" s="3">
        <f t="shared" si="23"/>
        <v>9.9999999999999645E-2</v>
      </c>
      <c r="S232" s="3">
        <f t="shared" si="25"/>
        <v>0.17142857142857082</v>
      </c>
      <c r="U232" s="1">
        <f t="shared" si="24"/>
        <v>11.174285714285716</v>
      </c>
      <c r="V232" s="3">
        <f t="shared" si="26"/>
        <v>0.17142857142857082</v>
      </c>
      <c r="W232" s="1">
        <f t="shared" si="27"/>
        <v>0.16367346938775487</v>
      </c>
      <c r="X232" s="3"/>
    </row>
    <row r="233" spans="1:24" x14ac:dyDescent="0.25">
      <c r="A233" t="s">
        <v>16</v>
      </c>
      <c r="C233">
        <v>52.047930899999997</v>
      </c>
      <c r="D233">
        <v>-0.57192540000000003</v>
      </c>
      <c r="E233">
        <v>4</v>
      </c>
      <c r="F233">
        <v>4</v>
      </c>
      <c r="G233">
        <v>2022</v>
      </c>
      <c r="H233">
        <v>12</v>
      </c>
      <c r="I233">
        <v>56</v>
      </c>
      <c r="J233">
        <v>2</v>
      </c>
      <c r="K233">
        <v>33.22</v>
      </c>
      <c r="L233">
        <v>0</v>
      </c>
      <c r="M233">
        <v>40.752000000000002</v>
      </c>
      <c r="N233">
        <v>0.75600000000000001</v>
      </c>
      <c r="P233" s="1">
        <f t="shared" si="21"/>
        <v>11.32</v>
      </c>
      <c r="Q233" s="3">
        <f t="shared" si="22"/>
        <v>-0.29999999999999361</v>
      </c>
      <c r="R233" s="3">
        <f t="shared" si="23"/>
        <v>0.14999999999999858</v>
      </c>
      <c r="S233" s="3">
        <f t="shared" si="25"/>
        <v>8.9999999999999344E-2</v>
      </c>
      <c r="U233" s="1">
        <f t="shared" si="24"/>
        <v>11.194285714285716</v>
      </c>
      <c r="V233" s="3">
        <f t="shared" si="26"/>
        <v>8.9999999999999858E-2</v>
      </c>
      <c r="W233" s="1">
        <f t="shared" si="27"/>
        <v>0.12816326530612163</v>
      </c>
      <c r="X233" s="3"/>
    </row>
    <row r="234" spans="1:24" x14ac:dyDescent="0.25">
      <c r="A234" t="s">
        <v>16</v>
      </c>
      <c r="C234">
        <v>52.0479105</v>
      </c>
      <c r="D234">
        <v>-0.57192180000000004</v>
      </c>
      <c r="E234">
        <v>4</v>
      </c>
      <c r="F234">
        <v>4</v>
      </c>
      <c r="G234">
        <v>2022</v>
      </c>
      <c r="H234">
        <v>12</v>
      </c>
      <c r="I234">
        <v>56</v>
      </c>
      <c r="J234">
        <v>2.2000000000000002</v>
      </c>
      <c r="K234">
        <v>33.22</v>
      </c>
      <c r="L234">
        <v>0</v>
      </c>
      <c r="M234">
        <v>40.643999999999998</v>
      </c>
      <c r="N234">
        <v>0.72</v>
      </c>
      <c r="P234" s="1">
        <f t="shared" si="21"/>
        <v>11.29</v>
      </c>
      <c r="Q234" s="3">
        <f t="shared" si="22"/>
        <v>-0.30000000000001137</v>
      </c>
      <c r="R234" s="3">
        <f t="shared" si="23"/>
        <v>0.13999999999999879</v>
      </c>
      <c r="S234" s="3">
        <f t="shared" si="25"/>
        <v>4.8571428571428044E-2</v>
      </c>
      <c r="U234" s="1">
        <f t="shared" si="24"/>
        <v>11.251428571428573</v>
      </c>
      <c r="V234" s="3">
        <f t="shared" si="26"/>
        <v>4.8571428571426267E-2</v>
      </c>
      <c r="W234" s="1">
        <f t="shared" si="27"/>
        <v>7.5102040816324891E-2</v>
      </c>
      <c r="X234" s="3"/>
    </row>
    <row r="235" spans="1:24" x14ac:dyDescent="0.25">
      <c r="A235" t="s">
        <v>16</v>
      </c>
      <c r="C235">
        <v>52.0478904</v>
      </c>
      <c r="D235">
        <v>-0.57191820000000004</v>
      </c>
      <c r="E235">
        <v>4</v>
      </c>
      <c r="F235">
        <v>4</v>
      </c>
      <c r="G235">
        <v>2022</v>
      </c>
      <c r="H235">
        <v>12</v>
      </c>
      <c r="I235">
        <v>56</v>
      </c>
      <c r="J235">
        <v>2.4</v>
      </c>
      <c r="K235">
        <v>33.22</v>
      </c>
      <c r="L235">
        <v>0</v>
      </c>
      <c r="M235">
        <v>39.887999999999998</v>
      </c>
      <c r="N235">
        <v>1.008</v>
      </c>
      <c r="P235" s="1">
        <f t="shared" si="21"/>
        <v>11.08</v>
      </c>
      <c r="Q235" s="3">
        <f t="shared" si="22"/>
        <v>-2.0999999999999908</v>
      </c>
      <c r="R235" s="3">
        <f t="shared" si="23"/>
        <v>-0.10999999999999943</v>
      </c>
      <c r="S235" s="3">
        <f t="shared" si="25"/>
        <v>3.8571428571428257E-2</v>
      </c>
      <c r="U235" s="1">
        <f t="shared" si="24"/>
        <v>11.252857142857142</v>
      </c>
      <c r="V235" s="3">
        <f t="shared" si="26"/>
        <v>3.857142857142648E-2</v>
      </c>
      <c r="W235" s="1">
        <f t="shared" si="27"/>
        <v>8.9795918367330894E-3</v>
      </c>
      <c r="X235" s="3"/>
    </row>
    <row r="236" spans="1:24" x14ac:dyDescent="0.25">
      <c r="A236" t="s">
        <v>16</v>
      </c>
      <c r="C236">
        <v>52.047870699999997</v>
      </c>
      <c r="D236">
        <v>-0.57191400000000003</v>
      </c>
      <c r="E236">
        <v>4</v>
      </c>
      <c r="F236">
        <v>4</v>
      </c>
      <c r="G236">
        <v>2022</v>
      </c>
      <c r="H236">
        <v>12</v>
      </c>
      <c r="I236">
        <v>56</v>
      </c>
      <c r="J236">
        <v>2.6</v>
      </c>
      <c r="K236">
        <v>33.22</v>
      </c>
      <c r="L236">
        <v>0</v>
      </c>
      <c r="M236">
        <v>40.031999999999996</v>
      </c>
      <c r="N236">
        <v>1.008</v>
      </c>
      <c r="P236" s="1">
        <f t="shared" si="21"/>
        <v>11.12</v>
      </c>
      <c r="Q236" s="3">
        <f t="shared" si="22"/>
        <v>0.39999999999999147</v>
      </c>
      <c r="R236" s="3">
        <f t="shared" si="23"/>
        <v>-0.13000000000000078</v>
      </c>
      <c r="S236" s="3">
        <f t="shared" si="25"/>
        <v>1.7142857142857033E-2</v>
      </c>
      <c r="U236" s="1">
        <f t="shared" si="24"/>
        <v>11.229999999999999</v>
      </c>
      <c r="V236" s="3">
        <f t="shared" si="26"/>
        <v>1.714285714285424E-2</v>
      </c>
      <c r="W236" s="1">
        <f t="shared" si="27"/>
        <v>-4.9183673469389282E-2</v>
      </c>
      <c r="X236" s="3"/>
    </row>
    <row r="237" spans="1:24" x14ac:dyDescent="0.25">
      <c r="A237" t="s">
        <v>16</v>
      </c>
      <c r="C237">
        <v>52.047849900000003</v>
      </c>
      <c r="D237">
        <v>-0.57190940000000001</v>
      </c>
      <c r="E237">
        <v>4</v>
      </c>
      <c r="F237">
        <v>4</v>
      </c>
      <c r="G237">
        <v>2022</v>
      </c>
      <c r="H237">
        <v>12</v>
      </c>
      <c r="I237">
        <v>56</v>
      </c>
      <c r="J237">
        <v>2.8</v>
      </c>
      <c r="K237">
        <v>32.909999999999997</v>
      </c>
      <c r="L237">
        <v>0</v>
      </c>
      <c r="M237">
        <v>40.932000000000002</v>
      </c>
      <c r="N237">
        <v>0.75600000000000001</v>
      </c>
      <c r="P237" s="1">
        <f t="shared" si="21"/>
        <v>11.37</v>
      </c>
      <c r="Q237" s="3">
        <f t="shared" si="22"/>
        <v>2.5</v>
      </c>
      <c r="R237" s="3">
        <f t="shared" si="23"/>
        <v>-1.9999999999999574E-2</v>
      </c>
      <c r="S237" s="3">
        <f t="shared" si="25"/>
        <v>-0.1057142857142855</v>
      </c>
      <c r="U237" s="1">
        <f t="shared" si="24"/>
        <v>11.222857142857141</v>
      </c>
      <c r="V237" s="3">
        <f t="shared" si="26"/>
        <v>-0.10571428571429031</v>
      </c>
      <c r="W237" s="1">
        <f t="shared" si="27"/>
        <v>-9.9795918367348177E-2</v>
      </c>
      <c r="X237" s="3"/>
    </row>
    <row r="238" spans="1:24" x14ac:dyDescent="0.25">
      <c r="A238" t="s">
        <v>16</v>
      </c>
      <c r="C238">
        <v>52.047829399999998</v>
      </c>
      <c r="D238">
        <v>-0.57190470000000004</v>
      </c>
      <c r="E238">
        <v>4</v>
      </c>
      <c r="F238">
        <v>4</v>
      </c>
      <c r="G238">
        <v>2022</v>
      </c>
      <c r="H238">
        <v>12</v>
      </c>
      <c r="I238">
        <v>56</v>
      </c>
      <c r="J238">
        <v>3</v>
      </c>
      <c r="K238">
        <v>32.909999999999997</v>
      </c>
      <c r="L238">
        <v>0</v>
      </c>
      <c r="M238">
        <v>40.463999999999999</v>
      </c>
      <c r="N238">
        <v>0.9</v>
      </c>
      <c r="P238" s="1">
        <f t="shared" si="21"/>
        <v>11.24</v>
      </c>
      <c r="Q238" s="3">
        <f t="shared" si="22"/>
        <v>-1.2999999999999901</v>
      </c>
      <c r="R238" s="3">
        <f t="shared" si="23"/>
        <v>0.14000000000000057</v>
      </c>
      <c r="S238" s="3">
        <f t="shared" si="25"/>
        <v>-0.19714285714285676</v>
      </c>
      <c r="U238" s="1">
        <f t="shared" si="24"/>
        <v>11.212857142857143</v>
      </c>
      <c r="V238" s="3">
        <f t="shared" si="26"/>
        <v>-0.19714285714285573</v>
      </c>
      <c r="W238" s="1">
        <f t="shared" si="27"/>
        <v>-0.14795918367347</v>
      </c>
      <c r="X238" s="3"/>
    </row>
    <row r="239" spans="1:24" x14ac:dyDescent="0.25">
      <c r="A239" t="s">
        <v>16</v>
      </c>
      <c r="C239">
        <v>52.047809399999998</v>
      </c>
      <c r="D239">
        <v>-0.57190070000000004</v>
      </c>
      <c r="E239">
        <v>4</v>
      </c>
      <c r="F239">
        <v>4</v>
      </c>
      <c r="G239">
        <v>2022</v>
      </c>
      <c r="H239">
        <v>12</v>
      </c>
      <c r="I239">
        <v>56</v>
      </c>
      <c r="J239">
        <v>3.2</v>
      </c>
      <c r="K239">
        <v>32.61</v>
      </c>
      <c r="L239">
        <v>0</v>
      </c>
      <c r="M239">
        <v>40.283999999999999</v>
      </c>
      <c r="N239">
        <v>0.86399999999999999</v>
      </c>
      <c r="P239" s="1">
        <f t="shared" si="21"/>
        <v>11.19</v>
      </c>
      <c r="Q239" s="3">
        <f t="shared" si="22"/>
        <v>-0.50000000000000711</v>
      </c>
      <c r="R239" s="3">
        <f t="shared" si="23"/>
        <v>-4.9999999999998934E-2</v>
      </c>
      <c r="S239" s="3">
        <f t="shared" si="25"/>
        <v>-0.23571428571428527</v>
      </c>
      <c r="U239" s="1">
        <f t="shared" si="24"/>
        <v>11.21142857142857</v>
      </c>
      <c r="V239" s="3">
        <f t="shared" si="26"/>
        <v>-0.23571428571428577</v>
      </c>
      <c r="W239" s="1">
        <f t="shared" si="27"/>
        <v>-0.19959183673469408</v>
      </c>
      <c r="X239" s="3"/>
    </row>
    <row r="240" spans="1:24" x14ac:dyDescent="0.25">
      <c r="A240" t="s">
        <v>16</v>
      </c>
      <c r="C240">
        <v>52.047789299999998</v>
      </c>
      <c r="D240">
        <v>-0.57189769999999995</v>
      </c>
      <c r="E240">
        <v>4</v>
      </c>
      <c r="F240">
        <v>4</v>
      </c>
      <c r="G240">
        <v>2022</v>
      </c>
      <c r="H240">
        <v>12</v>
      </c>
      <c r="I240">
        <v>56</v>
      </c>
      <c r="J240">
        <v>3.4</v>
      </c>
      <c r="K240">
        <v>32.61</v>
      </c>
      <c r="L240">
        <v>0</v>
      </c>
      <c r="M240">
        <v>40.572000000000003</v>
      </c>
      <c r="N240">
        <v>0.97199999999999998</v>
      </c>
      <c r="P240" s="1">
        <f t="shared" si="21"/>
        <v>11.27</v>
      </c>
      <c r="Q240" s="3">
        <f t="shared" si="22"/>
        <v>0.80000000000000071</v>
      </c>
      <c r="R240" s="3">
        <f t="shared" si="23"/>
        <v>-0.70999999999999908</v>
      </c>
      <c r="S240" s="3">
        <f t="shared" si="25"/>
        <v>-0.26428571428571374</v>
      </c>
      <c r="U240" s="1">
        <f t="shared" si="24"/>
        <v>11.145714285714282</v>
      </c>
      <c r="V240" s="3">
        <f t="shared" si="26"/>
        <v>-0.26428571428571246</v>
      </c>
      <c r="W240" s="3"/>
      <c r="X240" s="3"/>
    </row>
    <row r="241" spans="1:24" x14ac:dyDescent="0.25">
      <c r="A241" t="s">
        <v>16</v>
      </c>
      <c r="C241">
        <v>52.047769199999998</v>
      </c>
      <c r="D241">
        <v>-0.5718955</v>
      </c>
      <c r="E241">
        <v>4</v>
      </c>
      <c r="F241">
        <v>4</v>
      </c>
      <c r="G241">
        <v>2022</v>
      </c>
      <c r="H241">
        <v>12</v>
      </c>
      <c r="I241">
        <v>56</v>
      </c>
      <c r="J241">
        <v>3.6</v>
      </c>
      <c r="K241">
        <v>32.61</v>
      </c>
      <c r="L241">
        <v>0</v>
      </c>
      <c r="M241">
        <v>40.392000000000003</v>
      </c>
      <c r="N241">
        <v>1.008</v>
      </c>
      <c r="P241" s="1">
        <f t="shared" si="21"/>
        <v>11.22</v>
      </c>
      <c r="Q241" s="3">
        <f t="shared" si="22"/>
        <v>-0.49999999999998934</v>
      </c>
      <c r="R241" s="3">
        <f t="shared" si="23"/>
        <v>-0.5</v>
      </c>
      <c r="S241" s="3">
        <f t="shared" si="25"/>
        <v>-0.28857142857142826</v>
      </c>
      <c r="U241" s="1">
        <f t="shared" si="24"/>
        <v>11.055714285714286</v>
      </c>
      <c r="V241" s="3">
        <f t="shared" si="26"/>
        <v>-0.28857142857142648</v>
      </c>
      <c r="W241" s="3"/>
      <c r="X241" s="3"/>
    </row>
    <row r="242" spans="1:24" x14ac:dyDescent="0.25">
      <c r="A242" t="s">
        <v>16</v>
      </c>
      <c r="C242">
        <v>52.047748900000002</v>
      </c>
      <c r="D242">
        <v>-0.5718936</v>
      </c>
      <c r="E242">
        <v>4</v>
      </c>
      <c r="F242">
        <v>4</v>
      </c>
      <c r="G242">
        <v>2022</v>
      </c>
      <c r="H242">
        <v>12</v>
      </c>
      <c r="I242">
        <v>56</v>
      </c>
      <c r="J242">
        <v>3.8</v>
      </c>
      <c r="K242">
        <v>32.61</v>
      </c>
      <c r="L242">
        <v>0</v>
      </c>
      <c r="M242">
        <v>39.851999999999997</v>
      </c>
      <c r="N242">
        <v>1.224</v>
      </c>
      <c r="P242" s="1">
        <f t="shared" si="21"/>
        <v>11.07</v>
      </c>
      <c r="Q242" s="3">
        <f t="shared" si="22"/>
        <v>-1.5000000000000036</v>
      </c>
      <c r="R242" s="3">
        <f t="shared" si="23"/>
        <v>-0.37999999999999901</v>
      </c>
      <c r="S242" s="3">
        <f t="shared" si="25"/>
        <v>-0.32285714285714256</v>
      </c>
      <c r="U242" s="1">
        <f t="shared" si="24"/>
        <v>10.994285714285713</v>
      </c>
      <c r="V242" s="3">
        <f t="shared" si="26"/>
        <v>-0.32285714285714207</v>
      </c>
      <c r="W242" s="3"/>
      <c r="X242" s="3"/>
    </row>
    <row r="243" spans="1:24" x14ac:dyDescent="0.25">
      <c r="A243" t="s">
        <v>16</v>
      </c>
      <c r="C243">
        <v>52.047730299999998</v>
      </c>
      <c r="D243">
        <v>-0.57189319999999999</v>
      </c>
      <c r="E243">
        <v>4</v>
      </c>
      <c r="F243">
        <v>4</v>
      </c>
      <c r="G243">
        <v>2022</v>
      </c>
      <c r="H243">
        <v>12</v>
      </c>
      <c r="I243">
        <v>56</v>
      </c>
      <c r="J243">
        <v>4</v>
      </c>
      <c r="K243">
        <v>32.61</v>
      </c>
      <c r="L243">
        <v>0</v>
      </c>
      <c r="M243">
        <v>38.375999999999998</v>
      </c>
      <c r="N243">
        <v>1.224</v>
      </c>
      <c r="P243" s="1">
        <f t="shared" si="21"/>
        <v>10.66</v>
      </c>
      <c r="Q243" s="3">
        <f t="shared" si="22"/>
        <v>-4.1000000000000014</v>
      </c>
      <c r="R243" s="3">
        <f t="shared" si="23"/>
        <v>-0.33000000000000007</v>
      </c>
      <c r="S243" s="3"/>
      <c r="U243" s="1">
        <f t="shared" si="24"/>
        <v>10.958571428571428</v>
      </c>
      <c r="V243" s="3"/>
      <c r="W243" s="3"/>
      <c r="X243" s="3"/>
    </row>
    <row r="244" spans="1:24" x14ac:dyDescent="0.25">
      <c r="A244" t="s">
        <v>16</v>
      </c>
      <c r="C244">
        <v>52.047710700000003</v>
      </c>
      <c r="D244">
        <v>-0.57189350000000005</v>
      </c>
      <c r="E244">
        <v>4</v>
      </c>
      <c r="F244">
        <v>4</v>
      </c>
      <c r="G244">
        <v>2022</v>
      </c>
      <c r="H244">
        <v>12</v>
      </c>
      <c r="I244">
        <v>56</v>
      </c>
      <c r="J244">
        <v>4.2</v>
      </c>
      <c r="K244">
        <v>32.61</v>
      </c>
      <c r="L244">
        <v>0</v>
      </c>
      <c r="M244">
        <v>38.664000000000001</v>
      </c>
      <c r="N244">
        <v>1.08</v>
      </c>
      <c r="P244" s="1">
        <f t="shared" si="21"/>
        <v>10.74</v>
      </c>
      <c r="Q244" s="3">
        <f t="shared" si="22"/>
        <v>0.80000000000000071</v>
      </c>
      <c r="R244" s="3">
        <f t="shared" si="23"/>
        <v>-0.19000000000000128</v>
      </c>
      <c r="S244" s="3"/>
      <c r="U244" s="1">
        <f t="shared" si="24"/>
        <v>10.924285714285716</v>
      </c>
      <c r="V244" s="3"/>
      <c r="W244" s="3"/>
      <c r="X244" s="3"/>
    </row>
    <row r="245" spans="1:24" x14ac:dyDescent="0.25">
      <c r="A245" t="s">
        <v>16</v>
      </c>
      <c r="C245">
        <v>52.047691299999997</v>
      </c>
      <c r="D245">
        <v>-0.57189460000000003</v>
      </c>
      <c r="E245">
        <v>4</v>
      </c>
      <c r="F245">
        <v>4</v>
      </c>
      <c r="G245">
        <v>2022</v>
      </c>
      <c r="H245">
        <v>12</v>
      </c>
      <c r="I245">
        <v>56</v>
      </c>
      <c r="J245">
        <v>4.4000000000000004</v>
      </c>
      <c r="K245">
        <v>32.61</v>
      </c>
      <c r="L245">
        <v>0</v>
      </c>
      <c r="M245">
        <v>38.915999999999997</v>
      </c>
      <c r="N245">
        <v>1.3320000000000001</v>
      </c>
      <c r="P245" s="1">
        <f t="shared" si="21"/>
        <v>10.81</v>
      </c>
      <c r="Q245" s="3">
        <f t="shared" si="22"/>
        <v>0.70000000000000284</v>
      </c>
      <c r="R245" s="3">
        <f t="shared" si="23"/>
        <v>-9.9999999999999645E-2</v>
      </c>
      <c r="S245" s="3"/>
      <c r="U245" s="1">
        <f t="shared" si="24"/>
        <v>10.888571428571428</v>
      </c>
      <c r="V245" s="3"/>
      <c r="W245" s="3"/>
      <c r="X245" s="3"/>
    </row>
    <row r="246" spans="1:24" x14ac:dyDescent="0.25">
      <c r="A246" t="s">
        <v>16</v>
      </c>
      <c r="C246">
        <v>52.047671399999999</v>
      </c>
      <c r="D246">
        <v>-0.57189440000000002</v>
      </c>
      <c r="E246">
        <v>4</v>
      </c>
      <c r="F246">
        <v>4</v>
      </c>
      <c r="G246">
        <v>2022</v>
      </c>
      <c r="H246">
        <v>12</v>
      </c>
      <c r="I246">
        <v>56</v>
      </c>
      <c r="J246">
        <v>4.5999999999999996</v>
      </c>
      <c r="K246">
        <v>32.61</v>
      </c>
      <c r="L246">
        <v>0</v>
      </c>
      <c r="M246">
        <v>39.384</v>
      </c>
      <c r="N246">
        <v>1.4039999999999999</v>
      </c>
      <c r="P246" s="1">
        <f t="shared" si="21"/>
        <v>10.94</v>
      </c>
      <c r="Q246" s="3">
        <f t="shared" si="22"/>
        <v>1.2999999999999901</v>
      </c>
      <c r="R246" s="3"/>
      <c r="S246" s="3"/>
      <c r="U246" s="1"/>
      <c r="V246" s="3"/>
      <c r="W246" s="3"/>
      <c r="X246" s="3"/>
    </row>
    <row r="247" spans="1:24" x14ac:dyDescent="0.25">
      <c r="A247" t="s">
        <v>16</v>
      </c>
      <c r="C247">
        <v>52.047651500000001</v>
      </c>
      <c r="D247">
        <v>-0.57189319999999999</v>
      </c>
      <c r="E247">
        <v>4</v>
      </c>
      <c r="F247">
        <v>4</v>
      </c>
      <c r="G247">
        <v>2022</v>
      </c>
      <c r="H247">
        <v>12</v>
      </c>
      <c r="I247">
        <v>56</v>
      </c>
      <c r="J247">
        <v>4.8</v>
      </c>
      <c r="K247">
        <v>32.61</v>
      </c>
      <c r="L247">
        <v>0</v>
      </c>
      <c r="M247">
        <v>39.707999999999998</v>
      </c>
      <c r="N247">
        <v>0.97199999999999998</v>
      </c>
      <c r="P247" s="1">
        <f t="shared" si="21"/>
        <v>11.03</v>
      </c>
      <c r="Q247" s="3">
        <f t="shared" si="22"/>
        <v>0.89999999999999858</v>
      </c>
      <c r="R247" s="3"/>
      <c r="S247" s="3"/>
      <c r="U247" s="1"/>
      <c r="V247" s="3"/>
      <c r="W247" s="3"/>
      <c r="X247" s="3"/>
    </row>
    <row r="248" spans="1:24" x14ac:dyDescent="0.25">
      <c r="A248" t="s">
        <v>16</v>
      </c>
      <c r="C248">
        <v>52.047631799999998</v>
      </c>
      <c r="D248">
        <v>-0.57189179999999995</v>
      </c>
      <c r="E248">
        <v>4</v>
      </c>
      <c r="F248">
        <v>4</v>
      </c>
      <c r="G248">
        <v>2022</v>
      </c>
      <c r="H248">
        <v>12</v>
      </c>
      <c r="I248">
        <v>56</v>
      </c>
      <c r="J248">
        <v>5</v>
      </c>
      <c r="K248">
        <v>32.61</v>
      </c>
      <c r="L248">
        <v>0</v>
      </c>
      <c r="M248">
        <v>39.491999999999997</v>
      </c>
      <c r="N248">
        <v>0.97199999999999998</v>
      </c>
      <c r="P248" s="1">
        <f t="shared" si="21"/>
        <v>10.97</v>
      </c>
      <c r="Q248" s="3">
        <f t="shared" si="22"/>
        <v>-0.59999999999998721</v>
      </c>
      <c r="R248" s="3"/>
      <c r="S248" s="3"/>
      <c r="U248" s="1"/>
      <c r="V248" s="3"/>
      <c r="W248" s="3"/>
      <c r="X248" s="3"/>
    </row>
    <row r="249" spans="1:24" x14ac:dyDescent="0.25">
      <c r="P249" s="1"/>
      <c r="Q249" s="3"/>
      <c r="R249" s="3"/>
      <c r="S249" s="3"/>
      <c r="U249" s="1"/>
      <c r="V249" s="3"/>
      <c r="W249" s="3"/>
      <c r="X249" s="3"/>
    </row>
    <row r="250" spans="1:24" x14ac:dyDescent="0.25">
      <c r="P250" s="1"/>
      <c r="Q250" s="3"/>
      <c r="R250" s="3"/>
      <c r="S250" s="3"/>
      <c r="U250" s="1"/>
      <c r="V250" s="3"/>
      <c r="W250" s="3"/>
      <c r="X250" s="3"/>
    </row>
    <row r="251" spans="1:24" x14ac:dyDescent="0.25">
      <c r="P251" s="1"/>
      <c r="Q251" s="3"/>
      <c r="R251" s="3"/>
      <c r="S251" s="3"/>
      <c r="U251" s="1"/>
      <c r="V251" s="3"/>
      <c r="W251" s="3"/>
      <c r="X251" s="3"/>
    </row>
    <row r="252" spans="1:24" x14ac:dyDescent="0.25">
      <c r="P252" s="1"/>
      <c r="Q252" s="3"/>
      <c r="R252" s="3"/>
      <c r="S252" s="3"/>
      <c r="U252" s="1"/>
      <c r="V252" s="3"/>
      <c r="W252" s="3"/>
      <c r="X252" s="3"/>
    </row>
    <row r="253" spans="1:24" x14ac:dyDescent="0.25">
      <c r="P253" s="1"/>
      <c r="Q253" s="3"/>
      <c r="R253" s="3"/>
      <c r="S253" s="3"/>
      <c r="U253" s="1"/>
      <c r="V253" s="3"/>
      <c r="W253" s="3"/>
      <c r="X253" s="3"/>
    </row>
    <row r="254" spans="1:24" x14ac:dyDescent="0.25">
      <c r="P254" s="1"/>
      <c r="Q254" s="3"/>
      <c r="R254" s="3"/>
      <c r="S254" s="3"/>
      <c r="U254" s="1"/>
      <c r="V254" s="3"/>
      <c r="W254" s="3"/>
      <c r="X254" s="3"/>
    </row>
    <row r="255" spans="1:24" x14ac:dyDescent="0.25">
      <c r="P255" s="1"/>
      <c r="Q255" s="3"/>
      <c r="R255" s="3"/>
      <c r="S255" s="3"/>
      <c r="U255" s="1"/>
      <c r="V255" s="3"/>
      <c r="W255" s="3"/>
      <c r="X255" s="3"/>
    </row>
    <row r="256" spans="1:24" x14ac:dyDescent="0.25">
      <c r="P256" s="1"/>
      <c r="Q256" s="3"/>
      <c r="R256" s="3"/>
      <c r="S256" s="3"/>
      <c r="U256" s="1"/>
      <c r="V256" s="3"/>
      <c r="W256" s="3"/>
      <c r="X256" s="3"/>
    </row>
    <row r="257" spans="16:24" x14ac:dyDescent="0.25">
      <c r="P257" s="1"/>
      <c r="Q257" s="3"/>
      <c r="R257" s="3"/>
      <c r="S257" s="3"/>
      <c r="U257" s="1"/>
      <c r="V257" s="3"/>
      <c r="W257" s="3"/>
      <c r="X257" s="3"/>
    </row>
    <row r="258" spans="16:24" x14ac:dyDescent="0.25">
      <c r="P258" s="1"/>
      <c r="Q258" s="3"/>
      <c r="R258" s="3"/>
      <c r="S258" s="3"/>
      <c r="U258" s="1"/>
      <c r="V258" s="3"/>
      <c r="W258" s="3"/>
      <c r="X258" s="3"/>
    </row>
    <row r="259" spans="16:24" x14ac:dyDescent="0.25">
      <c r="P259" s="1"/>
      <c r="Q259" s="3"/>
      <c r="R259" s="3"/>
      <c r="S259" s="3"/>
      <c r="U259" s="1"/>
      <c r="V259" s="3"/>
      <c r="W259" s="3"/>
      <c r="X259" s="3"/>
    </row>
    <row r="260" spans="16:24" x14ac:dyDescent="0.25">
      <c r="P260" s="1"/>
      <c r="Q260" s="3"/>
      <c r="R260" s="3"/>
      <c r="S260" s="3"/>
      <c r="U260" s="1"/>
      <c r="V260" s="3"/>
      <c r="W260" s="3"/>
      <c r="X260" s="3"/>
    </row>
    <row r="261" spans="16:24" x14ac:dyDescent="0.25">
      <c r="P261" s="1"/>
      <c r="Q261" s="3"/>
      <c r="R261" s="3"/>
      <c r="S261" s="3"/>
      <c r="U261" s="1"/>
      <c r="V261" s="3"/>
      <c r="W261" s="3"/>
      <c r="X261" s="3"/>
    </row>
    <row r="262" spans="16:24" x14ac:dyDescent="0.25">
      <c r="P262" s="1"/>
      <c r="Q262" s="3"/>
      <c r="R262" s="3"/>
      <c r="S262" s="3"/>
      <c r="U262" s="1"/>
      <c r="V262" s="3"/>
      <c r="W262" s="3"/>
      <c r="X262" s="3"/>
    </row>
    <row r="263" spans="16:24" x14ac:dyDescent="0.25">
      <c r="P263" s="1"/>
      <c r="Q263" s="3"/>
      <c r="R263" s="3"/>
      <c r="S263" s="3"/>
      <c r="U263" s="1"/>
      <c r="V263" s="3"/>
      <c r="W263" s="3"/>
      <c r="X263" s="3"/>
    </row>
    <row r="264" spans="16:24" x14ac:dyDescent="0.25">
      <c r="P264" s="1"/>
      <c r="Q264" s="3"/>
      <c r="R264" s="3"/>
      <c r="S264" s="3"/>
      <c r="U264" s="1"/>
      <c r="V264" s="3"/>
      <c r="W264" s="3"/>
      <c r="X264" s="3"/>
    </row>
    <row r="265" spans="16:24" x14ac:dyDescent="0.25">
      <c r="P265" s="1"/>
      <c r="Q265" s="3"/>
      <c r="R265" s="3"/>
      <c r="S265" s="3"/>
      <c r="U265" s="1"/>
      <c r="V265" s="3"/>
      <c r="W265" s="3"/>
      <c r="X265" s="3"/>
    </row>
    <row r="266" spans="16:24" x14ac:dyDescent="0.25">
      <c r="P266" s="1"/>
      <c r="Q266" s="3"/>
      <c r="R266" s="3"/>
      <c r="S266" s="3"/>
      <c r="U266" s="1"/>
      <c r="V266" s="3"/>
      <c r="W266" s="3"/>
      <c r="X266" s="3"/>
    </row>
    <row r="267" spans="16:24" x14ac:dyDescent="0.25">
      <c r="P267" s="1"/>
      <c r="Q267" s="3"/>
      <c r="R267" s="3"/>
      <c r="S267" s="3"/>
      <c r="U267" s="1"/>
      <c r="V267" s="3"/>
      <c r="W267" s="3"/>
      <c r="X267" s="3"/>
    </row>
    <row r="268" spans="16:24" x14ac:dyDescent="0.25">
      <c r="P268" s="1"/>
      <c r="Q268" s="3"/>
      <c r="R268" s="3"/>
      <c r="S268" s="3"/>
      <c r="U268" s="1"/>
      <c r="V268" s="3"/>
      <c r="W268" s="3"/>
      <c r="X268" s="3"/>
    </row>
    <row r="269" spans="16:24" x14ac:dyDescent="0.25">
      <c r="P269" s="1"/>
      <c r="Q269" s="3"/>
      <c r="R269" s="3"/>
      <c r="S269" s="3"/>
      <c r="U269" s="1"/>
      <c r="V269" s="3"/>
      <c r="W269" s="3"/>
      <c r="X269" s="3"/>
    </row>
    <row r="270" spans="16:24" x14ac:dyDescent="0.25">
      <c r="P270" s="1"/>
      <c r="Q270" s="3"/>
      <c r="R270" s="3"/>
      <c r="S270" s="3"/>
      <c r="U270" s="1"/>
      <c r="V270" s="3"/>
      <c r="W270" s="3"/>
      <c r="X270" s="3"/>
    </row>
    <row r="271" spans="16:24" x14ac:dyDescent="0.25">
      <c r="P271" s="1"/>
      <c r="Q271" s="3"/>
      <c r="R271" s="3"/>
      <c r="S271" s="3"/>
      <c r="U271" s="1"/>
      <c r="V271" s="3"/>
      <c r="W271" s="3"/>
      <c r="X271" s="3"/>
    </row>
    <row r="272" spans="16:24" x14ac:dyDescent="0.25">
      <c r="P272" s="1"/>
      <c r="Q272" s="3"/>
      <c r="R272" s="3"/>
      <c r="S272" s="3"/>
      <c r="U272" s="1"/>
      <c r="V272" s="3"/>
      <c r="W272" s="3"/>
      <c r="X272" s="3"/>
    </row>
    <row r="273" spans="16:24" x14ac:dyDescent="0.25">
      <c r="P273" s="1"/>
      <c r="Q273" s="3"/>
      <c r="R273" s="3"/>
      <c r="S273" s="3"/>
      <c r="U273" s="1"/>
      <c r="V273" s="3"/>
      <c r="W273" s="3"/>
      <c r="X273" s="3"/>
    </row>
    <row r="274" spans="16:24" x14ac:dyDescent="0.25">
      <c r="P274" s="1"/>
      <c r="Q274" s="3"/>
      <c r="R274" s="3"/>
      <c r="S274" s="3"/>
      <c r="U274" s="1"/>
      <c r="V274" s="3"/>
      <c r="W274" s="3"/>
      <c r="X274" s="3"/>
    </row>
    <row r="275" spans="16:24" x14ac:dyDescent="0.25">
      <c r="P275" s="1"/>
      <c r="Q275" s="3"/>
      <c r="R275" s="3"/>
      <c r="S275" s="3"/>
      <c r="U275" s="1"/>
      <c r="V275" s="3"/>
      <c r="W275" s="3"/>
      <c r="X275" s="3"/>
    </row>
    <row r="276" spans="16:24" x14ac:dyDescent="0.25">
      <c r="P276" s="1"/>
      <c r="Q276" s="3"/>
      <c r="R276" s="3"/>
      <c r="S276" s="3"/>
      <c r="U276" s="1"/>
      <c r="V276" s="3"/>
      <c r="W276" s="3"/>
      <c r="X276" s="3"/>
    </row>
    <row r="277" spans="16:24" x14ac:dyDescent="0.25">
      <c r="P277" s="1"/>
      <c r="Q277" s="3"/>
      <c r="R277" s="3"/>
      <c r="S277" s="3"/>
      <c r="U277" s="1"/>
      <c r="V277" s="3"/>
      <c r="W277" s="3"/>
      <c r="X277" s="3"/>
    </row>
    <row r="278" spans="16:24" x14ac:dyDescent="0.25">
      <c r="P278" s="1"/>
      <c r="Q278" s="3"/>
      <c r="R278" s="3"/>
      <c r="S278" s="3"/>
      <c r="U278" s="1"/>
      <c r="V278" s="3"/>
      <c r="W278" s="3"/>
      <c r="X278" s="3"/>
    </row>
    <row r="279" spans="16:24" x14ac:dyDescent="0.25">
      <c r="P279" s="1"/>
      <c r="Q279" s="3"/>
      <c r="R279" s="3"/>
      <c r="S279" s="3"/>
      <c r="U279" s="1"/>
      <c r="V279" s="3"/>
      <c r="W279" s="3"/>
      <c r="X279" s="3"/>
    </row>
    <row r="280" spans="16:24" x14ac:dyDescent="0.25">
      <c r="P280" s="1"/>
      <c r="Q280" s="3"/>
      <c r="R280" s="3"/>
      <c r="S280" s="3"/>
      <c r="U280" s="1"/>
      <c r="V280" s="3"/>
      <c r="W280" s="3"/>
      <c r="X280" s="3"/>
    </row>
    <row r="281" spans="16:24" x14ac:dyDescent="0.25">
      <c r="P281" s="1"/>
      <c r="Q281" s="3"/>
      <c r="R281" s="3"/>
      <c r="S281" s="3"/>
      <c r="U281" s="1"/>
      <c r="V281" s="3"/>
      <c r="W281" s="3"/>
      <c r="X281" s="3"/>
    </row>
    <row r="282" spans="16:24" x14ac:dyDescent="0.25">
      <c r="P282" s="1"/>
      <c r="Q282" s="3"/>
      <c r="R282" s="3"/>
      <c r="S282" s="3"/>
      <c r="U282" s="1"/>
      <c r="V282" s="3"/>
      <c r="W282" s="3"/>
      <c r="X282" s="3"/>
    </row>
    <row r="283" spans="16:24" x14ac:dyDescent="0.25">
      <c r="P283" s="1"/>
      <c r="Q283" s="3"/>
      <c r="R283" s="3"/>
      <c r="S283" s="3"/>
      <c r="U283" s="1"/>
      <c r="V283" s="3"/>
      <c r="W283" s="3"/>
      <c r="X283" s="3"/>
    </row>
    <row r="284" spans="16:24" x14ac:dyDescent="0.25">
      <c r="P284" s="1"/>
      <c r="Q284" s="3"/>
      <c r="R284" s="3"/>
      <c r="S284" s="3"/>
      <c r="U284" s="1"/>
      <c r="V284" s="3"/>
      <c r="W284" s="3"/>
      <c r="X284" s="3"/>
    </row>
    <row r="285" spans="16:24" x14ac:dyDescent="0.25">
      <c r="P285" s="1"/>
      <c r="Q285" s="3"/>
      <c r="R285" s="3"/>
      <c r="S285" s="3"/>
      <c r="U285" s="1"/>
      <c r="V285" s="3"/>
      <c r="W285" s="3"/>
      <c r="X285" s="3"/>
    </row>
    <row r="286" spans="16:24" x14ac:dyDescent="0.25">
      <c r="P286" s="1"/>
      <c r="Q286" s="3"/>
      <c r="R286" s="3"/>
      <c r="S286" s="3"/>
      <c r="U286" s="1"/>
      <c r="V286" s="3"/>
      <c r="W286" s="3"/>
      <c r="X286" s="3"/>
    </row>
    <row r="287" spans="16:24" x14ac:dyDescent="0.25">
      <c r="P287" s="1"/>
      <c r="Q287" s="3"/>
      <c r="R287" s="3"/>
      <c r="S287" s="3"/>
      <c r="U287" s="1"/>
      <c r="V287" s="3"/>
      <c r="W287" s="3"/>
      <c r="X287" s="3"/>
    </row>
    <row r="288" spans="16:24" x14ac:dyDescent="0.25">
      <c r="P288" s="1"/>
      <c r="Q288" s="3"/>
      <c r="R288" s="3"/>
      <c r="S288" s="3"/>
      <c r="U288" s="1"/>
      <c r="V288" s="3"/>
      <c r="W288" s="3"/>
      <c r="X288" s="3"/>
    </row>
    <row r="289" spans="16:24" x14ac:dyDescent="0.25">
      <c r="P289" s="1"/>
      <c r="Q289" s="3"/>
      <c r="R289" s="3"/>
      <c r="S289" s="3"/>
      <c r="U289" s="1"/>
      <c r="V289" s="3"/>
      <c r="W289" s="3"/>
      <c r="X289" s="3"/>
    </row>
    <row r="290" spans="16:24" x14ac:dyDescent="0.25">
      <c r="P290" s="1"/>
      <c r="Q290" s="3"/>
      <c r="R290" s="3"/>
      <c r="S290" s="3"/>
      <c r="U290" s="1"/>
      <c r="V290" s="3"/>
      <c r="W290" s="3"/>
      <c r="X290" s="3"/>
    </row>
    <row r="291" spans="16:24" x14ac:dyDescent="0.25">
      <c r="P291" s="1"/>
      <c r="Q291" s="3"/>
      <c r="R291" s="3"/>
      <c r="S291" s="3"/>
      <c r="U291" s="1"/>
      <c r="V291" s="3"/>
      <c r="W291" s="3"/>
      <c r="X291" s="3"/>
    </row>
    <row r="292" spans="16:24" x14ac:dyDescent="0.25">
      <c r="P292" s="1"/>
      <c r="Q292" s="3"/>
      <c r="R292" s="3"/>
      <c r="S292" s="3"/>
      <c r="U292" s="1"/>
      <c r="V292" s="3"/>
      <c r="W292" s="3"/>
      <c r="X292" s="3"/>
    </row>
    <row r="293" spans="16:24" x14ac:dyDescent="0.25">
      <c r="P293" s="1"/>
      <c r="Q293" s="3"/>
      <c r="R293" s="3"/>
      <c r="S293" s="3"/>
      <c r="U293" s="1"/>
      <c r="V293" s="3"/>
      <c r="W293" s="3"/>
      <c r="X293" s="3"/>
    </row>
    <row r="294" spans="16:24" x14ac:dyDescent="0.25">
      <c r="P294" s="1"/>
      <c r="Q294" s="3"/>
      <c r="R294" s="3"/>
      <c r="S294" s="3"/>
      <c r="U294" s="1"/>
      <c r="V294" s="3"/>
      <c r="W294" s="3"/>
      <c r="X294" s="3"/>
    </row>
    <row r="295" spans="16:24" x14ac:dyDescent="0.25">
      <c r="P295" s="1"/>
      <c r="Q295" s="3"/>
      <c r="R295" s="3"/>
      <c r="S295" s="3"/>
      <c r="U295" s="1"/>
      <c r="V295" s="3"/>
      <c r="W295" s="3"/>
      <c r="X295" s="3"/>
    </row>
    <row r="296" spans="16:24" x14ac:dyDescent="0.25">
      <c r="P296" s="1"/>
      <c r="Q296" s="3"/>
      <c r="R296" s="3"/>
      <c r="S296" s="3"/>
      <c r="U296" s="1"/>
      <c r="V296" s="3"/>
      <c r="W296" s="3"/>
      <c r="X296" s="3"/>
    </row>
    <row r="297" spans="16:24" x14ac:dyDescent="0.25">
      <c r="P297" s="1"/>
      <c r="Q297" s="3"/>
      <c r="R297" s="3"/>
      <c r="S297" s="3"/>
      <c r="U297" s="1"/>
      <c r="V297" s="3"/>
      <c r="W297" s="3"/>
      <c r="X297" s="3"/>
    </row>
    <row r="298" spans="16:24" x14ac:dyDescent="0.25">
      <c r="P298" s="1"/>
      <c r="Q298" s="3"/>
      <c r="R298" s="3"/>
      <c r="S298" s="3"/>
      <c r="U298" s="1"/>
      <c r="V298" s="3"/>
      <c r="W298" s="3"/>
      <c r="X298" s="3"/>
    </row>
    <row r="299" spans="16:24" x14ac:dyDescent="0.25">
      <c r="P299" s="1"/>
      <c r="Q299" s="3"/>
      <c r="R299" s="3"/>
      <c r="S299" s="3"/>
      <c r="U299" s="1"/>
      <c r="V299" s="3"/>
      <c r="W299" s="3"/>
      <c r="X299" s="3"/>
    </row>
    <row r="300" spans="16:24" x14ac:dyDescent="0.25">
      <c r="P300" s="1"/>
      <c r="Q300" s="3"/>
      <c r="R300" s="3"/>
      <c r="S300" s="3"/>
      <c r="U300" s="1"/>
      <c r="V300" s="3"/>
      <c r="W300" s="3"/>
      <c r="X300" s="3"/>
    </row>
    <row r="301" spans="16:24" x14ac:dyDescent="0.25">
      <c r="P301" s="1"/>
      <c r="Q301" s="3"/>
      <c r="R301" s="3"/>
      <c r="S301" s="3"/>
      <c r="U301" s="1"/>
      <c r="V301" s="3"/>
      <c r="W301" s="3"/>
      <c r="X301" s="3"/>
    </row>
    <row r="302" spans="16:24" x14ac:dyDescent="0.25">
      <c r="P302" s="1"/>
      <c r="Q302" s="3"/>
      <c r="R302" s="3"/>
      <c r="S302" s="3"/>
      <c r="U302" s="1"/>
      <c r="V302" s="3"/>
      <c r="W302" s="3"/>
      <c r="X302" s="3"/>
    </row>
    <row r="303" spans="16:24" x14ac:dyDescent="0.25">
      <c r="P303" s="1"/>
      <c r="Q303" s="3"/>
      <c r="R303" s="3"/>
      <c r="S303" s="3"/>
      <c r="U303" s="1"/>
      <c r="V303" s="3"/>
      <c r="W303" s="3"/>
      <c r="X303" s="3"/>
    </row>
    <row r="304" spans="16:24" x14ac:dyDescent="0.25">
      <c r="P304" s="1"/>
      <c r="Q304" s="3"/>
      <c r="R304" s="3"/>
      <c r="S304" s="3"/>
      <c r="U304" s="1"/>
      <c r="V304" s="3"/>
      <c r="W304" s="3"/>
      <c r="X304" s="3"/>
    </row>
    <row r="305" spans="16:24" x14ac:dyDescent="0.25">
      <c r="P305" s="1"/>
      <c r="Q305" s="3"/>
      <c r="R305" s="3"/>
      <c r="S305" s="3"/>
      <c r="U305" s="1"/>
      <c r="V305" s="3"/>
      <c r="W305" s="3"/>
      <c r="X305" s="3"/>
    </row>
    <row r="306" spans="16:24" x14ac:dyDescent="0.25">
      <c r="P306" s="1"/>
      <c r="Q306" s="3"/>
      <c r="R306" s="3"/>
      <c r="S306" s="3"/>
      <c r="U306" s="1"/>
      <c r="V306" s="3"/>
      <c r="W306" s="3"/>
      <c r="X306" s="3"/>
    </row>
    <row r="307" spans="16:24" x14ac:dyDescent="0.25">
      <c r="P307" s="1"/>
      <c r="Q307" s="3"/>
      <c r="R307" s="3"/>
      <c r="S307" s="3"/>
      <c r="U307" s="1"/>
      <c r="V307" s="3"/>
      <c r="W307" s="3"/>
      <c r="X307" s="3"/>
    </row>
    <row r="308" spans="16:24" x14ac:dyDescent="0.25">
      <c r="P308" s="1"/>
      <c r="Q308" s="3"/>
      <c r="R308" s="3"/>
      <c r="S308" s="3"/>
      <c r="U308" s="1"/>
      <c r="V308" s="3"/>
      <c r="W308" s="3"/>
      <c r="X308" s="3"/>
    </row>
    <row r="309" spans="16:24" x14ac:dyDescent="0.25">
      <c r="P309" s="1"/>
      <c r="Q309" s="3"/>
      <c r="R309" s="3"/>
      <c r="S309" s="3"/>
      <c r="U309" s="1"/>
      <c r="V309" s="3"/>
      <c r="W309" s="3"/>
      <c r="X309" s="3"/>
    </row>
    <row r="310" spans="16:24" x14ac:dyDescent="0.25">
      <c r="P310" s="1"/>
      <c r="Q310" s="3"/>
      <c r="R310" s="3"/>
      <c r="S310" s="3"/>
      <c r="U310" s="1"/>
      <c r="V310" s="3"/>
      <c r="W310" s="3"/>
      <c r="X310" s="3"/>
    </row>
    <row r="311" spans="16:24" x14ac:dyDescent="0.25">
      <c r="P311" s="1"/>
      <c r="Q311" s="3"/>
      <c r="R311" s="3"/>
      <c r="S311" s="3"/>
      <c r="U311" s="1"/>
      <c r="V311" s="3"/>
      <c r="W311" s="3"/>
      <c r="X311" s="3"/>
    </row>
    <row r="312" spans="16:24" x14ac:dyDescent="0.25">
      <c r="P312" s="1"/>
      <c r="Q312" s="3"/>
      <c r="R312" s="3"/>
      <c r="S312" s="3"/>
      <c r="U312" s="1"/>
      <c r="V312" s="3"/>
      <c r="W312" s="3"/>
      <c r="X312" s="3"/>
    </row>
    <row r="313" spans="16:24" x14ac:dyDescent="0.25">
      <c r="P313" s="1"/>
      <c r="Q313" s="3"/>
      <c r="R313" s="3"/>
      <c r="S313" s="3"/>
      <c r="U313" s="1"/>
      <c r="V313" s="3"/>
      <c r="W313" s="3"/>
      <c r="X313" s="3"/>
    </row>
    <row r="314" spans="16:24" x14ac:dyDescent="0.25">
      <c r="P314" s="1"/>
      <c r="Q314" s="3"/>
      <c r="R314" s="3"/>
      <c r="S314" s="3"/>
      <c r="U314" s="1"/>
      <c r="V314" s="3"/>
      <c r="W314" s="3"/>
      <c r="X314" s="3"/>
    </row>
    <row r="315" spans="16:24" x14ac:dyDescent="0.25">
      <c r="P315" s="1"/>
      <c r="Q315" s="3"/>
      <c r="R315" s="3"/>
      <c r="S315" s="3"/>
      <c r="U315" s="1"/>
      <c r="V315" s="3"/>
      <c r="W315" s="3"/>
      <c r="X315" s="3"/>
    </row>
    <row r="316" spans="16:24" x14ac:dyDescent="0.25">
      <c r="P316" s="1"/>
      <c r="Q316" s="3"/>
      <c r="R316" s="3"/>
      <c r="S316" s="3"/>
      <c r="U316" s="1"/>
      <c r="V316" s="3"/>
      <c r="W316" s="3"/>
      <c r="X316" s="3"/>
    </row>
    <row r="317" spans="16:24" x14ac:dyDescent="0.25">
      <c r="P317" s="1"/>
      <c r="Q317" s="3"/>
      <c r="R317" s="3"/>
      <c r="S317" s="3"/>
      <c r="U317" s="1"/>
      <c r="V317" s="3"/>
      <c r="W317" s="3"/>
      <c r="X317" s="3"/>
    </row>
    <row r="318" spans="16:24" x14ac:dyDescent="0.25">
      <c r="P318" s="1"/>
      <c r="Q318" s="3"/>
      <c r="R318" s="3"/>
      <c r="S318" s="3"/>
      <c r="U318" s="1"/>
      <c r="V318" s="3"/>
      <c r="W318" s="3"/>
      <c r="X318" s="3"/>
    </row>
    <row r="319" spans="16:24" x14ac:dyDescent="0.25">
      <c r="P319" s="1"/>
      <c r="Q319" s="3"/>
      <c r="R319" s="3"/>
      <c r="S319" s="3"/>
      <c r="U319" s="1"/>
      <c r="V319" s="3"/>
      <c r="W319" s="3"/>
      <c r="X319" s="3"/>
    </row>
    <row r="320" spans="16:24" x14ac:dyDescent="0.25">
      <c r="P320" s="1"/>
      <c r="Q320" s="3"/>
      <c r="R320" s="3"/>
      <c r="S320" s="3"/>
      <c r="U320" s="1"/>
      <c r="V320" s="3"/>
      <c r="W320" s="3"/>
      <c r="X320" s="3"/>
    </row>
    <row r="321" spans="16:24" x14ac:dyDescent="0.25">
      <c r="P321" s="1"/>
      <c r="Q321" s="3"/>
      <c r="R321" s="3"/>
      <c r="S321" s="3"/>
      <c r="U321" s="1"/>
      <c r="V321" s="3"/>
      <c r="W321" s="3"/>
      <c r="X321" s="3"/>
    </row>
    <row r="322" spans="16:24" x14ac:dyDescent="0.25">
      <c r="P322" s="1"/>
      <c r="Q322" s="3"/>
      <c r="R322" s="3"/>
      <c r="S322" s="3"/>
      <c r="U322" s="1"/>
      <c r="V322" s="3"/>
      <c r="W322" s="3"/>
      <c r="X322" s="3"/>
    </row>
    <row r="323" spans="16:24" x14ac:dyDescent="0.25">
      <c r="P323" s="1"/>
      <c r="Q323" s="3"/>
      <c r="R323" s="3"/>
      <c r="S323" s="3"/>
      <c r="U323" s="1"/>
      <c r="V323" s="3"/>
      <c r="W323" s="3"/>
      <c r="X323" s="3"/>
    </row>
    <row r="324" spans="16:24" x14ac:dyDescent="0.25">
      <c r="P324" s="1"/>
      <c r="Q324" s="3"/>
      <c r="R324" s="3"/>
      <c r="S324" s="3"/>
      <c r="U324" s="1"/>
      <c r="V324" s="3"/>
      <c r="W324" s="3"/>
      <c r="X324" s="3"/>
    </row>
    <row r="325" spans="16:24" x14ac:dyDescent="0.25">
      <c r="P325" s="1"/>
      <c r="Q325" s="3"/>
      <c r="R325" s="3"/>
      <c r="S325" s="3"/>
      <c r="U325" s="1"/>
      <c r="V325" s="3"/>
      <c r="W325" s="3"/>
      <c r="X325" s="3"/>
    </row>
    <row r="326" spans="16:24" x14ac:dyDescent="0.25">
      <c r="P326" s="1"/>
      <c r="Q326" s="3"/>
      <c r="R326" s="3"/>
      <c r="S326" s="3"/>
      <c r="U326" s="1"/>
      <c r="V326" s="3"/>
      <c r="W326" s="3"/>
      <c r="X326" s="3"/>
    </row>
    <row r="327" spans="16:24" x14ac:dyDescent="0.25">
      <c r="P327" s="1"/>
      <c r="Q327" s="3"/>
      <c r="R327" s="3"/>
      <c r="S327" s="3"/>
      <c r="U327" s="1"/>
      <c r="V327" s="3"/>
      <c r="W327" s="3"/>
      <c r="X327" s="3"/>
    </row>
    <row r="328" spans="16:24" x14ac:dyDescent="0.25">
      <c r="P328" s="1"/>
      <c r="Q328" s="3"/>
      <c r="R328" s="3"/>
      <c r="S328" s="3"/>
      <c r="U328" s="1"/>
      <c r="V328" s="3"/>
      <c r="W328" s="3"/>
      <c r="X328" s="3"/>
    </row>
    <row r="329" spans="16:24" x14ac:dyDescent="0.25">
      <c r="P329" s="1"/>
      <c r="Q329" s="3"/>
      <c r="R329" s="3"/>
      <c r="S329" s="3"/>
      <c r="U329" s="1"/>
      <c r="V329" s="3"/>
      <c r="W329" s="3"/>
      <c r="X329" s="3"/>
    </row>
    <row r="330" spans="16:24" x14ac:dyDescent="0.25">
      <c r="P330" s="1"/>
      <c r="Q330" s="3"/>
      <c r="R330" s="3"/>
      <c r="S330" s="3"/>
      <c r="U330" s="1"/>
      <c r="V330" s="3"/>
      <c r="W330" s="3"/>
      <c r="X330" s="3"/>
    </row>
    <row r="331" spans="16:24" x14ac:dyDescent="0.25">
      <c r="P331" s="1"/>
      <c r="Q331" s="3"/>
      <c r="R331" s="3"/>
      <c r="S331" s="3"/>
      <c r="U331" s="1"/>
      <c r="V331" s="3"/>
      <c r="W331" s="3"/>
      <c r="X331" s="3"/>
    </row>
    <row r="332" spans="16:24" x14ac:dyDescent="0.25">
      <c r="P332" s="1"/>
      <c r="Q332" s="3"/>
      <c r="R332" s="3"/>
      <c r="S332" s="3"/>
      <c r="U332" s="1"/>
      <c r="V332" s="3"/>
      <c r="W332" s="3"/>
      <c r="X332" s="3"/>
    </row>
    <row r="333" spans="16:24" x14ac:dyDescent="0.25">
      <c r="P333" s="1"/>
      <c r="Q333" s="3"/>
      <c r="R333" s="3"/>
      <c r="S333" s="3"/>
      <c r="U333" s="1"/>
      <c r="V333" s="3"/>
      <c r="W333" s="3"/>
      <c r="X333" s="3"/>
    </row>
    <row r="334" spans="16:24" x14ac:dyDescent="0.25">
      <c r="P334" s="1"/>
      <c r="Q334" s="3"/>
      <c r="R334" s="3"/>
      <c r="S334" s="3"/>
      <c r="U334" s="1"/>
      <c r="V334" s="3"/>
      <c r="W334" s="3"/>
      <c r="X334" s="3"/>
    </row>
    <row r="335" spans="16:24" x14ac:dyDescent="0.25">
      <c r="P335" s="1"/>
      <c r="Q335" s="3"/>
      <c r="R335" s="3"/>
      <c r="S335" s="3"/>
      <c r="U335" s="1"/>
      <c r="V335" s="3"/>
      <c r="W335" s="3"/>
      <c r="X335" s="3"/>
    </row>
    <row r="336" spans="16:24" x14ac:dyDescent="0.25">
      <c r="P336" s="1"/>
      <c r="Q336" s="3"/>
      <c r="R336" s="3"/>
      <c r="S336" s="3"/>
      <c r="U336" s="1"/>
      <c r="V336" s="3"/>
      <c r="W336" s="3"/>
      <c r="X336" s="3"/>
    </row>
    <row r="337" spans="16:24" x14ac:dyDescent="0.25">
      <c r="P337" s="1"/>
      <c r="Q337" s="3"/>
      <c r="R337" s="3"/>
      <c r="S337" s="3"/>
      <c r="U337" s="1"/>
      <c r="V337" s="3"/>
      <c r="W337" s="3"/>
      <c r="X337" s="3"/>
    </row>
    <row r="338" spans="16:24" x14ac:dyDescent="0.25">
      <c r="P338" s="1"/>
      <c r="Q338" s="3"/>
      <c r="R338" s="3"/>
      <c r="S338" s="3"/>
      <c r="U338" s="1"/>
      <c r="V338" s="3"/>
      <c r="W338" s="3"/>
      <c r="X338" s="3"/>
    </row>
    <row r="339" spans="16:24" x14ac:dyDescent="0.25">
      <c r="P339" s="1"/>
      <c r="Q339" s="3"/>
      <c r="R339" s="3"/>
      <c r="S339" s="3"/>
      <c r="U339" s="1"/>
      <c r="V339" s="3"/>
      <c r="W339" s="3"/>
      <c r="X339" s="3"/>
    </row>
    <row r="340" spans="16:24" x14ac:dyDescent="0.25">
      <c r="P340" s="1"/>
      <c r="Q340" s="3"/>
      <c r="R340" s="3"/>
      <c r="S340" s="3"/>
      <c r="U340" s="1"/>
      <c r="V340" s="3"/>
      <c r="W340" s="3"/>
      <c r="X340" s="3"/>
    </row>
    <row r="341" spans="16:24" x14ac:dyDescent="0.25">
      <c r="P341" s="1"/>
      <c r="Q341" s="3"/>
      <c r="R341" s="3"/>
      <c r="S341" s="3"/>
      <c r="U341" s="1"/>
      <c r="V341" s="3"/>
      <c r="W341" s="3"/>
      <c r="X341" s="3"/>
    </row>
    <row r="342" spans="16:24" x14ac:dyDescent="0.25">
      <c r="P342" s="1"/>
      <c r="Q342" s="3"/>
      <c r="R342" s="3"/>
      <c r="S342" s="3"/>
      <c r="U342" s="1"/>
      <c r="V342" s="3"/>
      <c r="W342" s="3"/>
      <c r="X342" s="3"/>
    </row>
    <row r="343" spans="16:24" x14ac:dyDescent="0.25">
      <c r="P343" s="1"/>
      <c r="Q343" s="3"/>
      <c r="R343" s="3"/>
      <c r="S343" s="3"/>
      <c r="U343" s="1"/>
      <c r="V343" s="3"/>
      <c r="W343" s="3"/>
      <c r="X343" s="3"/>
    </row>
    <row r="344" spans="16:24" x14ac:dyDescent="0.25">
      <c r="P344" s="1"/>
      <c r="Q344" s="3"/>
      <c r="R344" s="3"/>
      <c r="S344" s="3"/>
      <c r="U344" s="1"/>
      <c r="V344" s="3"/>
      <c r="W344" s="3"/>
      <c r="X344" s="3"/>
    </row>
    <row r="345" spans="16:24" x14ac:dyDescent="0.25">
      <c r="P345" s="1"/>
      <c r="Q345" s="3"/>
      <c r="R345" s="3"/>
      <c r="S345" s="3"/>
      <c r="U345" s="1"/>
      <c r="V345" s="3"/>
      <c r="W345" s="3"/>
      <c r="X345" s="3"/>
    </row>
    <row r="346" spans="16:24" x14ac:dyDescent="0.25">
      <c r="P346" s="1"/>
      <c r="Q346" s="3"/>
      <c r="R346" s="3"/>
      <c r="S346" s="3"/>
      <c r="U346" s="1"/>
      <c r="V346" s="3"/>
      <c r="W346" s="3"/>
      <c r="X346" s="3"/>
    </row>
    <row r="347" spans="16:24" x14ac:dyDescent="0.25">
      <c r="P347" s="1"/>
      <c r="Q347" s="3"/>
      <c r="R347" s="3"/>
      <c r="S347" s="3"/>
      <c r="U347" s="1"/>
      <c r="V347" s="3"/>
      <c r="W347" s="3"/>
      <c r="X347" s="3"/>
    </row>
    <row r="348" spans="16:24" x14ac:dyDescent="0.25">
      <c r="P348" s="1"/>
      <c r="Q348" s="3"/>
      <c r="R348" s="3"/>
      <c r="S348" s="3"/>
      <c r="U348" s="1"/>
      <c r="V348" s="3"/>
      <c r="W348" s="3"/>
      <c r="X348" s="3"/>
    </row>
    <row r="349" spans="16:24" x14ac:dyDescent="0.25">
      <c r="P349" s="1"/>
      <c r="Q349" s="3"/>
      <c r="R349" s="3"/>
      <c r="S349" s="3"/>
      <c r="U349" s="1"/>
      <c r="V349" s="3"/>
      <c r="W349" s="3"/>
      <c r="X349" s="3"/>
    </row>
    <row r="350" spans="16:24" x14ac:dyDescent="0.25">
      <c r="P350" s="1"/>
      <c r="Q350" s="3"/>
      <c r="R350" s="3"/>
      <c r="S350" s="3"/>
      <c r="U350" s="1"/>
      <c r="V350" s="3"/>
      <c r="W350" s="3"/>
      <c r="X350" s="3"/>
    </row>
    <row r="351" spans="16:24" x14ac:dyDescent="0.25">
      <c r="P351" s="1"/>
      <c r="Q351" s="3"/>
      <c r="R351" s="3"/>
      <c r="S351" s="3"/>
      <c r="U351" s="1"/>
      <c r="V351" s="3"/>
      <c r="W351" s="3"/>
      <c r="X351" s="3"/>
    </row>
    <row r="352" spans="16:24" x14ac:dyDescent="0.25">
      <c r="P352" s="1"/>
      <c r="Q352" s="3"/>
      <c r="R352" s="3"/>
      <c r="S352" s="3"/>
      <c r="U352" s="1"/>
      <c r="V352" s="3"/>
      <c r="W352" s="3"/>
      <c r="X352" s="3"/>
    </row>
    <row r="353" spans="16:24" x14ac:dyDescent="0.25">
      <c r="P353" s="1"/>
      <c r="Q353" s="3"/>
      <c r="R353" s="3"/>
      <c r="S353" s="3"/>
      <c r="U353" s="1"/>
      <c r="V353" s="3"/>
      <c r="W353" s="3"/>
      <c r="X353" s="3"/>
    </row>
    <row r="354" spans="16:24" x14ac:dyDescent="0.25">
      <c r="P354" s="1"/>
      <c r="Q354" s="3"/>
      <c r="R354" s="3"/>
      <c r="S354" s="3"/>
      <c r="U354" s="1"/>
      <c r="V354" s="3"/>
      <c r="W354" s="3"/>
      <c r="X354" s="3"/>
    </row>
    <row r="355" spans="16:24" x14ac:dyDescent="0.25">
      <c r="P355" s="1"/>
      <c r="Q355" s="3"/>
      <c r="R355" s="3"/>
      <c r="S355" s="3"/>
      <c r="U355" s="1"/>
      <c r="V355" s="3"/>
      <c r="W355" s="3"/>
      <c r="X355" s="3"/>
    </row>
    <row r="356" spans="16:24" x14ac:dyDescent="0.25">
      <c r="P356" s="1"/>
      <c r="Q356" s="3"/>
      <c r="R356" s="3"/>
      <c r="S356" s="3"/>
      <c r="U356" s="1"/>
      <c r="V356" s="3"/>
      <c r="W356" s="3"/>
      <c r="X356" s="3"/>
    </row>
    <row r="357" spans="16:24" x14ac:dyDescent="0.25">
      <c r="P357" s="1"/>
      <c r="Q357" s="3"/>
      <c r="R357" s="3"/>
      <c r="S357" s="3"/>
      <c r="U357" s="1"/>
      <c r="V357" s="3"/>
      <c r="W357" s="3"/>
      <c r="X357" s="3"/>
    </row>
    <row r="358" spans="16:24" x14ac:dyDescent="0.25">
      <c r="P358" s="1"/>
      <c r="Q358" s="3"/>
      <c r="R358" s="3"/>
      <c r="S358" s="3"/>
      <c r="U358" s="1"/>
      <c r="V358" s="3"/>
      <c r="W358" s="3"/>
      <c r="X358" s="3"/>
    </row>
    <row r="359" spans="16:24" x14ac:dyDescent="0.25">
      <c r="P359" s="1"/>
      <c r="Q359" s="3"/>
      <c r="R359" s="3"/>
      <c r="S359" s="3"/>
      <c r="U359" s="1"/>
      <c r="V359" s="3"/>
      <c r="W359" s="3"/>
      <c r="X359" s="3"/>
    </row>
    <row r="360" spans="16:24" x14ac:dyDescent="0.25">
      <c r="P360" s="1"/>
      <c r="Q360" s="3"/>
      <c r="R360" s="3"/>
      <c r="S360" s="3"/>
      <c r="U360" s="1"/>
      <c r="V360" s="3"/>
      <c r="W360" s="3"/>
      <c r="X360" s="3"/>
    </row>
    <row r="361" spans="16:24" x14ac:dyDescent="0.25">
      <c r="P361" s="1"/>
      <c r="Q361" s="3"/>
      <c r="R361" s="3"/>
      <c r="S361" s="3"/>
      <c r="U361" s="1"/>
      <c r="V361" s="3"/>
      <c r="W361" s="3"/>
      <c r="X361" s="3"/>
    </row>
    <row r="362" spans="16:24" x14ac:dyDescent="0.25">
      <c r="P362" s="1"/>
      <c r="Q362" s="3"/>
      <c r="R362" s="3"/>
      <c r="S362" s="3"/>
      <c r="U362" s="1"/>
      <c r="V362" s="3"/>
      <c r="W362" s="3"/>
      <c r="X362" s="3"/>
    </row>
    <row r="363" spans="16:24" x14ac:dyDescent="0.25">
      <c r="P363" s="1"/>
      <c r="Q363" s="3"/>
      <c r="R363" s="3"/>
      <c r="S363" s="3"/>
      <c r="U363" s="1"/>
      <c r="V363" s="3"/>
      <c r="W363" s="3"/>
      <c r="X363" s="3"/>
    </row>
    <row r="364" spans="16:24" x14ac:dyDescent="0.25">
      <c r="P364" s="1"/>
      <c r="Q364" s="3"/>
      <c r="R364" s="3"/>
      <c r="S364" s="3"/>
      <c r="U364" s="1"/>
      <c r="V364" s="3"/>
      <c r="W364" s="3"/>
      <c r="X364" s="3"/>
    </row>
    <row r="365" spans="16:24" x14ac:dyDescent="0.25">
      <c r="P365" s="1"/>
      <c r="Q365" s="3"/>
      <c r="R365" s="3"/>
      <c r="S365" s="3"/>
      <c r="U365" s="1"/>
      <c r="V365" s="3"/>
      <c r="W365" s="3"/>
      <c r="X365" s="3"/>
    </row>
    <row r="366" spans="16:24" x14ac:dyDescent="0.25">
      <c r="P366" s="1"/>
      <c r="Q366" s="3"/>
      <c r="R366" s="3"/>
      <c r="S366" s="3"/>
      <c r="U366" s="1"/>
      <c r="V366" s="3"/>
      <c r="W366" s="3"/>
      <c r="X366" s="3"/>
    </row>
    <row r="367" spans="16:24" x14ac:dyDescent="0.25">
      <c r="P367" s="1"/>
      <c r="Q367" s="3"/>
      <c r="R367" s="3"/>
      <c r="S367" s="3"/>
      <c r="U367" s="1"/>
      <c r="V367" s="3"/>
      <c r="W367" s="3"/>
      <c r="X367" s="3"/>
    </row>
    <row r="368" spans="16:24" x14ac:dyDescent="0.25">
      <c r="P368" s="1"/>
      <c r="Q368" s="3"/>
      <c r="R368" s="3"/>
      <c r="S368" s="3"/>
      <c r="U368" s="1"/>
      <c r="V368" s="3"/>
      <c r="W368" s="3"/>
      <c r="X368" s="3"/>
    </row>
    <row r="369" spans="16:24" x14ac:dyDescent="0.25">
      <c r="P369" s="1"/>
      <c r="Q369" s="3"/>
      <c r="R369" s="3"/>
      <c r="S369" s="3"/>
      <c r="U369" s="1"/>
      <c r="V369" s="3"/>
      <c r="W369" s="3"/>
      <c r="X369" s="3"/>
    </row>
    <row r="370" spans="16:24" x14ac:dyDescent="0.25">
      <c r="P370" s="1"/>
      <c r="Q370" s="3"/>
      <c r="R370" s="3"/>
      <c r="S370" s="3"/>
      <c r="U370" s="1"/>
      <c r="V370" s="3"/>
      <c r="W370" s="3"/>
      <c r="X370" s="3"/>
    </row>
    <row r="371" spans="16:24" x14ac:dyDescent="0.25">
      <c r="P371" s="1"/>
      <c r="Q371" s="3"/>
      <c r="R371" s="3"/>
      <c r="S371" s="3"/>
      <c r="U371" s="1"/>
      <c r="V371" s="3"/>
      <c r="W371" s="3"/>
      <c r="X371" s="3"/>
    </row>
    <row r="372" spans="16:24" x14ac:dyDescent="0.25">
      <c r="P372" s="1"/>
      <c r="Q372" s="3"/>
      <c r="R372" s="3"/>
      <c r="S372" s="3"/>
      <c r="U372" s="1"/>
      <c r="V372" s="3"/>
      <c r="W372" s="3"/>
      <c r="X372" s="3"/>
    </row>
    <row r="373" spans="16:24" x14ac:dyDescent="0.25">
      <c r="P373" s="1"/>
      <c r="Q373" s="3"/>
      <c r="R373" s="3"/>
      <c r="S373" s="3"/>
      <c r="U373" s="1"/>
      <c r="V373" s="3"/>
      <c r="W373" s="3"/>
      <c r="X373" s="3"/>
    </row>
    <row r="374" spans="16:24" x14ac:dyDescent="0.25">
      <c r="P374" s="1"/>
      <c r="Q374" s="3"/>
      <c r="R374" s="3"/>
      <c r="S374" s="3"/>
      <c r="U374" s="1"/>
      <c r="V374" s="3"/>
      <c r="W374" s="3"/>
      <c r="X374" s="3"/>
    </row>
    <row r="375" spans="16:24" x14ac:dyDescent="0.25">
      <c r="P375" s="1"/>
      <c r="Q375" s="3"/>
      <c r="R375" s="3"/>
      <c r="S375" s="3"/>
      <c r="U375" s="1"/>
      <c r="V375" s="3"/>
      <c r="W375" s="3"/>
      <c r="X375" s="3"/>
    </row>
    <row r="376" spans="16:24" x14ac:dyDescent="0.25">
      <c r="P376" s="1"/>
      <c r="Q376" s="3"/>
      <c r="R376" s="3"/>
      <c r="S376" s="3"/>
      <c r="U376" s="1"/>
      <c r="V376" s="3"/>
      <c r="W376" s="3"/>
      <c r="X376" s="3"/>
    </row>
    <row r="377" spans="16:24" x14ac:dyDescent="0.25">
      <c r="P377" s="1"/>
      <c r="Q377" s="3"/>
      <c r="R377" s="3"/>
      <c r="S377" s="3"/>
      <c r="U377" s="1"/>
      <c r="V377" s="3"/>
      <c r="W377" s="3"/>
      <c r="X377" s="3"/>
    </row>
    <row r="378" spans="16:24" x14ac:dyDescent="0.25">
      <c r="P378" s="1"/>
      <c r="Q378" s="3"/>
      <c r="R378" s="3"/>
      <c r="S378" s="3"/>
      <c r="U378" s="1"/>
      <c r="V378" s="3"/>
      <c r="W378" s="3"/>
      <c r="X378" s="3"/>
    </row>
    <row r="379" spans="16:24" x14ac:dyDescent="0.25">
      <c r="P379" s="1"/>
      <c r="Q379" s="3"/>
      <c r="R379" s="3"/>
      <c r="S379" s="3"/>
      <c r="U379" s="1"/>
      <c r="V379" s="3"/>
      <c r="W379" s="3"/>
      <c r="X379" s="3"/>
    </row>
    <row r="380" spans="16:24" x14ac:dyDescent="0.25">
      <c r="P380" s="1"/>
      <c r="Q380" s="3"/>
      <c r="R380" s="3"/>
      <c r="S380" s="3"/>
      <c r="U380" s="1"/>
      <c r="V380" s="3"/>
      <c r="W380" s="3"/>
      <c r="X380" s="3"/>
    </row>
    <row r="381" spans="16:24" x14ac:dyDescent="0.25">
      <c r="P381" s="1"/>
      <c r="Q381" s="3"/>
      <c r="R381" s="3"/>
      <c r="S381" s="3"/>
      <c r="U381" s="1"/>
      <c r="V381" s="3"/>
      <c r="W381" s="3"/>
      <c r="X381" s="3"/>
    </row>
    <row r="382" spans="16:24" x14ac:dyDescent="0.25">
      <c r="P382" s="1"/>
      <c r="Q382" s="3"/>
      <c r="R382" s="3"/>
      <c r="S382" s="3"/>
      <c r="U382" s="1"/>
      <c r="V382" s="3"/>
      <c r="W382" s="3"/>
      <c r="X382" s="3"/>
    </row>
    <row r="383" spans="16:24" x14ac:dyDescent="0.25">
      <c r="P383" s="1"/>
      <c r="Q383" s="3"/>
      <c r="R383" s="3"/>
      <c r="S383" s="3"/>
      <c r="U383" s="1"/>
      <c r="V383" s="3"/>
      <c r="W383" s="3"/>
      <c r="X383" s="3"/>
    </row>
    <row r="384" spans="16:24" x14ac:dyDescent="0.25">
      <c r="P384" s="1"/>
      <c r="Q384" s="3"/>
      <c r="R384" s="3"/>
      <c r="S384" s="3"/>
      <c r="U384" s="1"/>
      <c r="V384" s="3"/>
      <c r="W384" s="3"/>
      <c r="X384" s="3"/>
    </row>
    <row r="385" spans="16:24" x14ac:dyDescent="0.25">
      <c r="P385" s="1"/>
      <c r="Q385" s="3"/>
      <c r="R385" s="3"/>
      <c r="S385" s="3"/>
      <c r="U385" s="1"/>
      <c r="V385" s="3"/>
      <c r="W385" s="3"/>
      <c r="X385" s="3"/>
    </row>
    <row r="386" spans="16:24" x14ac:dyDescent="0.25">
      <c r="P386" s="1"/>
      <c r="Q386" s="3"/>
      <c r="R386" s="3"/>
      <c r="S386" s="3"/>
      <c r="U386" s="1"/>
      <c r="V386" s="3"/>
      <c r="W386" s="3"/>
      <c r="X386" s="3"/>
    </row>
    <row r="387" spans="16:24" x14ac:dyDescent="0.25">
      <c r="P387" s="1"/>
      <c r="Q387" s="3"/>
      <c r="R387" s="3"/>
      <c r="S387" s="3"/>
      <c r="U387" s="1"/>
      <c r="V387" s="3"/>
      <c r="W387" s="3"/>
      <c r="X387" s="3"/>
    </row>
    <row r="388" spans="16:24" x14ac:dyDescent="0.25">
      <c r="P388" s="1"/>
      <c r="Q388" s="3"/>
      <c r="R388" s="3"/>
      <c r="S388" s="3"/>
      <c r="U388" s="1"/>
      <c r="V388" s="3"/>
      <c r="W388" s="3"/>
      <c r="X388" s="3"/>
    </row>
    <row r="389" spans="16:24" x14ac:dyDescent="0.25">
      <c r="P389" s="1"/>
      <c r="Q389" s="3"/>
      <c r="R389" s="3"/>
      <c r="S389" s="3"/>
      <c r="U389" s="1"/>
      <c r="V389" s="3"/>
      <c r="W389" s="3"/>
      <c r="X389" s="3"/>
    </row>
    <row r="390" spans="16:24" x14ac:dyDescent="0.25">
      <c r="P390" s="1"/>
      <c r="Q390" s="3"/>
      <c r="R390" s="3"/>
      <c r="S390" s="3"/>
      <c r="U390" s="1"/>
      <c r="V390" s="3"/>
      <c r="W390" s="3"/>
      <c r="X390" s="3"/>
    </row>
    <row r="391" spans="16:24" x14ac:dyDescent="0.25">
      <c r="P391" s="1"/>
      <c r="Q391" s="3"/>
      <c r="R391" s="3"/>
      <c r="S391" s="3"/>
      <c r="U391" s="1"/>
      <c r="V391" s="3"/>
      <c r="W391" s="3"/>
      <c r="X391" s="3"/>
    </row>
    <row r="392" spans="16:24" x14ac:dyDescent="0.25">
      <c r="P392" s="1"/>
      <c r="Q392" s="3"/>
      <c r="R392" s="3"/>
      <c r="S392" s="3"/>
      <c r="U392" s="1"/>
      <c r="V392" s="3"/>
      <c r="W392" s="3"/>
      <c r="X392" s="3"/>
    </row>
    <row r="393" spans="16:24" x14ac:dyDescent="0.25">
      <c r="P393" s="1"/>
      <c r="Q393" s="3"/>
      <c r="R393" s="3"/>
      <c r="S393" s="3"/>
      <c r="U393" s="1"/>
      <c r="V393" s="3"/>
      <c r="W393" s="3"/>
      <c r="X393" s="3"/>
    </row>
    <row r="394" spans="16:24" x14ac:dyDescent="0.25">
      <c r="P394" s="1"/>
      <c r="Q394" s="3"/>
      <c r="R394" s="3"/>
      <c r="S394" s="3"/>
      <c r="U394" s="1"/>
      <c r="V394" s="3"/>
      <c r="W394" s="3"/>
      <c r="X394" s="3"/>
    </row>
    <row r="395" spans="16:24" x14ac:dyDescent="0.25">
      <c r="P395" s="1"/>
      <c r="Q395" s="3"/>
      <c r="R395" s="3"/>
      <c r="S395" s="3"/>
      <c r="U395" s="1"/>
      <c r="V395" s="3"/>
      <c r="W395" s="3"/>
      <c r="X395" s="3"/>
    </row>
    <row r="396" spans="16:24" x14ac:dyDescent="0.25">
      <c r="P396" s="1"/>
      <c r="Q396" s="3"/>
      <c r="R396" s="3"/>
      <c r="S396" s="3"/>
      <c r="U396" s="1"/>
      <c r="V396" s="3"/>
      <c r="W396" s="3"/>
      <c r="X396" s="3"/>
    </row>
    <row r="397" spans="16:24" x14ac:dyDescent="0.25">
      <c r="P397" s="1"/>
      <c r="Q397" s="3"/>
      <c r="R397" s="3"/>
      <c r="S397" s="3"/>
      <c r="U397" s="1"/>
      <c r="V397" s="3"/>
      <c r="W397" s="3"/>
      <c r="X397" s="3"/>
    </row>
    <row r="398" spans="16:24" x14ac:dyDescent="0.25">
      <c r="P398" s="1"/>
      <c r="Q398" s="3"/>
      <c r="R398" s="3"/>
      <c r="S398" s="3"/>
      <c r="U398" s="1"/>
      <c r="V398" s="3"/>
      <c r="W398" s="3"/>
      <c r="X398" s="3"/>
    </row>
    <row r="399" spans="16:24" x14ac:dyDescent="0.25">
      <c r="P399" s="1"/>
      <c r="Q399" s="3"/>
      <c r="R399" s="3"/>
      <c r="S399" s="3"/>
      <c r="U399" s="1"/>
      <c r="V399" s="3"/>
      <c r="W399" s="3"/>
      <c r="X399" s="3"/>
    </row>
    <row r="400" spans="16:24" x14ac:dyDescent="0.25">
      <c r="P400" s="1"/>
      <c r="Q400" s="3"/>
      <c r="R400" s="3"/>
      <c r="S400" s="3"/>
      <c r="U400" s="1"/>
      <c r="V400" s="3"/>
      <c r="W400" s="3"/>
      <c r="X400" s="3"/>
    </row>
    <row r="401" spans="16:24" x14ac:dyDescent="0.25">
      <c r="P401" s="1"/>
      <c r="Q401" s="3"/>
      <c r="R401" s="3"/>
      <c r="S401" s="3"/>
      <c r="U401" s="1"/>
      <c r="V401" s="3"/>
      <c r="W401" s="3"/>
      <c r="X401" s="3"/>
    </row>
    <row r="402" spans="16:24" x14ac:dyDescent="0.25">
      <c r="P402" s="1"/>
      <c r="Q402" s="3"/>
      <c r="R402" s="3"/>
      <c r="S402" s="3"/>
      <c r="U402" s="1"/>
      <c r="V402" s="3"/>
      <c r="W402" s="3"/>
      <c r="X402" s="3"/>
    </row>
    <row r="403" spans="16:24" x14ac:dyDescent="0.25">
      <c r="P403" s="1"/>
      <c r="Q403" s="3"/>
      <c r="R403" s="3"/>
      <c r="S403" s="3"/>
      <c r="U403" s="1"/>
      <c r="V403" s="3"/>
      <c r="W403" s="3"/>
      <c r="X403" s="3"/>
    </row>
    <row r="404" spans="16:24" x14ac:dyDescent="0.25">
      <c r="P404" s="1"/>
      <c r="Q404" s="3"/>
      <c r="R404" s="3"/>
      <c r="S404" s="3"/>
      <c r="U404" s="1"/>
      <c r="V404" s="3"/>
      <c r="W404" s="3"/>
      <c r="X404" s="3"/>
    </row>
    <row r="405" spans="16:24" x14ac:dyDescent="0.25">
      <c r="P405" s="1"/>
      <c r="Q405" s="3"/>
      <c r="R405" s="3"/>
      <c r="S405" s="3"/>
      <c r="U405" s="1"/>
      <c r="V405" s="3"/>
      <c r="W405" s="3"/>
      <c r="X405" s="3"/>
    </row>
    <row r="406" spans="16:24" x14ac:dyDescent="0.25">
      <c r="P406" s="1"/>
      <c r="Q406" s="3"/>
      <c r="R406" s="3"/>
      <c r="S406" s="3"/>
      <c r="U406" s="1"/>
      <c r="V406" s="3"/>
      <c r="W406" s="3"/>
      <c r="X406" s="3"/>
    </row>
    <row r="407" spans="16:24" x14ac:dyDescent="0.25">
      <c r="P407" s="1"/>
      <c r="Q407" s="3"/>
      <c r="R407" s="3"/>
      <c r="S407" s="3"/>
      <c r="U407" s="1"/>
      <c r="V407" s="3"/>
      <c r="W407" s="3"/>
      <c r="X407" s="3"/>
    </row>
    <row r="408" spans="16:24" x14ac:dyDescent="0.25">
      <c r="P408" s="1"/>
      <c r="Q408" s="3"/>
      <c r="R408" s="3"/>
      <c r="S408" s="3"/>
      <c r="U408" s="1"/>
      <c r="V408" s="3"/>
      <c r="W408" s="3"/>
      <c r="X408" s="3"/>
    </row>
    <row r="409" spans="16:24" x14ac:dyDescent="0.25">
      <c r="P409" s="1"/>
      <c r="Q409" s="3"/>
      <c r="R409" s="3"/>
      <c r="S409" s="3"/>
      <c r="U409" s="1"/>
      <c r="V409" s="3"/>
      <c r="W409" s="3"/>
      <c r="X409" s="3"/>
    </row>
    <row r="410" spans="16:24" x14ac:dyDescent="0.25">
      <c r="P410" s="1"/>
      <c r="Q410" s="3"/>
      <c r="R410" s="3"/>
      <c r="S410" s="3"/>
      <c r="U410" s="1"/>
      <c r="V410" s="3"/>
      <c r="W410" s="3"/>
      <c r="X410" s="3"/>
    </row>
    <row r="411" spans="16:24" x14ac:dyDescent="0.25">
      <c r="P411" s="1"/>
      <c r="Q411" s="3"/>
      <c r="R411" s="3"/>
      <c r="S411" s="3"/>
      <c r="U411" s="1"/>
      <c r="V411" s="3"/>
      <c r="W411" s="3"/>
      <c r="X411" s="3"/>
    </row>
    <row r="412" spans="16:24" x14ac:dyDescent="0.25">
      <c r="P412" s="1"/>
      <c r="Q412" s="3"/>
      <c r="R412" s="3"/>
      <c r="S412" s="3"/>
      <c r="U412" s="1"/>
      <c r="V412" s="3"/>
      <c r="W412" s="3"/>
      <c r="X412" s="3"/>
    </row>
    <row r="413" spans="16:24" x14ac:dyDescent="0.25">
      <c r="P413" s="1"/>
      <c r="Q413" s="3"/>
      <c r="R413" s="3"/>
      <c r="S413" s="3"/>
      <c r="U413" s="1"/>
      <c r="V413" s="3"/>
      <c r="W413" s="3"/>
      <c r="X413" s="3"/>
    </row>
    <row r="414" spans="16:24" x14ac:dyDescent="0.25">
      <c r="P414" s="1"/>
      <c r="Q414" s="3"/>
      <c r="R414" s="3"/>
      <c r="S414" s="3"/>
      <c r="U414" s="1"/>
      <c r="V414" s="3"/>
      <c r="W414" s="3"/>
      <c r="X414" s="3"/>
    </row>
    <row r="415" spans="16:24" x14ac:dyDescent="0.25">
      <c r="P415" s="1"/>
      <c r="Q415" s="3"/>
      <c r="R415" s="3"/>
      <c r="S415" s="3"/>
      <c r="U415" s="1"/>
      <c r="V415" s="3"/>
      <c r="W415" s="3"/>
      <c r="X415" s="3"/>
    </row>
    <row r="416" spans="16:24" x14ac:dyDescent="0.25">
      <c r="P416" s="1"/>
      <c r="Q416" s="3"/>
      <c r="R416" s="3"/>
      <c r="S416" s="3"/>
      <c r="U416" s="1"/>
      <c r="V416" s="3"/>
      <c r="W416" s="3"/>
      <c r="X416" s="3"/>
    </row>
    <row r="417" spans="16:24" x14ac:dyDescent="0.25">
      <c r="P417" s="1"/>
      <c r="Q417" s="3"/>
      <c r="R417" s="3"/>
      <c r="S417" s="3"/>
      <c r="U417" s="1"/>
      <c r="V417" s="3"/>
      <c r="W417" s="3"/>
      <c r="X417" s="3"/>
    </row>
    <row r="418" spans="16:24" x14ac:dyDescent="0.25">
      <c r="P418" s="1"/>
      <c r="Q418" s="3"/>
      <c r="R418" s="3"/>
      <c r="S418" s="3"/>
      <c r="U418" s="1"/>
      <c r="V418" s="3"/>
      <c r="W418" s="3"/>
      <c r="X418" s="3"/>
    </row>
    <row r="419" spans="16:24" x14ac:dyDescent="0.25">
      <c r="P419" s="1"/>
      <c r="Q419" s="3"/>
      <c r="R419" s="3"/>
      <c r="S419" s="3"/>
      <c r="U419" s="1"/>
      <c r="V419" s="3"/>
      <c r="W419" s="3"/>
      <c r="X419" s="3"/>
    </row>
    <row r="420" spans="16:24" x14ac:dyDescent="0.25">
      <c r="P420" s="1"/>
      <c r="Q420" s="3"/>
      <c r="R420" s="3"/>
      <c r="S420" s="3"/>
      <c r="U420" s="1"/>
      <c r="V420" s="3"/>
      <c r="W420" s="3"/>
      <c r="X420" s="3"/>
    </row>
    <row r="421" spans="16:24" x14ac:dyDescent="0.25">
      <c r="P421" s="1"/>
      <c r="Q421" s="3"/>
      <c r="R421" s="3"/>
      <c r="S421" s="3"/>
      <c r="U421" s="1"/>
      <c r="V421" s="3"/>
      <c r="W421" s="3"/>
      <c r="X421" s="3"/>
    </row>
    <row r="422" spans="16:24" x14ac:dyDescent="0.25">
      <c r="P422" s="1"/>
      <c r="Q422" s="3"/>
      <c r="R422" s="3"/>
      <c r="S422" s="3"/>
      <c r="U422" s="1"/>
      <c r="V422" s="3"/>
      <c r="W422" s="3"/>
      <c r="X422" s="3"/>
    </row>
    <row r="423" spans="16:24" x14ac:dyDescent="0.25">
      <c r="P423" s="1"/>
      <c r="Q423" s="3"/>
      <c r="R423" s="3"/>
      <c r="S423" s="3"/>
      <c r="U423" s="1"/>
      <c r="V423" s="3"/>
      <c r="W423" s="3"/>
      <c r="X423" s="3"/>
    </row>
    <row r="424" spans="16:24" x14ac:dyDescent="0.25">
      <c r="P424" s="1"/>
      <c r="Q424" s="3"/>
      <c r="R424" s="3"/>
      <c r="S424" s="3"/>
      <c r="U424" s="1"/>
      <c r="V424" s="3"/>
      <c r="W424" s="3"/>
      <c r="X424" s="3"/>
    </row>
    <row r="425" spans="16:24" x14ac:dyDescent="0.25">
      <c r="P425" s="1"/>
      <c r="Q425" s="3"/>
      <c r="R425" s="3"/>
      <c r="S425" s="3"/>
      <c r="U425" s="1"/>
      <c r="V425" s="3"/>
      <c r="W425" s="3"/>
      <c r="X425" s="3"/>
    </row>
    <row r="426" spans="16:24" x14ac:dyDescent="0.25">
      <c r="P426" s="1"/>
      <c r="Q426" s="3"/>
      <c r="R426" s="3"/>
      <c r="S426" s="3"/>
      <c r="U426" s="1"/>
      <c r="V426" s="3"/>
      <c r="W426" s="3"/>
      <c r="X426" s="3"/>
    </row>
    <row r="427" spans="16:24" x14ac:dyDescent="0.25">
      <c r="P427" s="1"/>
      <c r="Q427" s="3"/>
      <c r="R427" s="3"/>
      <c r="S427" s="3"/>
      <c r="U427" s="1"/>
      <c r="V427" s="3"/>
      <c r="W427" s="3"/>
      <c r="X427" s="3"/>
    </row>
    <row r="428" spans="16:24" x14ac:dyDescent="0.25">
      <c r="P428" s="1"/>
      <c r="Q428" s="3"/>
      <c r="R428" s="3"/>
      <c r="S428" s="3"/>
      <c r="U428" s="1"/>
      <c r="V428" s="3"/>
      <c r="W428" s="3"/>
      <c r="X428" s="3"/>
    </row>
    <row r="429" spans="16:24" x14ac:dyDescent="0.25">
      <c r="P429" s="1"/>
      <c r="Q429" s="3"/>
      <c r="R429" s="3"/>
      <c r="S429" s="3"/>
      <c r="U429" s="1"/>
      <c r="V429" s="3"/>
      <c r="W429" s="3"/>
      <c r="X429" s="3"/>
    </row>
    <row r="430" spans="16:24" x14ac:dyDescent="0.25">
      <c r="P430" s="1"/>
      <c r="Q430" s="3"/>
      <c r="R430" s="3"/>
      <c r="S430" s="3"/>
      <c r="U430" s="1"/>
      <c r="V430" s="3"/>
      <c r="W430" s="3"/>
      <c r="X430" s="3"/>
    </row>
    <row r="431" spans="16:24" x14ac:dyDescent="0.25">
      <c r="P431" s="1"/>
      <c r="Q431" s="3"/>
      <c r="R431" s="3"/>
      <c r="S431" s="3"/>
      <c r="U431" s="1"/>
      <c r="V431" s="3"/>
      <c r="W431" s="3"/>
      <c r="X431" s="3"/>
    </row>
    <row r="432" spans="16:24" x14ac:dyDescent="0.25">
      <c r="P432" s="1"/>
      <c r="Q432" s="3"/>
      <c r="R432" s="3"/>
      <c r="S432" s="3"/>
      <c r="U432" s="1"/>
      <c r="V432" s="3"/>
      <c r="W432" s="3"/>
      <c r="X432" s="3"/>
    </row>
    <row r="433" spans="16:24" x14ac:dyDescent="0.25">
      <c r="P433" s="1"/>
      <c r="Q433" s="3"/>
      <c r="R433" s="3"/>
      <c r="S433" s="3"/>
      <c r="U433" s="1"/>
      <c r="V433" s="3"/>
      <c r="W433" s="3"/>
      <c r="X433" s="3"/>
    </row>
    <row r="434" spans="16:24" x14ac:dyDescent="0.25">
      <c r="P434" s="1"/>
      <c r="Q434" s="3"/>
      <c r="R434" s="3"/>
      <c r="S434" s="3"/>
      <c r="U434" s="1"/>
      <c r="V434" s="3"/>
      <c r="W434" s="3"/>
      <c r="X434" s="3"/>
    </row>
    <row r="435" spans="16:24" x14ac:dyDescent="0.25">
      <c r="P435" s="1"/>
      <c r="Q435" s="3"/>
      <c r="R435" s="3"/>
      <c r="S435" s="3"/>
      <c r="U435" s="1"/>
      <c r="V435" s="3"/>
      <c r="W435" s="3"/>
      <c r="X435" s="3"/>
    </row>
    <row r="436" spans="16:24" x14ac:dyDescent="0.25">
      <c r="P436" s="1"/>
      <c r="Q436" s="3"/>
      <c r="R436" s="3"/>
      <c r="S436" s="3"/>
      <c r="U436" s="1"/>
      <c r="V436" s="3"/>
      <c r="W436" s="3"/>
      <c r="X436" s="3"/>
    </row>
    <row r="437" spans="16:24" x14ac:dyDescent="0.25">
      <c r="P437" s="1"/>
      <c r="Q437" s="3"/>
      <c r="R437" s="3"/>
      <c r="S437" s="3"/>
      <c r="U437" s="1"/>
      <c r="V437" s="3"/>
      <c r="W437" s="3"/>
      <c r="X437" s="3"/>
    </row>
    <row r="438" spans="16:24" x14ac:dyDescent="0.25">
      <c r="P438" s="1"/>
      <c r="Q438" s="3"/>
      <c r="R438" s="3"/>
      <c r="S438" s="3"/>
      <c r="U438" s="1"/>
      <c r="V438" s="3"/>
      <c r="W438" s="3"/>
      <c r="X438" s="3"/>
    </row>
    <row r="439" spans="16:24" x14ac:dyDescent="0.25">
      <c r="P439" s="1"/>
      <c r="Q439" s="3"/>
      <c r="R439" s="3"/>
      <c r="S439" s="3"/>
      <c r="U439" s="1"/>
      <c r="V439" s="3"/>
      <c r="W439" s="3"/>
      <c r="X439" s="3"/>
    </row>
    <row r="440" spans="16:24" x14ac:dyDescent="0.25">
      <c r="P440" s="1"/>
      <c r="Q440" s="3"/>
      <c r="R440" s="3"/>
      <c r="S440" s="3"/>
      <c r="U440" s="1"/>
      <c r="V440" s="3"/>
      <c r="W440" s="3"/>
      <c r="X440" s="3"/>
    </row>
    <row r="441" spans="16:24" x14ac:dyDescent="0.25">
      <c r="P441" s="1"/>
      <c r="Q441" s="3"/>
      <c r="R441" s="3"/>
      <c r="S441" s="3"/>
      <c r="U441" s="1"/>
      <c r="V441" s="3"/>
      <c r="W441" s="3"/>
      <c r="X441" s="3"/>
    </row>
    <row r="442" spans="16:24" x14ac:dyDescent="0.25">
      <c r="P442" s="1"/>
      <c r="Q442" s="3"/>
      <c r="R442" s="3"/>
      <c r="S442" s="3"/>
      <c r="U442" s="1"/>
      <c r="V442" s="3"/>
      <c r="W442" s="3"/>
      <c r="X442" s="3"/>
    </row>
    <row r="443" spans="16:24" x14ac:dyDescent="0.25">
      <c r="P443" s="1"/>
      <c r="Q443" s="3"/>
      <c r="R443" s="3"/>
      <c r="S443" s="3"/>
      <c r="U443" s="1"/>
      <c r="V443" s="3"/>
      <c r="W443" s="3"/>
      <c r="X443" s="3"/>
    </row>
    <row r="444" spans="16:24" x14ac:dyDescent="0.25">
      <c r="P444" s="1"/>
      <c r="Q444" s="3"/>
      <c r="R444" s="3"/>
      <c r="S444" s="3"/>
      <c r="U444" s="1"/>
      <c r="V444" s="3"/>
      <c r="W444" s="3"/>
      <c r="X444" s="3"/>
    </row>
    <row r="445" spans="16:24" x14ac:dyDescent="0.25">
      <c r="P445" s="1"/>
      <c r="Q445" s="3"/>
      <c r="R445" s="3"/>
      <c r="S445" s="3"/>
      <c r="U445" s="1"/>
      <c r="V445" s="3"/>
      <c r="W445" s="3"/>
      <c r="X445" s="3"/>
    </row>
    <row r="446" spans="16:24" x14ac:dyDescent="0.25">
      <c r="P446" s="1"/>
      <c r="Q446" s="3"/>
      <c r="R446" s="3"/>
      <c r="S446" s="3"/>
      <c r="U446" s="1"/>
      <c r="V446" s="3"/>
      <c r="W446" s="3"/>
      <c r="X446" s="3"/>
    </row>
    <row r="447" spans="16:24" x14ac:dyDescent="0.25">
      <c r="P447" s="1"/>
      <c r="Q447" s="3"/>
      <c r="R447" s="3"/>
      <c r="S447" s="3"/>
      <c r="U447" s="1"/>
      <c r="V447" s="3"/>
      <c r="W447" s="3"/>
      <c r="X447" s="3"/>
    </row>
    <row r="448" spans="16:24" x14ac:dyDescent="0.25">
      <c r="P448" s="1"/>
      <c r="Q448" s="3"/>
      <c r="R448" s="3"/>
      <c r="S448" s="3"/>
      <c r="U448" s="1"/>
      <c r="V448" s="3"/>
      <c r="W448" s="3"/>
      <c r="X448" s="3"/>
    </row>
    <row r="449" spans="16:24" x14ac:dyDescent="0.25">
      <c r="P449" s="1"/>
      <c r="Q449" s="3"/>
      <c r="R449" s="3"/>
      <c r="S449" s="3"/>
      <c r="U449" s="1"/>
      <c r="V449" s="3"/>
      <c r="W449" s="3"/>
      <c r="X449" s="3"/>
    </row>
    <row r="450" spans="16:24" x14ac:dyDescent="0.25">
      <c r="P450" s="1"/>
      <c r="Q450" s="3"/>
      <c r="R450" s="3"/>
      <c r="S450" s="3"/>
      <c r="U450" s="1"/>
      <c r="V450" s="3"/>
      <c r="W450" s="3"/>
      <c r="X450" s="3"/>
    </row>
    <row r="451" spans="16:24" x14ac:dyDescent="0.25">
      <c r="P451" s="1"/>
      <c r="Q451" s="3"/>
      <c r="R451" s="3"/>
      <c r="S451" s="3"/>
      <c r="U451" s="1"/>
      <c r="V451" s="3"/>
      <c r="W451" s="3"/>
      <c r="X451" s="3"/>
    </row>
    <row r="452" spans="16:24" x14ac:dyDescent="0.25">
      <c r="P452" s="1"/>
      <c r="Q452" s="3"/>
      <c r="R452" s="3"/>
      <c r="S452" s="3"/>
      <c r="U452" s="1"/>
      <c r="V452" s="3"/>
      <c r="W452" s="3"/>
      <c r="X452" s="3"/>
    </row>
    <row r="453" spans="16:24" x14ac:dyDescent="0.25">
      <c r="P453" s="1"/>
      <c r="Q453" s="3"/>
      <c r="R453" s="3"/>
      <c r="S453" s="3"/>
      <c r="U453" s="1"/>
      <c r="V453" s="3"/>
      <c r="W453" s="3"/>
      <c r="X453" s="3"/>
    </row>
    <row r="454" spans="16:24" x14ac:dyDescent="0.25">
      <c r="P454" s="1"/>
      <c r="Q454" s="3"/>
      <c r="R454" s="3"/>
      <c r="S454" s="3"/>
      <c r="U454" s="1"/>
      <c r="V454" s="3"/>
      <c r="W454" s="3"/>
      <c r="X454" s="3"/>
    </row>
    <row r="455" spans="16:24" x14ac:dyDescent="0.25">
      <c r="P455" s="1"/>
      <c r="Q455" s="3"/>
      <c r="R455" s="3"/>
      <c r="S455" s="3"/>
      <c r="U455" s="1"/>
      <c r="V455" s="3"/>
      <c r="W455" s="3"/>
      <c r="X455" s="3"/>
    </row>
    <row r="456" spans="16:24" x14ac:dyDescent="0.25">
      <c r="P456" s="1"/>
      <c r="Q456" s="3"/>
      <c r="R456" s="3"/>
      <c r="S456" s="3"/>
      <c r="U456" s="1"/>
      <c r="V456" s="3"/>
      <c r="W456" s="3"/>
      <c r="X456" s="3"/>
    </row>
    <row r="457" spans="16:24" x14ac:dyDescent="0.25">
      <c r="P457" s="1"/>
      <c r="Q457" s="3"/>
      <c r="R457" s="3"/>
      <c r="S457" s="3"/>
      <c r="U457" s="1"/>
      <c r="V457" s="3"/>
      <c r="W457" s="3"/>
      <c r="X457" s="3"/>
    </row>
    <row r="458" spans="16:24" x14ac:dyDescent="0.25">
      <c r="P458" s="1"/>
      <c r="Q458" s="3"/>
      <c r="R458" s="3"/>
      <c r="S458" s="3"/>
      <c r="U458" s="1"/>
      <c r="V458" s="3"/>
      <c r="W458" s="3"/>
      <c r="X458" s="3"/>
    </row>
    <row r="459" spans="16:24" x14ac:dyDescent="0.25">
      <c r="P459" s="1"/>
      <c r="Q459" s="3"/>
      <c r="R459" s="3"/>
      <c r="S459" s="3"/>
      <c r="U459" s="1"/>
      <c r="V459" s="3"/>
      <c r="W459" s="3"/>
      <c r="X459" s="3"/>
    </row>
    <row r="460" spans="16:24" x14ac:dyDescent="0.25">
      <c r="P460" s="1"/>
      <c r="Q460" s="3"/>
      <c r="R460" s="3"/>
      <c r="S460" s="3"/>
      <c r="U460" s="1"/>
      <c r="V460" s="3"/>
      <c r="W460" s="3"/>
      <c r="X460" s="3"/>
    </row>
    <row r="461" spans="16:24" x14ac:dyDescent="0.25">
      <c r="P461" s="1"/>
      <c r="Q461" s="3"/>
      <c r="R461" s="3"/>
      <c r="S461" s="3"/>
      <c r="U461" s="1"/>
      <c r="V461" s="3"/>
      <c r="W461" s="3"/>
      <c r="X461" s="3"/>
    </row>
    <row r="462" spans="16:24" x14ac:dyDescent="0.25">
      <c r="P462" s="1"/>
      <c r="Q462" s="3"/>
      <c r="R462" s="3"/>
      <c r="S462" s="3"/>
      <c r="U462" s="1"/>
      <c r="V462" s="3"/>
      <c r="W462" s="3"/>
      <c r="X462" s="3"/>
    </row>
    <row r="463" spans="16:24" x14ac:dyDescent="0.25">
      <c r="P463" s="1"/>
      <c r="Q463" s="3"/>
      <c r="R463" s="3"/>
      <c r="S463" s="3"/>
      <c r="U463" s="1"/>
      <c r="V463" s="3"/>
      <c r="W463" s="3"/>
      <c r="X463" s="3"/>
    </row>
    <row r="464" spans="16:24" x14ac:dyDescent="0.25">
      <c r="P464" s="1"/>
      <c r="Q464" s="3"/>
      <c r="R464" s="3"/>
      <c r="S464" s="3"/>
      <c r="U464" s="1"/>
      <c r="V464" s="3"/>
      <c r="W464" s="3"/>
      <c r="X464" s="3"/>
    </row>
    <row r="465" spans="16:24" x14ac:dyDescent="0.25">
      <c r="P465" s="1"/>
      <c r="Q465" s="3"/>
      <c r="R465" s="3"/>
      <c r="S465" s="3"/>
      <c r="U465" s="1"/>
      <c r="V465" s="3"/>
      <c r="W465" s="3"/>
      <c r="X465" s="3"/>
    </row>
    <row r="466" spans="16:24" x14ac:dyDescent="0.25">
      <c r="P466" s="1"/>
      <c r="Q466" s="3"/>
      <c r="R466" s="3"/>
      <c r="S466" s="3"/>
      <c r="U466" s="1"/>
      <c r="V466" s="3"/>
      <c r="W466" s="3"/>
      <c r="X466" s="3"/>
    </row>
    <row r="467" spans="16:24" x14ac:dyDescent="0.25">
      <c r="P467" s="1"/>
      <c r="Q467" s="3"/>
      <c r="R467" s="3"/>
      <c r="S467" s="3"/>
      <c r="U467" s="1"/>
      <c r="V467" s="3"/>
      <c r="W467" s="3"/>
      <c r="X467" s="3"/>
    </row>
    <row r="468" spans="16:24" x14ac:dyDescent="0.25">
      <c r="P468" s="1"/>
      <c r="Q468" s="3"/>
      <c r="R468" s="3"/>
      <c r="S468" s="3"/>
      <c r="U468" s="1"/>
      <c r="V468" s="3"/>
      <c r="W468" s="3"/>
      <c r="X468" s="3"/>
    </row>
    <row r="469" spans="16:24" x14ac:dyDescent="0.25">
      <c r="P469" s="1"/>
      <c r="Q469" s="3"/>
      <c r="R469" s="3"/>
      <c r="S469" s="3"/>
      <c r="U469" s="1"/>
      <c r="V469" s="3"/>
      <c r="W469" s="3"/>
      <c r="X469" s="3"/>
    </row>
    <row r="470" spans="16:24" x14ac:dyDescent="0.25">
      <c r="P470" s="1"/>
      <c r="Q470" s="3"/>
      <c r="R470" s="3"/>
      <c r="S470" s="3"/>
      <c r="U470" s="1"/>
      <c r="V470" s="3"/>
      <c r="W470" s="3"/>
      <c r="X470" s="3"/>
    </row>
    <row r="471" spans="16:24" x14ac:dyDescent="0.25">
      <c r="P471" s="1"/>
      <c r="Q471" s="3"/>
      <c r="R471" s="3"/>
      <c r="S471" s="3"/>
      <c r="U471" s="1"/>
      <c r="V471" s="3"/>
      <c r="W471" s="3"/>
      <c r="X471" s="3"/>
    </row>
    <row r="472" spans="16:24" x14ac:dyDescent="0.25">
      <c r="P472" s="1"/>
      <c r="Q472" s="3"/>
      <c r="R472" s="3"/>
      <c r="S472" s="3"/>
      <c r="U472" s="1"/>
      <c r="V472" s="3"/>
      <c r="W472" s="3"/>
      <c r="X472" s="3"/>
    </row>
    <row r="473" spans="16:24" x14ac:dyDescent="0.25">
      <c r="P473" s="1"/>
      <c r="Q473" s="3"/>
      <c r="R473" s="3"/>
      <c r="S473" s="3"/>
      <c r="U473" s="1"/>
      <c r="V473" s="3"/>
      <c r="W473" s="3"/>
      <c r="X473" s="3"/>
    </row>
    <row r="474" spans="16:24" x14ac:dyDescent="0.25">
      <c r="P474" s="1"/>
      <c r="Q474" s="3"/>
      <c r="R474" s="3"/>
      <c r="S474" s="3"/>
      <c r="U474" s="1"/>
      <c r="V474" s="3"/>
      <c r="W474" s="3"/>
      <c r="X474" s="3"/>
    </row>
    <row r="475" spans="16:24" x14ac:dyDescent="0.25">
      <c r="P475" s="1"/>
      <c r="Q475" s="3"/>
      <c r="R475" s="3"/>
      <c r="S475" s="3"/>
      <c r="U475" s="1"/>
      <c r="V475" s="3"/>
      <c r="W475" s="3"/>
      <c r="X475" s="3"/>
    </row>
    <row r="476" spans="16:24" x14ac:dyDescent="0.25">
      <c r="P476" s="1"/>
      <c r="Q476" s="3"/>
      <c r="R476" s="3"/>
      <c r="S476" s="3"/>
      <c r="U476" s="1"/>
      <c r="V476" s="3"/>
      <c r="W476" s="3"/>
      <c r="X476" s="3"/>
    </row>
    <row r="477" spans="16:24" x14ac:dyDescent="0.25">
      <c r="P477" s="1"/>
      <c r="Q477" s="3"/>
      <c r="R477" s="3"/>
      <c r="S477" s="3"/>
      <c r="U477" s="1"/>
      <c r="V477" s="3"/>
      <c r="W477" s="3"/>
      <c r="X477" s="3"/>
    </row>
    <row r="478" spans="16:24" x14ac:dyDescent="0.25">
      <c r="P478" s="1"/>
      <c r="Q478" s="3"/>
      <c r="R478" s="3"/>
      <c r="S478" s="3"/>
      <c r="U478" s="1"/>
      <c r="V478" s="3"/>
      <c r="W478" s="3"/>
      <c r="X478" s="3"/>
    </row>
    <row r="479" spans="16:24" x14ac:dyDescent="0.25">
      <c r="P479" s="1"/>
      <c r="Q479" s="3"/>
      <c r="R479" s="3"/>
      <c r="S479" s="3"/>
      <c r="U479" s="1"/>
      <c r="V479" s="3"/>
      <c r="W479" s="3"/>
      <c r="X479" s="3"/>
    </row>
    <row r="480" spans="16:24" x14ac:dyDescent="0.25">
      <c r="P480" s="1"/>
      <c r="Q480" s="3"/>
      <c r="R480" s="3"/>
      <c r="S480" s="3"/>
      <c r="U480" s="1"/>
      <c r="V480" s="3"/>
      <c r="W480" s="3"/>
      <c r="X480" s="3"/>
    </row>
    <row r="481" spans="16:24" x14ac:dyDescent="0.25">
      <c r="P481" s="1"/>
      <c r="Q481" s="3"/>
      <c r="R481" s="3"/>
      <c r="S481" s="3"/>
      <c r="U481" s="1"/>
      <c r="V481" s="3"/>
      <c r="W481" s="3"/>
      <c r="X481" s="3"/>
    </row>
    <row r="482" spans="16:24" x14ac:dyDescent="0.25">
      <c r="P482" s="1"/>
      <c r="Q482" s="3"/>
      <c r="R482" s="3"/>
      <c r="S482" s="3"/>
      <c r="U482" s="1"/>
      <c r="V482" s="3"/>
      <c r="W482" s="3"/>
      <c r="X482" s="3"/>
    </row>
    <row r="483" spans="16:24" x14ac:dyDescent="0.25">
      <c r="P483" s="1"/>
      <c r="Q483" s="3"/>
      <c r="R483" s="3"/>
      <c r="S483" s="3"/>
      <c r="U483" s="1"/>
      <c r="V483" s="3"/>
      <c r="W483" s="3"/>
      <c r="X483" s="3"/>
    </row>
    <row r="484" spans="16:24" x14ac:dyDescent="0.25">
      <c r="P484" s="1"/>
      <c r="Q484" s="3"/>
      <c r="R484" s="3"/>
      <c r="S484" s="3"/>
      <c r="U484" s="1"/>
      <c r="V484" s="3"/>
      <c r="W484" s="3"/>
      <c r="X484" s="3"/>
    </row>
    <row r="485" spans="16:24" x14ac:dyDescent="0.25">
      <c r="P485" s="1"/>
      <c r="Q485" s="3"/>
      <c r="R485" s="3"/>
      <c r="S485" s="3"/>
      <c r="U485" s="1"/>
      <c r="V485" s="3"/>
      <c r="W485" s="3"/>
      <c r="X485" s="3"/>
    </row>
    <row r="486" spans="16:24" x14ac:dyDescent="0.25">
      <c r="P486" s="1"/>
      <c r="Q486" s="3"/>
      <c r="R486" s="3"/>
      <c r="S486" s="3"/>
      <c r="U486" s="1"/>
      <c r="V486" s="3"/>
      <c r="W486" s="3"/>
      <c r="X486" s="3"/>
    </row>
    <row r="487" spans="16:24" x14ac:dyDescent="0.25">
      <c r="P487" s="1"/>
      <c r="Q487" s="3"/>
      <c r="R487" s="3"/>
      <c r="S487" s="3"/>
      <c r="U487" s="1"/>
      <c r="V487" s="3"/>
      <c r="W487" s="3"/>
      <c r="X487" s="3"/>
    </row>
    <row r="488" spans="16:24" x14ac:dyDescent="0.25">
      <c r="P488" s="1"/>
      <c r="Q488" s="3"/>
      <c r="R488" s="3"/>
      <c r="S488" s="3"/>
      <c r="U488" s="1"/>
      <c r="V488" s="3"/>
      <c r="W488" s="3"/>
      <c r="X488" s="3"/>
    </row>
    <row r="489" spans="16:24" x14ac:dyDescent="0.25">
      <c r="P489" s="1"/>
      <c r="Q489" s="3"/>
      <c r="R489" s="3"/>
      <c r="S489" s="3"/>
      <c r="U489" s="1"/>
      <c r="V489" s="3"/>
      <c r="W489" s="3"/>
      <c r="X489" s="3"/>
    </row>
    <row r="490" spans="16:24" x14ac:dyDescent="0.25">
      <c r="P490" s="1"/>
      <c r="Q490" s="3"/>
      <c r="R490" s="3"/>
      <c r="S490" s="3"/>
      <c r="U490" s="1"/>
      <c r="V490" s="3"/>
      <c r="W490" s="3"/>
      <c r="X490" s="3"/>
    </row>
    <row r="491" spans="16:24" x14ac:dyDescent="0.25">
      <c r="P491" s="1"/>
      <c r="Q491" s="3"/>
      <c r="R491" s="3"/>
      <c r="S491" s="3"/>
      <c r="U491" s="1"/>
      <c r="V491" s="3"/>
      <c r="W491" s="3"/>
      <c r="X491" s="3"/>
    </row>
    <row r="492" spans="16:24" x14ac:dyDescent="0.25">
      <c r="P492" s="1"/>
      <c r="Q492" s="3"/>
      <c r="R492" s="3"/>
      <c r="S492" s="3"/>
      <c r="U492" s="1"/>
      <c r="V492" s="3"/>
      <c r="W492" s="3"/>
      <c r="X492" s="3"/>
    </row>
    <row r="493" spans="16:24" x14ac:dyDescent="0.25">
      <c r="P493" s="1"/>
      <c r="Q493" s="3"/>
      <c r="R493" s="3"/>
      <c r="S493" s="3"/>
      <c r="U493" s="1"/>
      <c r="V493" s="3"/>
      <c r="W493" s="3"/>
      <c r="X493" s="3"/>
    </row>
    <row r="495" spans="16:24" x14ac:dyDescent="0.25">
      <c r="P495" s="1"/>
      <c r="Q495" s="1"/>
      <c r="S495" s="1"/>
      <c r="U495" s="1"/>
      <c r="W495" s="1"/>
      <c r="X49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5"/>
  <sheetViews>
    <sheetView topLeftCell="K1" workbookViewId="0">
      <pane ySplit="2" topLeftCell="A3" activePane="bottomLeft" state="frozen"/>
      <selection pane="bottomLeft" activeCell="U8" sqref="U8"/>
    </sheetView>
  </sheetViews>
  <sheetFormatPr defaultRowHeight="15" x14ac:dyDescent="0.25"/>
  <sheetData>
    <row r="1" spans="1:23" s="2" customFormat="1" x14ac:dyDescent="0.25">
      <c r="A1" s="2" t="s">
        <v>0</v>
      </c>
      <c r="B1" s="2" t="s">
        <v>1</v>
      </c>
    </row>
    <row r="2" spans="1:23" s="2" customForma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P2" s="2" t="s">
        <v>17</v>
      </c>
      <c r="Q2" s="2" t="s">
        <v>19</v>
      </c>
      <c r="R2" s="2" t="s">
        <v>20</v>
      </c>
      <c r="S2" s="2" t="s">
        <v>21</v>
      </c>
      <c r="U2" s="2" t="s">
        <v>24</v>
      </c>
      <c r="V2" s="2" t="s">
        <v>22</v>
      </c>
      <c r="W2" s="2" t="s">
        <v>23</v>
      </c>
    </row>
    <row r="3" spans="1:23" x14ac:dyDescent="0.25">
      <c r="A3" t="s">
        <v>16</v>
      </c>
      <c r="C3">
        <v>52.047151100000001</v>
      </c>
      <c r="D3">
        <v>-0.5721617</v>
      </c>
      <c r="E3">
        <v>4</v>
      </c>
      <c r="F3">
        <v>4</v>
      </c>
      <c r="G3">
        <v>2022</v>
      </c>
      <c r="H3">
        <v>13</v>
      </c>
      <c r="I3">
        <v>55</v>
      </c>
      <c r="J3">
        <v>16</v>
      </c>
      <c r="K3">
        <v>44.11</v>
      </c>
      <c r="L3">
        <v>0</v>
      </c>
      <c r="M3">
        <v>37.795999999999999</v>
      </c>
      <c r="N3">
        <v>0.57599999999999996</v>
      </c>
      <c r="P3" s="1">
        <f t="shared" ref="P3:P66" si="0">M3*1000/3600</f>
        <v>10.498888888888889</v>
      </c>
      <c r="S3" s="1"/>
      <c r="U3" s="1"/>
      <c r="W3" s="1"/>
    </row>
    <row r="4" spans="1:23" x14ac:dyDescent="0.25">
      <c r="A4" t="s">
        <v>16</v>
      </c>
      <c r="C4">
        <v>52.047159299999997</v>
      </c>
      <c r="D4">
        <v>-0.57216959999999994</v>
      </c>
      <c r="E4">
        <v>4</v>
      </c>
      <c r="F4">
        <v>4</v>
      </c>
      <c r="G4">
        <v>2022</v>
      </c>
      <c r="H4">
        <v>13</v>
      </c>
      <c r="I4">
        <v>55</v>
      </c>
      <c r="J4">
        <v>16.100000000000001</v>
      </c>
      <c r="K4">
        <v>44.11</v>
      </c>
      <c r="L4">
        <v>0</v>
      </c>
      <c r="M4">
        <v>38.131</v>
      </c>
      <c r="N4">
        <v>0.58299999999999996</v>
      </c>
      <c r="P4" s="1">
        <f t="shared" si="0"/>
        <v>10.591944444444444</v>
      </c>
      <c r="Q4" s="3">
        <f>10*($P4-$P3)</f>
        <v>0.93055555555555003</v>
      </c>
      <c r="S4" s="1"/>
      <c r="U4" s="1"/>
      <c r="W4" s="1"/>
    </row>
    <row r="5" spans="1:23" x14ac:dyDescent="0.25">
      <c r="A5" t="s">
        <v>16</v>
      </c>
      <c r="C5">
        <v>52.047167600000002</v>
      </c>
      <c r="D5">
        <v>-0.57217750000000001</v>
      </c>
      <c r="E5">
        <v>4</v>
      </c>
      <c r="F5">
        <v>4</v>
      </c>
      <c r="G5">
        <v>2022</v>
      </c>
      <c r="H5">
        <v>13</v>
      </c>
      <c r="I5">
        <v>55</v>
      </c>
      <c r="J5">
        <v>16.2</v>
      </c>
      <c r="K5">
        <v>44.12</v>
      </c>
      <c r="L5">
        <v>0</v>
      </c>
      <c r="M5">
        <v>38.393999999999998</v>
      </c>
      <c r="N5">
        <v>0.59</v>
      </c>
      <c r="P5" s="1">
        <f t="shared" si="0"/>
        <v>10.664999999999999</v>
      </c>
      <c r="Q5" s="3">
        <f t="shared" ref="Q5:Q68" si="1">10*($P5-$P4)</f>
        <v>0.73055555555555429</v>
      </c>
      <c r="S5" s="1"/>
      <c r="U5" s="1"/>
      <c r="W5" s="1"/>
    </row>
    <row r="6" spans="1:23" x14ac:dyDescent="0.25">
      <c r="A6" t="s">
        <v>16</v>
      </c>
      <c r="C6">
        <v>52.047176100000001</v>
      </c>
      <c r="D6">
        <v>-0.57218519999999995</v>
      </c>
      <c r="E6">
        <v>4</v>
      </c>
      <c r="F6">
        <v>4</v>
      </c>
      <c r="G6">
        <v>2022</v>
      </c>
      <c r="H6">
        <v>13</v>
      </c>
      <c r="I6">
        <v>55</v>
      </c>
      <c r="J6">
        <v>16.3</v>
      </c>
      <c r="K6">
        <v>44.12</v>
      </c>
      <c r="L6">
        <v>0</v>
      </c>
      <c r="M6">
        <v>38.689</v>
      </c>
      <c r="N6">
        <v>0.60799999999999998</v>
      </c>
      <c r="P6" s="1">
        <f t="shared" si="0"/>
        <v>10.746944444444445</v>
      </c>
      <c r="Q6" s="3">
        <f t="shared" si="1"/>
        <v>0.81944444444445708</v>
      </c>
      <c r="S6" s="1"/>
      <c r="U6" s="1"/>
      <c r="W6" s="1"/>
    </row>
    <row r="7" spans="1:23" x14ac:dyDescent="0.25">
      <c r="A7" t="s">
        <v>16</v>
      </c>
      <c r="C7">
        <v>52.047184600000001</v>
      </c>
      <c r="D7">
        <v>-0.57219310000000001</v>
      </c>
      <c r="E7">
        <v>4</v>
      </c>
      <c r="F7">
        <v>4</v>
      </c>
      <c r="G7">
        <v>2022</v>
      </c>
      <c r="H7">
        <v>13</v>
      </c>
      <c r="I7">
        <v>55</v>
      </c>
      <c r="J7">
        <v>16.399999999999999</v>
      </c>
      <c r="K7">
        <v>44.13</v>
      </c>
      <c r="L7">
        <v>0</v>
      </c>
      <c r="M7">
        <v>38.753999999999998</v>
      </c>
      <c r="N7">
        <v>0.60099999999999998</v>
      </c>
      <c r="P7" s="1">
        <f t="shared" si="0"/>
        <v>10.765000000000001</v>
      </c>
      <c r="Q7" s="3">
        <f t="shared" si="1"/>
        <v>0.18055555555555713</v>
      </c>
      <c r="S7" s="1"/>
      <c r="U7" s="1"/>
      <c r="W7" s="1"/>
    </row>
    <row r="8" spans="1:23" x14ac:dyDescent="0.25">
      <c r="A8" t="s">
        <v>16</v>
      </c>
      <c r="C8">
        <v>52.047193200000002</v>
      </c>
      <c r="D8">
        <v>-0.57220110000000002</v>
      </c>
      <c r="E8">
        <v>4</v>
      </c>
      <c r="F8">
        <v>4</v>
      </c>
      <c r="G8">
        <v>2022</v>
      </c>
      <c r="H8">
        <v>13</v>
      </c>
      <c r="I8">
        <v>55</v>
      </c>
      <c r="J8">
        <v>16.5</v>
      </c>
      <c r="K8">
        <v>44.16</v>
      </c>
      <c r="L8">
        <v>0</v>
      </c>
      <c r="M8">
        <v>39.085000000000001</v>
      </c>
      <c r="N8">
        <v>0.60499999999999998</v>
      </c>
      <c r="P8" s="1">
        <f t="shared" si="0"/>
        <v>10.856944444444444</v>
      </c>
      <c r="Q8" s="3">
        <f t="shared" si="1"/>
        <v>0.91944444444443718</v>
      </c>
      <c r="R8" s="3">
        <f>($P13-$P3)</f>
        <v>0.40499999999999936</v>
      </c>
      <c r="S8" s="1"/>
      <c r="U8" s="1">
        <f>AVERAGE(P3:P13)</f>
        <v>10.783888888888891</v>
      </c>
      <c r="V8" s="3"/>
      <c r="W8" s="1"/>
    </row>
    <row r="9" spans="1:23" x14ac:dyDescent="0.25">
      <c r="A9" t="s">
        <v>16</v>
      </c>
      <c r="C9">
        <v>52.047201800000003</v>
      </c>
      <c r="D9">
        <v>-0.57220890000000002</v>
      </c>
      <c r="E9">
        <v>4</v>
      </c>
      <c r="F9">
        <v>4</v>
      </c>
      <c r="G9">
        <v>2022</v>
      </c>
      <c r="H9">
        <v>13</v>
      </c>
      <c r="I9">
        <v>55</v>
      </c>
      <c r="J9">
        <v>16.600000000000001</v>
      </c>
      <c r="K9">
        <v>44.16</v>
      </c>
      <c r="L9">
        <v>0</v>
      </c>
      <c r="M9">
        <v>39.154000000000003</v>
      </c>
      <c r="N9">
        <v>0.60499999999999998</v>
      </c>
      <c r="P9" s="1">
        <f t="shared" si="0"/>
        <v>10.876111111111111</v>
      </c>
      <c r="Q9" s="3">
        <f t="shared" si="1"/>
        <v>0.19166666666666998</v>
      </c>
      <c r="R9" s="3">
        <f t="shared" ref="R9:R72" si="2">($P14-$P4)</f>
        <v>0.33305555555555699</v>
      </c>
      <c r="S9" s="1"/>
      <c r="U9" s="1">
        <f t="shared" ref="U9:U72" si="3">AVERAGE(P4:P14)</f>
        <v>10.822626262626263</v>
      </c>
      <c r="V9" s="3"/>
      <c r="W9" s="1"/>
    </row>
    <row r="10" spans="1:23" x14ac:dyDescent="0.25">
      <c r="A10" t="s">
        <v>16</v>
      </c>
      <c r="C10">
        <v>52.047210399999997</v>
      </c>
      <c r="D10">
        <v>-0.57221679999999997</v>
      </c>
      <c r="E10">
        <v>4</v>
      </c>
      <c r="F10">
        <v>4</v>
      </c>
      <c r="G10">
        <v>2022</v>
      </c>
      <c r="H10">
        <v>13</v>
      </c>
      <c r="I10">
        <v>55</v>
      </c>
      <c r="J10">
        <v>16.7</v>
      </c>
      <c r="K10">
        <v>44.17</v>
      </c>
      <c r="L10">
        <v>0</v>
      </c>
      <c r="M10">
        <v>39.218000000000004</v>
      </c>
      <c r="N10">
        <v>0.60099999999999998</v>
      </c>
      <c r="P10" s="1">
        <f t="shared" si="0"/>
        <v>10.893888888888888</v>
      </c>
      <c r="Q10" s="3">
        <f t="shared" si="1"/>
        <v>0.17777777777777004</v>
      </c>
      <c r="R10" s="3">
        <f t="shared" si="2"/>
        <v>0.35694444444444606</v>
      </c>
      <c r="S10" s="1"/>
      <c r="U10" s="1">
        <f t="shared" si="3"/>
        <v>10.861717171717171</v>
      </c>
      <c r="V10" s="3"/>
      <c r="W10" s="1"/>
    </row>
    <row r="11" spans="1:23" x14ac:dyDescent="0.25">
      <c r="A11" t="s">
        <v>16</v>
      </c>
      <c r="C11">
        <v>52.047218899999997</v>
      </c>
      <c r="D11">
        <v>-0.57222459999999997</v>
      </c>
      <c r="E11">
        <v>4</v>
      </c>
      <c r="F11">
        <v>4</v>
      </c>
      <c r="G11">
        <v>2022</v>
      </c>
      <c r="H11">
        <v>13</v>
      </c>
      <c r="I11">
        <v>55</v>
      </c>
      <c r="J11">
        <v>16.8</v>
      </c>
      <c r="K11">
        <v>44.17</v>
      </c>
      <c r="L11">
        <v>0</v>
      </c>
      <c r="M11">
        <v>39.179000000000002</v>
      </c>
      <c r="N11">
        <v>0.60099999999999998</v>
      </c>
      <c r="P11" s="1">
        <f t="shared" si="0"/>
        <v>10.883055555555556</v>
      </c>
      <c r="Q11" s="3">
        <f t="shared" si="1"/>
        <v>-0.10833333333332362</v>
      </c>
      <c r="R11" s="3">
        <f t="shared" si="2"/>
        <v>0.3341666666666665</v>
      </c>
      <c r="S11" s="1"/>
      <c r="U11" s="1">
        <f t="shared" si="3"/>
        <v>10.899545454545454</v>
      </c>
      <c r="V11" s="3"/>
      <c r="W11" s="1"/>
    </row>
    <row r="12" spans="1:23" x14ac:dyDescent="0.25">
      <c r="A12" t="s">
        <v>16</v>
      </c>
      <c r="C12">
        <v>52.047227499999998</v>
      </c>
      <c r="D12">
        <v>-0.57223270000000004</v>
      </c>
      <c r="E12">
        <v>4</v>
      </c>
      <c r="F12">
        <v>4</v>
      </c>
      <c r="G12">
        <v>2022</v>
      </c>
      <c r="H12">
        <v>13</v>
      </c>
      <c r="I12">
        <v>55</v>
      </c>
      <c r="J12">
        <v>16.899999999999999</v>
      </c>
      <c r="K12">
        <v>44.15</v>
      </c>
      <c r="L12">
        <v>0</v>
      </c>
      <c r="M12">
        <v>39.387999999999998</v>
      </c>
      <c r="N12">
        <v>0.59799999999999998</v>
      </c>
      <c r="P12" s="1">
        <f t="shared" si="0"/>
        <v>10.941111111111111</v>
      </c>
      <c r="Q12" s="3">
        <f t="shared" si="1"/>
        <v>0.58055555555554861</v>
      </c>
      <c r="R12" s="3">
        <f t="shared" si="2"/>
        <v>0.35499999999999865</v>
      </c>
      <c r="S12" s="1"/>
      <c r="U12" s="1">
        <f t="shared" si="3"/>
        <v>10.933459595959595</v>
      </c>
      <c r="V12" s="3"/>
      <c r="W12" s="1"/>
    </row>
    <row r="13" spans="1:23" x14ac:dyDescent="0.25">
      <c r="A13" t="s">
        <v>16</v>
      </c>
      <c r="C13">
        <v>52.047235999999998</v>
      </c>
      <c r="D13">
        <v>-0.57224059999999999</v>
      </c>
      <c r="E13">
        <v>4</v>
      </c>
      <c r="F13">
        <v>4</v>
      </c>
      <c r="G13">
        <v>2022</v>
      </c>
      <c r="H13">
        <v>13</v>
      </c>
      <c r="I13">
        <v>55</v>
      </c>
      <c r="J13">
        <v>17</v>
      </c>
      <c r="K13">
        <v>44.15</v>
      </c>
      <c r="L13">
        <v>0</v>
      </c>
      <c r="M13">
        <v>39.253999999999998</v>
      </c>
      <c r="N13">
        <v>0.61199999999999999</v>
      </c>
      <c r="P13" s="1">
        <f t="shared" si="0"/>
        <v>10.903888888888888</v>
      </c>
      <c r="Q13" s="3">
        <f t="shared" si="1"/>
        <v>-0.37222222222222712</v>
      </c>
      <c r="R13" s="3">
        <f t="shared" si="2"/>
        <v>0.36194444444444507</v>
      </c>
      <c r="S13" s="3">
        <f t="shared" ref="S13:S18" si="4">AVERAGE(R8:R18)</f>
        <v>0.41047979797979828</v>
      </c>
      <c r="U13" s="1">
        <f t="shared" si="3"/>
        <v>10.974722222222223</v>
      </c>
      <c r="V13" s="3">
        <f t="shared" ref="V9:V72" si="5">($U18-$U8)</f>
        <v>0.4104797979797965</v>
      </c>
      <c r="W13" s="3"/>
    </row>
    <row r="14" spans="1:23" x14ac:dyDescent="0.25">
      <c r="A14" t="s">
        <v>16</v>
      </c>
      <c r="C14">
        <v>52.047244499999998</v>
      </c>
      <c r="D14">
        <v>-0.57224850000000005</v>
      </c>
      <c r="E14">
        <v>4</v>
      </c>
      <c r="F14">
        <v>4</v>
      </c>
      <c r="G14">
        <v>2022</v>
      </c>
      <c r="H14">
        <v>13</v>
      </c>
      <c r="I14">
        <v>55</v>
      </c>
      <c r="J14">
        <v>17.100000000000001</v>
      </c>
      <c r="K14">
        <v>44.16</v>
      </c>
      <c r="L14">
        <v>0</v>
      </c>
      <c r="M14">
        <v>39.33</v>
      </c>
      <c r="N14">
        <v>0.61899999999999999</v>
      </c>
      <c r="P14" s="1">
        <f t="shared" si="0"/>
        <v>10.925000000000001</v>
      </c>
      <c r="Q14" s="3">
        <f t="shared" si="1"/>
        <v>0.21111111111112635</v>
      </c>
      <c r="R14" s="3">
        <f t="shared" si="2"/>
        <v>0.4158333333333335</v>
      </c>
      <c r="S14" s="3">
        <f t="shared" si="4"/>
        <v>0.41575757575757599</v>
      </c>
      <c r="U14" s="1">
        <f t="shared" si="3"/>
        <v>11.014267676767675</v>
      </c>
      <c r="V14" s="3">
        <f t="shared" si="5"/>
        <v>0.41575757575757599</v>
      </c>
      <c r="W14" s="3"/>
    </row>
    <row r="15" spans="1:23" x14ac:dyDescent="0.25">
      <c r="A15" t="s">
        <v>16</v>
      </c>
      <c r="C15">
        <v>52.047253300000001</v>
      </c>
      <c r="D15">
        <v>-0.57225649999999995</v>
      </c>
      <c r="E15">
        <v>4</v>
      </c>
      <c r="F15">
        <v>4</v>
      </c>
      <c r="G15">
        <v>2022</v>
      </c>
      <c r="H15">
        <v>13</v>
      </c>
      <c r="I15">
        <v>55</v>
      </c>
      <c r="J15">
        <v>17.2</v>
      </c>
      <c r="K15">
        <v>44.16</v>
      </c>
      <c r="L15">
        <v>0</v>
      </c>
      <c r="M15">
        <v>39.679000000000002</v>
      </c>
      <c r="N15">
        <v>0.61599999999999999</v>
      </c>
      <c r="P15" s="1">
        <f t="shared" si="0"/>
        <v>11.021944444444445</v>
      </c>
      <c r="Q15" s="3">
        <f t="shared" si="1"/>
        <v>0.969444444444445</v>
      </c>
      <c r="R15" s="3">
        <f t="shared" si="2"/>
        <v>0.47416666666666707</v>
      </c>
      <c r="S15" s="3">
        <f t="shared" si="4"/>
        <v>0.42313131313131325</v>
      </c>
      <c r="U15" s="1">
        <f t="shared" si="3"/>
        <v>11.0589898989899</v>
      </c>
      <c r="V15" s="3">
        <f t="shared" si="5"/>
        <v>0.42313131313131436</v>
      </c>
      <c r="W15" s="3"/>
    </row>
    <row r="16" spans="1:23" x14ac:dyDescent="0.25">
      <c r="A16" t="s">
        <v>16</v>
      </c>
      <c r="C16">
        <v>52.047262199999999</v>
      </c>
      <c r="D16">
        <v>-0.5722642</v>
      </c>
      <c r="E16">
        <v>4</v>
      </c>
      <c r="F16">
        <v>4</v>
      </c>
      <c r="G16">
        <v>2022</v>
      </c>
      <c r="H16">
        <v>13</v>
      </c>
      <c r="I16">
        <v>55</v>
      </c>
      <c r="J16">
        <v>17.3</v>
      </c>
      <c r="K16">
        <v>44.19</v>
      </c>
      <c r="L16">
        <v>0</v>
      </c>
      <c r="M16">
        <v>39.892000000000003</v>
      </c>
      <c r="N16">
        <v>0.60799999999999998</v>
      </c>
      <c r="P16" s="1">
        <f t="shared" si="0"/>
        <v>11.081111111111111</v>
      </c>
      <c r="Q16" s="3">
        <f t="shared" si="1"/>
        <v>0.59166666666666146</v>
      </c>
      <c r="R16" s="3">
        <f t="shared" si="2"/>
        <v>0.49305555555555536</v>
      </c>
      <c r="S16" s="3">
        <f t="shared" si="4"/>
        <v>0.42767676767676766</v>
      </c>
      <c r="U16" s="1">
        <f t="shared" si="3"/>
        <v>11.102828282828282</v>
      </c>
      <c r="V16" s="3">
        <f t="shared" si="5"/>
        <v>0.4276767676767701</v>
      </c>
      <c r="W16" s="3"/>
    </row>
    <row r="17" spans="1:23" x14ac:dyDescent="0.25">
      <c r="A17" t="s">
        <v>16</v>
      </c>
      <c r="C17">
        <v>52.047271199999997</v>
      </c>
      <c r="D17">
        <v>-0.57227189999999994</v>
      </c>
      <c r="E17">
        <v>4</v>
      </c>
      <c r="F17">
        <v>4</v>
      </c>
      <c r="G17">
        <v>2022</v>
      </c>
      <c r="H17">
        <v>13</v>
      </c>
      <c r="I17">
        <v>55</v>
      </c>
      <c r="J17">
        <v>17.399999999999999</v>
      </c>
      <c r="K17">
        <v>44.19</v>
      </c>
      <c r="L17">
        <v>0</v>
      </c>
      <c r="M17">
        <v>40.031999999999996</v>
      </c>
      <c r="N17">
        <v>0.60099999999999998</v>
      </c>
      <c r="P17" s="1">
        <f t="shared" si="0"/>
        <v>11.12</v>
      </c>
      <c r="Q17" s="3">
        <f t="shared" si="1"/>
        <v>0.38888888888887863</v>
      </c>
      <c r="R17" s="3">
        <f t="shared" si="2"/>
        <v>0.443888888888889</v>
      </c>
      <c r="S17" s="3">
        <f t="shared" si="4"/>
        <v>0.4308333333333334</v>
      </c>
      <c r="U17" s="1">
        <f t="shared" si="3"/>
        <v>11.148459595959595</v>
      </c>
      <c r="V17" s="3">
        <f t="shared" si="5"/>
        <v>0.43083333333333584</v>
      </c>
      <c r="W17" s="3"/>
    </row>
    <row r="18" spans="1:23" x14ac:dyDescent="0.25">
      <c r="A18" t="s">
        <v>16</v>
      </c>
      <c r="C18">
        <v>52.047280399999998</v>
      </c>
      <c r="D18">
        <v>-0.57227930000000005</v>
      </c>
      <c r="E18">
        <v>4</v>
      </c>
      <c r="F18">
        <v>4</v>
      </c>
      <c r="G18">
        <v>2022</v>
      </c>
      <c r="H18">
        <v>13</v>
      </c>
      <c r="I18">
        <v>55</v>
      </c>
      <c r="J18">
        <v>17.5</v>
      </c>
      <c r="K18">
        <v>44.19</v>
      </c>
      <c r="L18">
        <v>0</v>
      </c>
      <c r="M18">
        <v>40.387999999999998</v>
      </c>
      <c r="N18">
        <v>0.60099999999999998</v>
      </c>
      <c r="P18" s="1">
        <f t="shared" si="0"/>
        <v>11.218888888888889</v>
      </c>
      <c r="Q18" s="3">
        <f t="shared" si="1"/>
        <v>0.98888888888890136</v>
      </c>
      <c r="R18" s="3">
        <f t="shared" si="2"/>
        <v>0.54222222222222349</v>
      </c>
      <c r="S18" s="3">
        <f t="shared" si="4"/>
        <v>0.43128787878787894</v>
      </c>
      <c r="U18" s="1">
        <f t="shared" si="3"/>
        <v>11.194368686868687</v>
      </c>
      <c r="V18" s="3">
        <f t="shared" si="5"/>
        <v>0.43128787878787911</v>
      </c>
      <c r="W18" s="3">
        <f t="shared" ref="W13:W76" si="6">AVERAGE(V13:V23)</f>
        <v>0.41798668503214065</v>
      </c>
    </row>
    <row r="19" spans="1:23" x14ac:dyDescent="0.25">
      <c r="A19" t="s">
        <v>16</v>
      </c>
      <c r="C19">
        <v>52.0472897</v>
      </c>
      <c r="D19">
        <v>-0.57228659999999998</v>
      </c>
      <c r="E19">
        <v>4</v>
      </c>
      <c r="F19">
        <v>4</v>
      </c>
      <c r="G19">
        <v>2022</v>
      </c>
      <c r="H19">
        <v>13</v>
      </c>
      <c r="I19">
        <v>55</v>
      </c>
      <c r="J19">
        <v>17.600000000000001</v>
      </c>
      <c r="K19">
        <v>44.2</v>
      </c>
      <c r="L19">
        <v>0</v>
      </c>
      <c r="M19">
        <v>40.651000000000003</v>
      </c>
      <c r="N19">
        <v>0.59399999999999997</v>
      </c>
      <c r="P19" s="1">
        <f t="shared" si="0"/>
        <v>11.291944444444445</v>
      </c>
      <c r="Q19" s="3">
        <f t="shared" si="1"/>
        <v>0.73055555555555429</v>
      </c>
      <c r="R19" s="3">
        <f t="shared" si="2"/>
        <v>0.46305555555555422</v>
      </c>
      <c r="S19" s="3">
        <f t="shared" ref="S19:S82" si="7">AVERAGE(R14:R24)</f>
        <v>0.42893939393939395</v>
      </c>
      <c r="U19" s="1">
        <f t="shared" si="3"/>
        <v>11.238383838383839</v>
      </c>
      <c r="V19" s="3">
        <f t="shared" si="5"/>
        <v>0.42893939393939817</v>
      </c>
      <c r="W19" s="3">
        <f t="shared" si="6"/>
        <v>0.41632920110192972</v>
      </c>
    </row>
    <row r="20" spans="1:23" x14ac:dyDescent="0.25">
      <c r="A20" t="s">
        <v>16</v>
      </c>
      <c r="C20">
        <v>52.047299000000002</v>
      </c>
      <c r="D20">
        <v>-0.57229390000000002</v>
      </c>
      <c r="E20">
        <v>4</v>
      </c>
      <c r="F20">
        <v>4</v>
      </c>
      <c r="G20">
        <v>2022</v>
      </c>
      <c r="H20">
        <v>13</v>
      </c>
      <c r="I20">
        <v>55</v>
      </c>
      <c r="J20">
        <v>17.7</v>
      </c>
      <c r="K20">
        <v>44.18</v>
      </c>
      <c r="L20">
        <v>0</v>
      </c>
      <c r="M20">
        <v>40.924999999999997</v>
      </c>
      <c r="N20">
        <v>0.55400000000000005</v>
      </c>
      <c r="P20" s="1">
        <f t="shared" si="0"/>
        <v>11.368055555555555</v>
      </c>
      <c r="Q20" s="3">
        <f t="shared" si="1"/>
        <v>0.76111111111110574</v>
      </c>
      <c r="R20" s="3">
        <f t="shared" si="2"/>
        <v>0.41416666666666657</v>
      </c>
      <c r="S20" s="3">
        <f t="shared" si="7"/>
        <v>0.41803030303030314</v>
      </c>
      <c r="U20" s="1">
        <f t="shared" si="3"/>
        <v>11.284848484848485</v>
      </c>
      <c r="V20" s="3">
        <f t="shared" si="5"/>
        <v>0.41803030303030297</v>
      </c>
      <c r="W20" s="3">
        <f t="shared" si="6"/>
        <v>0.41325757575757732</v>
      </c>
    </row>
    <row r="21" spans="1:23" x14ac:dyDescent="0.25">
      <c r="A21" t="s">
        <v>16</v>
      </c>
      <c r="C21">
        <v>52.047308100000002</v>
      </c>
      <c r="D21">
        <v>-0.57230099999999995</v>
      </c>
      <c r="E21">
        <v>4</v>
      </c>
      <c r="F21">
        <v>4</v>
      </c>
      <c r="G21">
        <v>2022</v>
      </c>
      <c r="H21">
        <v>13</v>
      </c>
      <c r="I21">
        <v>55</v>
      </c>
      <c r="J21">
        <v>17.8</v>
      </c>
      <c r="K21">
        <v>44.13</v>
      </c>
      <c r="L21">
        <v>0</v>
      </c>
      <c r="M21">
        <v>40.954000000000001</v>
      </c>
      <c r="N21">
        <v>0.55800000000000005</v>
      </c>
      <c r="P21" s="1">
        <f t="shared" si="0"/>
        <v>11.376111111111111</v>
      </c>
      <c r="Q21" s="3">
        <f t="shared" si="1"/>
        <v>8.0555555555559266E-2</v>
      </c>
      <c r="R21" s="3">
        <f t="shared" si="2"/>
        <v>0.406944444444445</v>
      </c>
      <c r="S21" s="3">
        <f t="shared" si="7"/>
        <v>0.40972222222222227</v>
      </c>
      <c r="U21" s="1">
        <f t="shared" si="3"/>
        <v>11.327222222222224</v>
      </c>
      <c r="V21" s="3">
        <f t="shared" si="5"/>
        <v>0.40972222222222321</v>
      </c>
      <c r="W21" s="3">
        <f t="shared" si="6"/>
        <v>0.4085146923783301</v>
      </c>
    </row>
    <row r="22" spans="1:23" x14ac:dyDescent="0.25">
      <c r="A22" t="s">
        <v>16</v>
      </c>
      <c r="C22">
        <v>52.047317300000003</v>
      </c>
      <c r="D22">
        <v>-0.57230820000000004</v>
      </c>
      <c r="E22">
        <v>4</v>
      </c>
      <c r="F22">
        <v>4</v>
      </c>
      <c r="G22">
        <v>2022</v>
      </c>
      <c r="H22">
        <v>13</v>
      </c>
      <c r="I22">
        <v>55</v>
      </c>
      <c r="J22">
        <v>17.899999999999999</v>
      </c>
      <c r="K22">
        <v>44.13</v>
      </c>
      <c r="L22">
        <v>0</v>
      </c>
      <c r="M22">
        <v>40.985999999999997</v>
      </c>
      <c r="N22">
        <v>0.57199999999999995</v>
      </c>
      <c r="P22" s="1">
        <f t="shared" si="0"/>
        <v>11.385</v>
      </c>
      <c r="Q22" s="3">
        <f t="shared" si="1"/>
        <v>8.888888888888502E-2</v>
      </c>
      <c r="R22" s="3">
        <f t="shared" si="2"/>
        <v>0.36888888888888971</v>
      </c>
      <c r="S22" s="3">
        <f t="shared" si="7"/>
        <v>0.40290404040404049</v>
      </c>
      <c r="U22" s="1">
        <f t="shared" si="3"/>
        <v>11.364292929292931</v>
      </c>
      <c r="V22" s="3">
        <f t="shared" si="5"/>
        <v>0.40290404040404226</v>
      </c>
      <c r="W22" s="3">
        <f t="shared" si="6"/>
        <v>0.4029706152433436</v>
      </c>
    </row>
    <row r="23" spans="1:23" x14ac:dyDescent="0.25">
      <c r="A23" t="s">
        <v>16</v>
      </c>
      <c r="C23">
        <v>52.047326499999997</v>
      </c>
      <c r="D23">
        <v>-0.57231540000000003</v>
      </c>
      <c r="E23">
        <v>4</v>
      </c>
      <c r="F23">
        <v>4</v>
      </c>
      <c r="G23">
        <v>2022</v>
      </c>
      <c r="H23">
        <v>13</v>
      </c>
      <c r="I23">
        <v>55</v>
      </c>
      <c r="J23">
        <v>18</v>
      </c>
      <c r="K23">
        <v>44.1</v>
      </c>
      <c r="L23">
        <v>0</v>
      </c>
      <c r="M23">
        <v>41.206000000000003</v>
      </c>
      <c r="N23">
        <v>0.58299999999999996</v>
      </c>
      <c r="P23" s="1">
        <f t="shared" si="0"/>
        <v>11.446111111111112</v>
      </c>
      <c r="Q23" s="3">
        <f t="shared" si="1"/>
        <v>0.61111111111111782</v>
      </c>
      <c r="R23" s="3">
        <f t="shared" si="2"/>
        <v>0.35999999999999943</v>
      </c>
      <c r="S23" s="3">
        <f t="shared" si="7"/>
        <v>0.39909090909090916</v>
      </c>
      <c r="U23" s="1">
        <f t="shared" si="3"/>
        <v>11.406010101010102</v>
      </c>
      <c r="V23" s="3">
        <f t="shared" si="5"/>
        <v>0.3990909090909085</v>
      </c>
      <c r="W23" s="3">
        <f t="shared" si="6"/>
        <v>0.39647153351698916</v>
      </c>
    </row>
    <row r="24" spans="1:23" x14ac:dyDescent="0.25">
      <c r="A24" t="s">
        <v>16</v>
      </c>
      <c r="C24">
        <v>52.047335599999997</v>
      </c>
      <c r="D24">
        <v>-0.57232260000000001</v>
      </c>
      <c r="E24">
        <v>4</v>
      </c>
      <c r="F24">
        <v>4</v>
      </c>
      <c r="G24">
        <v>2022</v>
      </c>
      <c r="H24">
        <v>13</v>
      </c>
      <c r="I24">
        <v>55</v>
      </c>
      <c r="J24">
        <v>18.100000000000001</v>
      </c>
      <c r="K24">
        <v>44.09</v>
      </c>
      <c r="L24">
        <v>0</v>
      </c>
      <c r="M24">
        <v>40.997</v>
      </c>
      <c r="N24">
        <v>0.63700000000000001</v>
      </c>
      <c r="P24" s="1">
        <f t="shared" si="0"/>
        <v>11.388055555555555</v>
      </c>
      <c r="Q24" s="3">
        <f t="shared" si="1"/>
        <v>-0.58055555555556637</v>
      </c>
      <c r="R24" s="3">
        <f t="shared" si="2"/>
        <v>0.33611111111111036</v>
      </c>
      <c r="S24" s="3">
        <f t="shared" si="7"/>
        <v>0.39224747474747479</v>
      </c>
      <c r="U24" s="1">
        <f t="shared" si="3"/>
        <v>11.443207070707073</v>
      </c>
      <c r="V24" s="3">
        <f t="shared" si="5"/>
        <v>0.39224747474747623</v>
      </c>
      <c r="W24" s="3">
        <f t="shared" si="6"/>
        <v>0.38889807162534512</v>
      </c>
    </row>
    <row r="25" spans="1:23" x14ac:dyDescent="0.25">
      <c r="A25" t="s">
        <v>16</v>
      </c>
      <c r="C25">
        <v>52.047344899999999</v>
      </c>
      <c r="D25">
        <v>-0.57233020000000001</v>
      </c>
      <c r="E25">
        <v>4</v>
      </c>
      <c r="F25">
        <v>4</v>
      </c>
      <c r="G25">
        <v>2022</v>
      </c>
      <c r="H25">
        <v>13</v>
      </c>
      <c r="I25">
        <v>55</v>
      </c>
      <c r="J25">
        <v>18.2</v>
      </c>
      <c r="K25">
        <v>44.12</v>
      </c>
      <c r="L25">
        <v>0</v>
      </c>
      <c r="M25">
        <v>41.17</v>
      </c>
      <c r="N25">
        <v>0.65200000000000002</v>
      </c>
      <c r="P25" s="1">
        <f t="shared" si="0"/>
        <v>11.436111111111112</v>
      </c>
      <c r="Q25" s="3">
        <f t="shared" si="1"/>
        <v>0.4805555555555685</v>
      </c>
      <c r="R25" s="3">
        <f t="shared" si="2"/>
        <v>0.29583333333333428</v>
      </c>
      <c r="S25" s="3">
        <f t="shared" si="7"/>
        <v>0.38196969696969707</v>
      </c>
      <c r="U25" s="1">
        <f t="shared" si="3"/>
        <v>11.477020202020203</v>
      </c>
      <c r="V25" s="3">
        <f t="shared" si="5"/>
        <v>0.38196969696969951</v>
      </c>
      <c r="W25" s="3">
        <f t="shared" si="6"/>
        <v>0.38105831037649263</v>
      </c>
    </row>
    <row r="26" spans="1:23" x14ac:dyDescent="0.25">
      <c r="A26" t="s">
        <v>16</v>
      </c>
      <c r="C26">
        <v>52.047354300000002</v>
      </c>
      <c r="D26">
        <v>-0.57233750000000005</v>
      </c>
      <c r="E26">
        <v>4</v>
      </c>
      <c r="F26">
        <v>4</v>
      </c>
      <c r="G26">
        <v>2022</v>
      </c>
      <c r="H26">
        <v>13</v>
      </c>
      <c r="I26">
        <v>55</v>
      </c>
      <c r="J26">
        <v>18.3</v>
      </c>
      <c r="K26">
        <v>44.14</v>
      </c>
      <c r="L26">
        <v>0</v>
      </c>
      <c r="M26">
        <v>41.356999999999999</v>
      </c>
      <c r="N26">
        <v>0.65500000000000003</v>
      </c>
      <c r="P26" s="1">
        <f t="shared" si="0"/>
        <v>11.488055555555556</v>
      </c>
      <c r="Q26" s="3">
        <f t="shared" si="1"/>
        <v>0.51944444444444571</v>
      </c>
      <c r="R26" s="3">
        <f t="shared" si="2"/>
        <v>0.38277777777777722</v>
      </c>
      <c r="S26" s="3">
        <f t="shared" si="7"/>
        <v>0.37095959595959599</v>
      </c>
      <c r="U26" s="1">
        <f t="shared" si="3"/>
        <v>11.512550505050505</v>
      </c>
      <c r="V26" s="3">
        <f t="shared" si="5"/>
        <v>0.37095959595959549</v>
      </c>
      <c r="W26" s="3">
        <f t="shared" si="6"/>
        <v>0.37409779614325117</v>
      </c>
    </row>
    <row r="27" spans="1:23" x14ac:dyDescent="0.25">
      <c r="A27" t="s">
        <v>16</v>
      </c>
      <c r="C27">
        <v>52.047363699999998</v>
      </c>
      <c r="D27">
        <v>-0.57234499999999999</v>
      </c>
      <c r="E27">
        <v>4</v>
      </c>
      <c r="F27">
        <v>4</v>
      </c>
      <c r="G27">
        <v>2022</v>
      </c>
      <c r="H27">
        <v>13</v>
      </c>
      <c r="I27">
        <v>55</v>
      </c>
      <c r="J27">
        <v>18.399999999999999</v>
      </c>
      <c r="K27">
        <v>44.19</v>
      </c>
      <c r="L27">
        <v>0</v>
      </c>
      <c r="M27">
        <v>41.36</v>
      </c>
      <c r="N27">
        <v>0.63700000000000001</v>
      </c>
      <c r="P27" s="1">
        <f t="shared" si="0"/>
        <v>11.488888888888889</v>
      </c>
      <c r="Q27" s="3">
        <f t="shared" si="1"/>
        <v>8.3333333333257542E-3</v>
      </c>
      <c r="R27" s="3">
        <f t="shared" si="2"/>
        <v>0.41805555555555607</v>
      </c>
      <c r="S27" s="3">
        <f t="shared" si="7"/>
        <v>0.36669191919191912</v>
      </c>
      <c r="U27" s="1">
        <f t="shared" si="3"/>
        <v>11.551363636363638</v>
      </c>
      <c r="V27" s="3">
        <f t="shared" si="5"/>
        <v>0.36669191919191846</v>
      </c>
      <c r="W27" s="3">
        <f t="shared" si="6"/>
        <v>0.36664600550964221</v>
      </c>
    </row>
    <row r="28" spans="1:23" x14ac:dyDescent="0.25">
      <c r="A28" t="s">
        <v>16</v>
      </c>
      <c r="C28">
        <v>52.047373299999997</v>
      </c>
      <c r="D28">
        <v>-0.57235230000000004</v>
      </c>
      <c r="E28">
        <v>4</v>
      </c>
      <c r="F28">
        <v>4</v>
      </c>
      <c r="G28">
        <v>2022</v>
      </c>
      <c r="H28">
        <v>13</v>
      </c>
      <c r="I28">
        <v>55</v>
      </c>
      <c r="J28">
        <v>18.5</v>
      </c>
      <c r="K28">
        <v>44.2</v>
      </c>
      <c r="L28">
        <v>0</v>
      </c>
      <c r="M28">
        <v>41.683999999999997</v>
      </c>
      <c r="N28">
        <v>0.60499999999999998</v>
      </c>
      <c r="P28" s="1">
        <f t="shared" si="0"/>
        <v>11.578888888888889</v>
      </c>
      <c r="Q28" s="3">
        <f t="shared" si="1"/>
        <v>0.89999999999999858</v>
      </c>
      <c r="R28" s="3">
        <f t="shared" si="2"/>
        <v>0.40194444444444422</v>
      </c>
      <c r="S28" s="3">
        <f t="shared" si="7"/>
        <v>0.35934343434343413</v>
      </c>
      <c r="U28" s="1">
        <f t="shared" si="3"/>
        <v>11.593459595959596</v>
      </c>
      <c r="V28" s="3">
        <f t="shared" si="5"/>
        <v>0.35934343434343674</v>
      </c>
      <c r="W28" s="3">
        <f t="shared" si="6"/>
        <v>0.35739898989898999</v>
      </c>
    </row>
    <row r="29" spans="1:23" x14ac:dyDescent="0.25">
      <c r="A29" t="s">
        <v>16</v>
      </c>
      <c r="C29">
        <v>52.047382800000001</v>
      </c>
      <c r="D29">
        <v>-0.57235959999999997</v>
      </c>
      <c r="E29">
        <v>4</v>
      </c>
      <c r="F29">
        <v>4</v>
      </c>
      <c r="G29">
        <v>2022</v>
      </c>
      <c r="H29">
        <v>13</v>
      </c>
      <c r="I29">
        <v>55</v>
      </c>
      <c r="J29">
        <v>18.600000000000001</v>
      </c>
      <c r="K29">
        <v>44.21</v>
      </c>
      <c r="L29">
        <v>0</v>
      </c>
      <c r="M29">
        <v>41.860999999999997</v>
      </c>
      <c r="N29">
        <v>0.61199999999999999</v>
      </c>
      <c r="P29" s="1">
        <f t="shared" si="0"/>
        <v>11.628055555555555</v>
      </c>
      <c r="Q29" s="3">
        <f t="shared" si="1"/>
        <v>0.49166666666666359</v>
      </c>
      <c r="R29" s="3">
        <f t="shared" si="2"/>
        <v>0.46694444444444549</v>
      </c>
      <c r="S29" s="3">
        <f t="shared" si="7"/>
        <v>0.34797979797979794</v>
      </c>
      <c r="U29" s="1">
        <f t="shared" si="3"/>
        <v>11.630631313131316</v>
      </c>
      <c r="V29" s="3">
        <f t="shared" si="5"/>
        <v>0.34797979797979472</v>
      </c>
      <c r="W29" s="3">
        <f t="shared" si="6"/>
        <v>0.34716023875114793</v>
      </c>
    </row>
    <row r="30" spans="1:23" x14ac:dyDescent="0.25">
      <c r="A30" t="s">
        <v>16</v>
      </c>
      <c r="C30">
        <v>52.047392299999998</v>
      </c>
      <c r="D30">
        <v>-0.57236710000000002</v>
      </c>
      <c r="E30">
        <v>4</v>
      </c>
      <c r="F30">
        <v>4</v>
      </c>
      <c r="G30">
        <v>2022</v>
      </c>
      <c r="H30">
        <v>13</v>
      </c>
      <c r="I30">
        <v>55</v>
      </c>
      <c r="J30">
        <v>18.7</v>
      </c>
      <c r="K30">
        <v>44.23</v>
      </c>
      <c r="L30">
        <v>0</v>
      </c>
      <c r="M30">
        <v>41.99</v>
      </c>
      <c r="N30">
        <v>0.61899999999999999</v>
      </c>
      <c r="P30" s="1">
        <f t="shared" si="0"/>
        <v>11.66388888888889</v>
      </c>
      <c r="Q30" s="3">
        <f t="shared" si="1"/>
        <v>0.35833333333334494</v>
      </c>
      <c r="R30" s="3">
        <f t="shared" si="2"/>
        <v>0.34999999999999964</v>
      </c>
      <c r="S30" s="3">
        <f t="shared" si="7"/>
        <v>0.34270202020202023</v>
      </c>
      <c r="U30" s="1">
        <f t="shared" si="3"/>
        <v>11.666818181818185</v>
      </c>
      <c r="V30" s="3">
        <f t="shared" si="5"/>
        <v>0.34270202020202056</v>
      </c>
      <c r="W30" s="3">
        <f t="shared" si="6"/>
        <v>0.33644398530762115</v>
      </c>
    </row>
    <row r="31" spans="1:23" x14ac:dyDescent="0.25">
      <c r="A31" t="s">
        <v>16</v>
      </c>
      <c r="C31">
        <v>52.047401899999997</v>
      </c>
      <c r="D31">
        <v>-0.57237439999999995</v>
      </c>
      <c r="E31">
        <v>4</v>
      </c>
      <c r="F31">
        <v>4</v>
      </c>
      <c r="G31">
        <v>2022</v>
      </c>
      <c r="H31">
        <v>13</v>
      </c>
      <c r="I31">
        <v>55</v>
      </c>
      <c r="J31">
        <v>18.8</v>
      </c>
      <c r="K31">
        <v>44.22</v>
      </c>
      <c r="L31">
        <v>0</v>
      </c>
      <c r="M31">
        <v>42.332000000000001</v>
      </c>
      <c r="N31">
        <v>0.61899999999999999</v>
      </c>
      <c r="P31" s="1">
        <f t="shared" si="0"/>
        <v>11.758888888888889</v>
      </c>
      <c r="Q31" s="3">
        <f t="shared" si="1"/>
        <v>0.94999999999998863</v>
      </c>
      <c r="R31" s="3">
        <f t="shared" si="2"/>
        <v>0.29305555555555429</v>
      </c>
      <c r="S31" s="3">
        <f t="shared" si="7"/>
        <v>0.34146464646464642</v>
      </c>
      <c r="U31" s="1">
        <f t="shared" si="3"/>
        <v>11.698181818181819</v>
      </c>
      <c r="V31" s="3">
        <f t="shared" si="5"/>
        <v>0.34146464646464736</v>
      </c>
      <c r="W31" s="3">
        <f t="shared" si="6"/>
        <v>0.325330578512396</v>
      </c>
    </row>
    <row r="32" spans="1:23" x14ac:dyDescent="0.25">
      <c r="A32" t="s">
        <v>16</v>
      </c>
      <c r="C32">
        <v>52.047411599999997</v>
      </c>
      <c r="D32">
        <v>-0.57238160000000005</v>
      </c>
      <c r="E32">
        <v>4</v>
      </c>
      <c r="F32">
        <v>4</v>
      </c>
      <c r="G32">
        <v>2022</v>
      </c>
      <c r="H32">
        <v>13</v>
      </c>
      <c r="I32">
        <v>55</v>
      </c>
      <c r="J32">
        <v>18.899999999999999</v>
      </c>
      <c r="K32">
        <v>44.24</v>
      </c>
      <c r="L32">
        <v>0</v>
      </c>
      <c r="M32">
        <v>42.491</v>
      </c>
      <c r="N32">
        <v>0.61199999999999999</v>
      </c>
      <c r="P32" s="1">
        <f t="shared" si="0"/>
        <v>11.803055555555556</v>
      </c>
      <c r="Q32" s="3">
        <f t="shared" si="1"/>
        <v>0.44166666666667354</v>
      </c>
      <c r="R32" s="3">
        <f t="shared" si="2"/>
        <v>0.35999999999999943</v>
      </c>
      <c r="S32" s="3">
        <f t="shared" si="7"/>
        <v>0.32775252525252524</v>
      </c>
      <c r="U32" s="1">
        <f t="shared" si="3"/>
        <v>11.73098484848485</v>
      </c>
      <c r="V32" s="3">
        <f t="shared" si="5"/>
        <v>0.32775252525252441</v>
      </c>
      <c r="W32" s="3">
        <f t="shared" si="6"/>
        <v>0.31369834710743744</v>
      </c>
    </row>
    <row r="33" spans="1:23" x14ac:dyDescent="0.25">
      <c r="A33" t="s">
        <v>16</v>
      </c>
      <c r="C33">
        <v>52.047421100000001</v>
      </c>
      <c r="D33">
        <v>-0.57238900000000004</v>
      </c>
      <c r="E33">
        <v>4</v>
      </c>
      <c r="F33">
        <v>4</v>
      </c>
      <c r="G33">
        <v>2022</v>
      </c>
      <c r="H33">
        <v>13</v>
      </c>
      <c r="I33">
        <v>55</v>
      </c>
      <c r="J33">
        <v>19</v>
      </c>
      <c r="K33">
        <v>44.21</v>
      </c>
      <c r="L33">
        <v>0</v>
      </c>
      <c r="M33">
        <v>42.652999999999999</v>
      </c>
      <c r="N33">
        <v>0.61199999999999999</v>
      </c>
      <c r="P33" s="1">
        <f t="shared" si="0"/>
        <v>11.848055555555556</v>
      </c>
      <c r="Q33" s="3">
        <f t="shared" si="1"/>
        <v>0.44999999999999929</v>
      </c>
      <c r="R33" s="3">
        <f t="shared" si="2"/>
        <v>0.28805555555555529</v>
      </c>
      <c r="S33" s="3">
        <f t="shared" si="7"/>
        <v>0.30118686868686856</v>
      </c>
      <c r="U33" s="1">
        <f t="shared" si="3"/>
        <v>11.765353535353539</v>
      </c>
      <c r="V33" s="3">
        <f t="shared" si="5"/>
        <v>0.30118686868686773</v>
      </c>
      <c r="W33" s="3">
        <f t="shared" si="6"/>
        <v>0.3002640036730938</v>
      </c>
    </row>
    <row r="34" spans="1:23" x14ac:dyDescent="0.25">
      <c r="A34" t="s">
        <v>16</v>
      </c>
      <c r="C34">
        <v>52.047430900000002</v>
      </c>
      <c r="D34">
        <v>-0.57239629999999997</v>
      </c>
      <c r="E34">
        <v>4</v>
      </c>
      <c r="F34">
        <v>4</v>
      </c>
      <c r="G34">
        <v>2022</v>
      </c>
      <c r="H34">
        <v>13</v>
      </c>
      <c r="I34">
        <v>55</v>
      </c>
      <c r="J34">
        <v>19.100000000000001</v>
      </c>
      <c r="K34">
        <v>44.23</v>
      </c>
      <c r="L34">
        <v>0</v>
      </c>
      <c r="M34">
        <v>42.677999999999997</v>
      </c>
      <c r="N34">
        <v>0.59799999999999998</v>
      </c>
      <c r="P34" s="1">
        <f t="shared" si="0"/>
        <v>11.855</v>
      </c>
      <c r="Q34" s="3">
        <f t="shared" si="1"/>
        <v>6.9444444444446418E-2</v>
      </c>
      <c r="R34" s="3">
        <f t="shared" si="2"/>
        <v>0.23500000000000121</v>
      </c>
      <c r="S34" s="3">
        <f t="shared" si="7"/>
        <v>0.28646464646464637</v>
      </c>
      <c r="U34" s="1">
        <f t="shared" si="3"/>
        <v>11.791186868686868</v>
      </c>
      <c r="V34" s="3">
        <f t="shared" si="5"/>
        <v>0.28646464646464587</v>
      </c>
      <c r="W34" s="3">
        <f t="shared" si="6"/>
        <v>0.28587695133149604</v>
      </c>
    </row>
    <row r="35" spans="1:23" x14ac:dyDescent="0.25">
      <c r="A35" t="s">
        <v>16</v>
      </c>
      <c r="C35">
        <v>52.047440399999999</v>
      </c>
      <c r="D35">
        <v>-0.57240389999999997</v>
      </c>
      <c r="E35">
        <v>4</v>
      </c>
      <c r="F35">
        <v>4</v>
      </c>
      <c r="G35">
        <v>2022</v>
      </c>
      <c r="H35">
        <v>13</v>
      </c>
      <c r="I35">
        <v>55</v>
      </c>
      <c r="J35">
        <v>19.2</v>
      </c>
      <c r="K35">
        <v>44.25</v>
      </c>
      <c r="L35">
        <v>0</v>
      </c>
      <c r="M35">
        <v>42.43</v>
      </c>
      <c r="N35">
        <v>0.60099999999999998</v>
      </c>
      <c r="P35" s="1">
        <f t="shared" si="0"/>
        <v>11.786111111111111</v>
      </c>
      <c r="Q35" s="3">
        <f t="shared" si="1"/>
        <v>-0.68888888888888999</v>
      </c>
      <c r="R35" s="3">
        <f t="shared" si="2"/>
        <v>0.2780555555555555</v>
      </c>
      <c r="S35" s="3">
        <f t="shared" si="7"/>
        <v>0.27436868686868654</v>
      </c>
      <c r="U35" s="1">
        <f t="shared" si="3"/>
        <v>11.819722222222223</v>
      </c>
      <c r="V35" s="3">
        <f t="shared" si="5"/>
        <v>0.27436868686868188</v>
      </c>
      <c r="W35" s="3">
        <f t="shared" si="6"/>
        <v>0.27216712580348895</v>
      </c>
    </row>
    <row r="36" spans="1:23" x14ac:dyDescent="0.25">
      <c r="A36" t="s">
        <v>16</v>
      </c>
      <c r="C36">
        <v>52.0474502</v>
      </c>
      <c r="D36">
        <v>-0.57241129999999996</v>
      </c>
      <c r="E36">
        <v>4</v>
      </c>
      <c r="F36">
        <v>4</v>
      </c>
      <c r="G36">
        <v>2022</v>
      </c>
      <c r="H36">
        <v>13</v>
      </c>
      <c r="I36">
        <v>55</v>
      </c>
      <c r="J36">
        <v>19.3</v>
      </c>
      <c r="K36">
        <v>44.29</v>
      </c>
      <c r="L36">
        <v>0</v>
      </c>
      <c r="M36">
        <v>42.411999999999999</v>
      </c>
      <c r="N36">
        <v>0.60799999999999998</v>
      </c>
      <c r="P36" s="1">
        <f t="shared" si="0"/>
        <v>11.781111111111111</v>
      </c>
      <c r="Q36" s="3">
        <f t="shared" si="1"/>
        <v>-5.0000000000007816E-2</v>
      </c>
      <c r="R36" s="3">
        <f t="shared" si="2"/>
        <v>0.28222222222222193</v>
      </c>
      <c r="S36" s="3">
        <f t="shared" si="7"/>
        <v>0.25972222222222202</v>
      </c>
      <c r="U36" s="1">
        <f t="shared" si="3"/>
        <v>11.854015151515153</v>
      </c>
      <c r="V36" s="3">
        <f t="shared" si="5"/>
        <v>0.25972222222222285</v>
      </c>
      <c r="W36" s="3">
        <f t="shared" si="6"/>
        <v>0.25657254361799742</v>
      </c>
    </row>
    <row r="37" spans="1:23" x14ac:dyDescent="0.25">
      <c r="A37" t="s">
        <v>16</v>
      </c>
      <c r="C37">
        <v>52.0474599</v>
      </c>
      <c r="D37">
        <v>-0.57241889999999995</v>
      </c>
      <c r="E37">
        <v>4</v>
      </c>
      <c r="F37">
        <v>4</v>
      </c>
      <c r="G37">
        <v>2022</v>
      </c>
      <c r="H37">
        <v>13</v>
      </c>
      <c r="I37">
        <v>55</v>
      </c>
      <c r="J37">
        <v>19.399999999999999</v>
      </c>
      <c r="K37">
        <v>44.33</v>
      </c>
      <c r="L37">
        <v>0</v>
      </c>
      <c r="M37">
        <v>42.655999999999999</v>
      </c>
      <c r="N37">
        <v>0.61199999999999999</v>
      </c>
      <c r="P37" s="1">
        <f t="shared" si="0"/>
        <v>11.848888888888888</v>
      </c>
      <c r="Q37" s="3">
        <f t="shared" si="1"/>
        <v>0.67777777777777715</v>
      </c>
      <c r="R37" s="3">
        <f t="shared" si="2"/>
        <v>0.23194444444444429</v>
      </c>
      <c r="S37" s="3">
        <f t="shared" si="7"/>
        <v>0.24300505050505047</v>
      </c>
      <c r="U37" s="1">
        <f t="shared" si="3"/>
        <v>11.879116161616162</v>
      </c>
      <c r="V37" s="3">
        <f t="shared" si="5"/>
        <v>0.24300505050505095</v>
      </c>
      <c r="W37" s="3">
        <f t="shared" si="6"/>
        <v>0.23806473829201008</v>
      </c>
    </row>
    <row r="38" spans="1:23" x14ac:dyDescent="0.25">
      <c r="A38" t="s">
        <v>16</v>
      </c>
      <c r="C38">
        <v>52.047469900000003</v>
      </c>
      <c r="D38">
        <v>-0.57242610000000005</v>
      </c>
      <c r="E38">
        <v>4</v>
      </c>
      <c r="F38">
        <v>4</v>
      </c>
      <c r="G38">
        <v>2022</v>
      </c>
      <c r="H38">
        <v>13</v>
      </c>
      <c r="I38">
        <v>55</v>
      </c>
      <c r="J38">
        <v>19.5</v>
      </c>
      <c r="K38">
        <v>44.37</v>
      </c>
      <c r="L38">
        <v>0</v>
      </c>
      <c r="M38">
        <v>42.720999999999997</v>
      </c>
      <c r="N38">
        <v>0.623</v>
      </c>
      <c r="P38" s="1">
        <f t="shared" si="0"/>
        <v>11.866944444444444</v>
      </c>
      <c r="Q38" s="3">
        <f t="shared" si="1"/>
        <v>0.18055555555555713</v>
      </c>
      <c r="R38" s="3">
        <f t="shared" si="2"/>
        <v>0.12583333333333258</v>
      </c>
      <c r="S38" s="3">
        <f t="shared" si="7"/>
        <v>0.21891414141414148</v>
      </c>
      <c r="U38" s="1">
        <f t="shared" si="3"/>
        <v>11.894646464646463</v>
      </c>
      <c r="V38" s="3">
        <f t="shared" si="5"/>
        <v>0.2189141414141389</v>
      </c>
      <c r="W38" s="3">
        <f t="shared" si="6"/>
        <v>0.21951561065197353</v>
      </c>
    </row>
    <row r="39" spans="1:23" x14ac:dyDescent="0.25">
      <c r="A39" t="s">
        <v>16</v>
      </c>
      <c r="C39">
        <v>52.047479699999997</v>
      </c>
      <c r="D39">
        <v>-0.57243319999999998</v>
      </c>
      <c r="E39">
        <v>4</v>
      </c>
      <c r="F39">
        <v>4</v>
      </c>
      <c r="G39">
        <v>2022</v>
      </c>
      <c r="H39">
        <v>13</v>
      </c>
      <c r="I39">
        <v>55</v>
      </c>
      <c r="J39">
        <v>19.600000000000001</v>
      </c>
      <c r="K39">
        <v>44.37</v>
      </c>
      <c r="L39">
        <v>0</v>
      </c>
      <c r="M39">
        <v>42.707000000000001</v>
      </c>
      <c r="N39">
        <v>0.63400000000000001</v>
      </c>
      <c r="P39" s="1">
        <f t="shared" si="0"/>
        <v>11.863055555555556</v>
      </c>
      <c r="Q39" s="3">
        <f t="shared" si="1"/>
        <v>-3.8888888888877204E-2</v>
      </c>
      <c r="R39" s="3">
        <f t="shared" si="2"/>
        <v>0.24000000000000021</v>
      </c>
      <c r="S39" s="3">
        <f t="shared" si="7"/>
        <v>0.20108585858585862</v>
      </c>
      <c r="U39" s="1">
        <f t="shared" si="3"/>
        <v>11.917095959595962</v>
      </c>
      <c r="V39" s="3">
        <f t="shared" si="5"/>
        <v>0.20108585858586103</v>
      </c>
      <c r="W39" s="3">
        <f t="shared" si="6"/>
        <v>0.20134067952249685</v>
      </c>
    </row>
    <row r="40" spans="1:23" x14ac:dyDescent="0.25">
      <c r="A40" t="s">
        <v>16</v>
      </c>
      <c r="C40">
        <v>52.047489599999999</v>
      </c>
      <c r="D40">
        <v>-0.57244010000000001</v>
      </c>
      <c r="E40">
        <v>4</v>
      </c>
      <c r="F40">
        <v>4</v>
      </c>
      <c r="G40">
        <v>2022</v>
      </c>
      <c r="H40">
        <v>13</v>
      </c>
      <c r="I40">
        <v>55</v>
      </c>
      <c r="J40">
        <v>19.7</v>
      </c>
      <c r="K40">
        <v>44.35</v>
      </c>
      <c r="L40">
        <v>0</v>
      </c>
      <c r="M40">
        <v>42.991</v>
      </c>
      <c r="N40">
        <v>0.63700000000000001</v>
      </c>
      <c r="P40" s="1">
        <f t="shared" si="0"/>
        <v>11.941944444444445</v>
      </c>
      <c r="Q40" s="3">
        <f t="shared" si="1"/>
        <v>0.78888888888888786</v>
      </c>
      <c r="R40" s="3">
        <f t="shared" si="2"/>
        <v>0.33388888888888779</v>
      </c>
      <c r="S40" s="3">
        <f t="shared" si="7"/>
        <v>0.197171717171717</v>
      </c>
      <c r="U40" s="1">
        <f t="shared" si="3"/>
        <v>11.941186868686867</v>
      </c>
      <c r="V40" s="3">
        <f t="shared" si="5"/>
        <v>0.19717171717171667</v>
      </c>
      <c r="W40" s="3">
        <f t="shared" si="6"/>
        <v>0.18171946740128514</v>
      </c>
    </row>
    <row r="41" spans="1:23" x14ac:dyDescent="0.25">
      <c r="A41" t="s">
        <v>16</v>
      </c>
      <c r="C41">
        <v>52.047499500000001</v>
      </c>
      <c r="D41">
        <v>-0.57244700000000004</v>
      </c>
      <c r="E41">
        <v>4</v>
      </c>
      <c r="F41">
        <v>4</v>
      </c>
      <c r="G41">
        <v>2022</v>
      </c>
      <c r="H41">
        <v>13</v>
      </c>
      <c r="I41">
        <v>55</v>
      </c>
      <c r="J41">
        <v>19.8</v>
      </c>
      <c r="K41">
        <v>44.31</v>
      </c>
      <c r="L41">
        <v>0</v>
      </c>
      <c r="M41">
        <v>43.347999999999999</v>
      </c>
      <c r="N41">
        <v>0.63400000000000001</v>
      </c>
      <c r="P41" s="1">
        <f t="shared" si="0"/>
        <v>12.04111111111111</v>
      </c>
      <c r="Q41" s="3">
        <f t="shared" si="1"/>
        <v>0.99166666666665293</v>
      </c>
      <c r="R41" s="3">
        <f t="shared" si="2"/>
        <v>0.18888888888888999</v>
      </c>
      <c r="S41" s="3">
        <f t="shared" si="7"/>
        <v>0.1711616161616161</v>
      </c>
      <c r="U41" s="1">
        <f t="shared" si="3"/>
        <v>11.957904040404042</v>
      </c>
      <c r="V41" s="3">
        <f t="shared" si="5"/>
        <v>0.17116161616161385</v>
      </c>
      <c r="W41" s="3">
        <f t="shared" si="6"/>
        <v>0.16186868686868683</v>
      </c>
    </row>
    <row r="42" spans="1:23" x14ac:dyDescent="0.25">
      <c r="A42" t="s">
        <v>16</v>
      </c>
      <c r="C42">
        <v>52.0475092</v>
      </c>
      <c r="D42">
        <v>-0.57245380000000001</v>
      </c>
      <c r="E42">
        <v>4</v>
      </c>
      <c r="F42">
        <v>4</v>
      </c>
      <c r="G42">
        <v>2022</v>
      </c>
      <c r="H42">
        <v>13</v>
      </c>
      <c r="I42">
        <v>55</v>
      </c>
      <c r="J42">
        <v>19.899999999999999</v>
      </c>
      <c r="K42">
        <v>44.26</v>
      </c>
      <c r="L42">
        <v>0</v>
      </c>
      <c r="M42">
        <v>43.326000000000001</v>
      </c>
      <c r="N42">
        <v>0.63</v>
      </c>
      <c r="P42" s="1">
        <f t="shared" si="0"/>
        <v>12.035</v>
      </c>
      <c r="Q42" s="3">
        <f t="shared" si="1"/>
        <v>-6.11111111111029E-2</v>
      </c>
      <c r="R42" s="3">
        <f t="shared" si="2"/>
        <v>0.10916666666666686</v>
      </c>
      <c r="S42" s="3">
        <f t="shared" si="7"/>
        <v>0.1378787878787878</v>
      </c>
      <c r="U42" s="1">
        <f t="shared" si="3"/>
        <v>11.973989898989901</v>
      </c>
      <c r="V42" s="3">
        <f t="shared" si="5"/>
        <v>0.13787878787878682</v>
      </c>
      <c r="W42" s="3">
        <f t="shared" si="6"/>
        <v>0.14389577594123021</v>
      </c>
    </row>
    <row r="43" spans="1:23" x14ac:dyDescent="0.25">
      <c r="A43" t="s">
        <v>16</v>
      </c>
      <c r="C43">
        <v>52.047519000000001</v>
      </c>
      <c r="D43">
        <v>-0.57246019999999997</v>
      </c>
      <c r="E43">
        <v>4</v>
      </c>
      <c r="F43">
        <v>4</v>
      </c>
      <c r="G43">
        <v>2022</v>
      </c>
      <c r="H43">
        <v>13</v>
      </c>
      <c r="I43">
        <v>55</v>
      </c>
      <c r="J43">
        <v>20</v>
      </c>
      <c r="K43">
        <v>44.21</v>
      </c>
      <c r="L43">
        <v>0</v>
      </c>
      <c r="M43">
        <v>43.106000000000002</v>
      </c>
      <c r="N43">
        <v>0.63</v>
      </c>
      <c r="P43" s="1">
        <f t="shared" si="0"/>
        <v>11.973888888888888</v>
      </c>
      <c r="Q43" s="3">
        <f t="shared" si="1"/>
        <v>-0.61111111111111782</v>
      </c>
      <c r="R43" s="3">
        <f t="shared" si="2"/>
        <v>9.5000000000000639E-2</v>
      </c>
      <c r="S43" s="3">
        <f t="shared" si="7"/>
        <v>0.12371212121212126</v>
      </c>
      <c r="U43" s="1">
        <f t="shared" si="3"/>
        <v>11.984267676767677</v>
      </c>
      <c r="V43" s="3">
        <f t="shared" si="5"/>
        <v>0.12371212121212238</v>
      </c>
      <c r="W43" s="3">
        <f t="shared" si="6"/>
        <v>0.12756657483930198</v>
      </c>
    </row>
    <row r="44" spans="1:23" x14ac:dyDescent="0.25">
      <c r="A44" t="s">
        <v>16</v>
      </c>
      <c r="C44">
        <v>52.047528900000003</v>
      </c>
      <c r="D44">
        <v>-0.5724667</v>
      </c>
      <c r="E44">
        <v>4</v>
      </c>
      <c r="F44">
        <v>4</v>
      </c>
      <c r="G44">
        <v>2022</v>
      </c>
      <c r="H44">
        <v>13</v>
      </c>
      <c r="I44">
        <v>55</v>
      </c>
      <c r="J44">
        <v>20.100000000000001</v>
      </c>
      <c r="K44">
        <v>44.15</v>
      </c>
      <c r="L44">
        <v>0</v>
      </c>
      <c r="M44">
        <v>43.542000000000002</v>
      </c>
      <c r="N44">
        <v>0.64100000000000001</v>
      </c>
      <c r="P44" s="1">
        <f t="shared" si="0"/>
        <v>12.095000000000001</v>
      </c>
      <c r="Q44" s="3">
        <f t="shared" si="1"/>
        <v>1.2111111111111228</v>
      </c>
      <c r="R44" s="3">
        <f t="shared" si="2"/>
        <v>9.1944444444443718E-2</v>
      </c>
      <c r="S44" s="3">
        <f t="shared" si="7"/>
        <v>0.10126262626262626</v>
      </c>
      <c r="U44" s="1">
        <f t="shared" si="3"/>
        <v>11.992272727272729</v>
      </c>
      <c r="V44" s="3">
        <f t="shared" si="5"/>
        <v>0.10126262626262417</v>
      </c>
      <c r="W44" s="3">
        <f t="shared" si="6"/>
        <v>0.11446051423324134</v>
      </c>
    </row>
    <row r="45" spans="1:23" x14ac:dyDescent="0.25">
      <c r="A45" t="s">
        <v>16</v>
      </c>
      <c r="C45">
        <v>52.047538899999999</v>
      </c>
      <c r="D45">
        <v>-0.57247320000000002</v>
      </c>
      <c r="E45">
        <v>4</v>
      </c>
      <c r="F45">
        <v>4</v>
      </c>
      <c r="G45">
        <v>2022</v>
      </c>
      <c r="H45">
        <v>13</v>
      </c>
      <c r="I45">
        <v>55</v>
      </c>
      <c r="J45">
        <v>20.2</v>
      </c>
      <c r="K45">
        <v>44.11</v>
      </c>
      <c r="L45">
        <v>0</v>
      </c>
      <c r="M45">
        <v>43.631999999999998</v>
      </c>
      <c r="N45">
        <v>0.64100000000000001</v>
      </c>
      <c r="P45" s="1">
        <f t="shared" si="0"/>
        <v>12.12</v>
      </c>
      <c r="Q45" s="3">
        <f t="shared" si="1"/>
        <v>0.24999999999998579</v>
      </c>
      <c r="R45" s="3">
        <f t="shared" si="2"/>
        <v>0.19194444444444336</v>
      </c>
      <c r="S45" s="3">
        <f t="shared" si="7"/>
        <v>7.0631313131313114E-2</v>
      </c>
      <c r="U45" s="1">
        <f t="shared" si="3"/>
        <v>12.01689393939394</v>
      </c>
      <c r="V45" s="3">
        <f t="shared" si="5"/>
        <v>7.0631313131316986E-2</v>
      </c>
      <c r="W45" s="3">
        <f t="shared" si="6"/>
        <v>0.10281910009182677</v>
      </c>
    </row>
    <row r="46" spans="1:23" x14ac:dyDescent="0.25">
      <c r="A46" t="s">
        <v>16</v>
      </c>
      <c r="C46">
        <v>52.047548800000001</v>
      </c>
      <c r="D46">
        <v>-0.57247970000000004</v>
      </c>
      <c r="E46">
        <v>4</v>
      </c>
      <c r="F46">
        <v>4</v>
      </c>
      <c r="G46">
        <v>2022</v>
      </c>
      <c r="H46">
        <v>13</v>
      </c>
      <c r="I46">
        <v>55</v>
      </c>
      <c r="J46">
        <v>20.3</v>
      </c>
      <c r="K46">
        <v>44.11</v>
      </c>
      <c r="L46">
        <v>0</v>
      </c>
      <c r="M46">
        <v>43.091999999999999</v>
      </c>
      <c r="N46">
        <v>0.64400000000000002</v>
      </c>
      <c r="P46" s="1">
        <f t="shared" si="0"/>
        <v>11.97</v>
      </c>
      <c r="Q46" s="3">
        <f t="shared" si="1"/>
        <v>-1.4999999999999858</v>
      </c>
      <c r="R46" s="3">
        <f t="shared" si="2"/>
        <v>-8.0555555555541503E-3</v>
      </c>
      <c r="S46" s="3">
        <f t="shared" si="7"/>
        <v>5.6010101010101045E-2</v>
      </c>
      <c r="U46" s="1">
        <f t="shared" si="3"/>
        <v>12.025176767676767</v>
      </c>
      <c r="V46" s="3">
        <f t="shared" si="5"/>
        <v>5.6010101010100399E-2</v>
      </c>
      <c r="W46" s="3">
        <f t="shared" si="6"/>
        <v>9.0840220385674353E-2</v>
      </c>
    </row>
    <row r="47" spans="1:23" x14ac:dyDescent="0.25">
      <c r="A47" t="s">
        <v>16</v>
      </c>
      <c r="C47">
        <v>52.047558799999997</v>
      </c>
      <c r="D47">
        <v>-0.57248639999999995</v>
      </c>
      <c r="E47">
        <v>4</v>
      </c>
      <c r="F47">
        <v>4</v>
      </c>
      <c r="G47">
        <v>2022</v>
      </c>
      <c r="H47">
        <v>13</v>
      </c>
      <c r="I47">
        <v>55</v>
      </c>
      <c r="J47">
        <v>20.399999999999999</v>
      </c>
      <c r="K47">
        <v>44.13</v>
      </c>
      <c r="L47">
        <v>0</v>
      </c>
      <c r="M47">
        <v>43.048999999999999</v>
      </c>
      <c r="N47">
        <v>0.64800000000000002</v>
      </c>
      <c r="P47" s="1">
        <f t="shared" si="0"/>
        <v>11.958055555555555</v>
      </c>
      <c r="Q47" s="3">
        <f t="shared" si="1"/>
        <v>-0.11944444444445423</v>
      </c>
      <c r="R47" s="3">
        <f t="shared" si="2"/>
        <v>-8.3888888888889568E-2</v>
      </c>
      <c r="S47" s="3">
        <f t="shared" si="7"/>
        <v>6.2020202020202024E-2</v>
      </c>
      <c r="U47" s="1">
        <f t="shared" si="3"/>
        <v>12.016994949494949</v>
      </c>
      <c r="V47" s="3">
        <f t="shared" si="5"/>
        <v>6.2020202020200088E-2</v>
      </c>
      <c r="W47" s="3">
        <f t="shared" si="6"/>
        <v>8.2656106519742589E-2</v>
      </c>
    </row>
    <row r="48" spans="1:23" x14ac:dyDescent="0.25">
      <c r="A48" t="s">
        <v>16</v>
      </c>
      <c r="C48">
        <v>52.047569000000003</v>
      </c>
      <c r="D48">
        <v>-0.57249280000000002</v>
      </c>
      <c r="E48">
        <v>4</v>
      </c>
      <c r="F48">
        <v>4</v>
      </c>
      <c r="G48">
        <v>2022</v>
      </c>
      <c r="H48">
        <v>13</v>
      </c>
      <c r="I48">
        <v>55</v>
      </c>
      <c r="J48">
        <v>20.5</v>
      </c>
      <c r="K48">
        <v>44.15</v>
      </c>
      <c r="L48">
        <v>0</v>
      </c>
      <c r="M48">
        <v>43.063000000000002</v>
      </c>
      <c r="N48">
        <v>0.66200000000000003</v>
      </c>
      <c r="P48" s="1">
        <f t="shared" si="0"/>
        <v>11.961944444444445</v>
      </c>
      <c r="Q48" s="3">
        <f t="shared" si="1"/>
        <v>3.8888888888894968E-2</v>
      </c>
      <c r="R48" s="3">
        <f t="shared" si="2"/>
        <v>7.6111111111112351E-2</v>
      </c>
      <c r="S48" s="3">
        <f t="shared" si="7"/>
        <v>6.3383838383838279E-2</v>
      </c>
      <c r="U48" s="1">
        <f t="shared" si="3"/>
        <v>12.018358585858586</v>
      </c>
      <c r="V48" s="3">
        <f t="shared" si="5"/>
        <v>6.3383838383840541E-2</v>
      </c>
      <c r="W48" s="3">
        <f t="shared" si="6"/>
        <v>7.8537649219467293E-2</v>
      </c>
    </row>
    <row r="49" spans="1:23" x14ac:dyDescent="0.25">
      <c r="A49" t="s">
        <v>16</v>
      </c>
      <c r="C49">
        <v>52.047579300000002</v>
      </c>
      <c r="D49">
        <v>-0.57249870000000003</v>
      </c>
      <c r="E49">
        <v>4</v>
      </c>
      <c r="F49">
        <v>4</v>
      </c>
      <c r="G49">
        <v>2022</v>
      </c>
      <c r="H49">
        <v>13</v>
      </c>
      <c r="I49">
        <v>55</v>
      </c>
      <c r="J49">
        <v>20.6</v>
      </c>
      <c r="K49">
        <v>44.19</v>
      </c>
      <c r="L49">
        <v>0</v>
      </c>
      <c r="M49">
        <v>43.037999999999997</v>
      </c>
      <c r="N49">
        <v>0.66600000000000004</v>
      </c>
      <c r="P49" s="1">
        <f t="shared" si="0"/>
        <v>11.955</v>
      </c>
      <c r="Q49" s="3">
        <f t="shared" si="1"/>
        <v>-6.9444444444446418E-2</v>
      </c>
      <c r="R49" s="3">
        <f t="shared" si="2"/>
        <v>-0.12111111111111228</v>
      </c>
      <c r="S49" s="3">
        <f t="shared" si="7"/>
        <v>7.4747474747474646E-2</v>
      </c>
      <c r="U49" s="1">
        <f t="shared" si="3"/>
        <v>12.018358585858586</v>
      </c>
      <c r="V49" s="3">
        <f t="shared" si="5"/>
        <v>7.4747474747471898E-2</v>
      </c>
      <c r="W49" s="3">
        <f t="shared" si="6"/>
        <v>7.5557851239669169E-2</v>
      </c>
    </row>
    <row r="50" spans="1:23" x14ac:dyDescent="0.25">
      <c r="A50" t="s">
        <v>16</v>
      </c>
      <c r="C50">
        <v>52.047589799999997</v>
      </c>
      <c r="D50">
        <v>-0.57250489999999998</v>
      </c>
      <c r="E50">
        <v>4</v>
      </c>
      <c r="F50">
        <v>4</v>
      </c>
      <c r="G50">
        <v>2022</v>
      </c>
      <c r="H50">
        <v>13</v>
      </c>
      <c r="I50">
        <v>55</v>
      </c>
      <c r="J50">
        <v>20.7</v>
      </c>
      <c r="K50">
        <v>44.21</v>
      </c>
      <c r="L50">
        <v>0</v>
      </c>
      <c r="M50">
        <v>43.682000000000002</v>
      </c>
      <c r="N50">
        <v>0.623</v>
      </c>
      <c r="P50" s="1">
        <f t="shared" si="0"/>
        <v>12.133888888888889</v>
      </c>
      <c r="Q50" s="3">
        <f t="shared" si="1"/>
        <v>1.7888888888888843</v>
      </c>
      <c r="R50" s="3">
        <f t="shared" si="2"/>
        <v>-9.69444444444445E-2</v>
      </c>
      <c r="S50" s="3">
        <f t="shared" si="7"/>
        <v>7.3030303030302987E-2</v>
      </c>
      <c r="U50" s="1">
        <f t="shared" si="3"/>
        <v>12.011818181818184</v>
      </c>
      <c r="V50" s="3">
        <f t="shared" si="5"/>
        <v>7.3030303030300558E-2</v>
      </c>
      <c r="W50" s="3">
        <f t="shared" si="6"/>
        <v>7.5610651974288304E-2</v>
      </c>
    </row>
    <row r="51" spans="1:23" x14ac:dyDescent="0.25">
      <c r="A51" t="s">
        <v>16</v>
      </c>
      <c r="C51">
        <v>52.047599900000002</v>
      </c>
      <c r="D51">
        <v>-0.57251099999999999</v>
      </c>
      <c r="E51">
        <v>4</v>
      </c>
      <c r="F51">
        <v>4</v>
      </c>
      <c r="G51">
        <v>2022</v>
      </c>
      <c r="H51">
        <v>13</v>
      </c>
      <c r="I51">
        <v>55</v>
      </c>
      <c r="J51">
        <v>20.8</v>
      </c>
      <c r="K51">
        <v>44.18</v>
      </c>
      <c r="L51">
        <v>0</v>
      </c>
      <c r="M51">
        <v>43.319000000000003</v>
      </c>
      <c r="N51">
        <v>0.61599999999999999</v>
      </c>
      <c r="P51" s="1">
        <f t="shared" si="0"/>
        <v>12.033055555555556</v>
      </c>
      <c r="Q51" s="3">
        <f t="shared" si="1"/>
        <v>-1.0083333333333222</v>
      </c>
      <c r="R51" s="3">
        <f t="shared" si="2"/>
        <v>0.17305555555555507</v>
      </c>
      <c r="S51" s="3">
        <f t="shared" si="7"/>
        <v>6.540404040404045E-2</v>
      </c>
      <c r="U51" s="1">
        <f t="shared" si="3"/>
        <v>12.013914141414142</v>
      </c>
      <c r="V51" s="3">
        <f t="shared" si="5"/>
        <v>6.5404040404040131E-2</v>
      </c>
      <c r="W51" s="3">
        <f t="shared" si="6"/>
        <v>7.7943067033975855E-2</v>
      </c>
    </row>
    <row r="52" spans="1:23" x14ac:dyDescent="0.25">
      <c r="A52" t="s">
        <v>16</v>
      </c>
      <c r="C52">
        <v>52.047609899999998</v>
      </c>
      <c r="D52">
        <v>-0.57251719999999995</v>
      </c>
      <c r="E52">
        <v>4</v>
      </c>
      <c r="F52">
        <v>4</v>
      </c>
      <c r="G52">
        <v>2022</v>
      </c>
      <c r="H52">
        <v>13</v>
      </c>
      <c r="I52">
        <v>55</v>
      </c>
      <c r="J52">
        <v>20.9</v>
      </c>
      <c r="K52">
        <v>44.19</v>
      </c>
      <c r="L52">
        <v>0</v>
      </c>
      <c r="M52">
        <v>43.024000000000001</v>
      </c>
      <c r="N52">
        <v>0.626</v>
      </c>
      <c r="P52" s="1">
        <f t="shared" si="0"/>
        <v>11.951111111111111</v>
      </c>
      <c r="Q52" s="3">
        <f t="shared" si="1"/>
        <v>-0.81944444444445708</v>
      </c>
      <c r="R52" s="3">
        <f t="shared" si="2"/>
        <v>0.25500000000000078</v>
      </c>
      <c r="S52" s="3">
        <f t="shared" si="7"/>
        <v>8.1136363636363645E-2</v>
      </c>
      <c r="U52" s="1">
        <f t="shared" si="3"/>
        <v>12.036010101010101</v>
      </c>
      <c r="V52" s="3">
        <f t="shared" si="5"/>
        <v>8.113636363636445E-2</v>
      </c>
      <c r="W52" s="3">
        <f t="shared" si="6"/>
        <v>7.8810835629017195E-2</v>
      </c>
    </row>
    <row r="53" spans="1:23" x14ac:dyDescent="0.25">
      <c r="A53" t="s">
        <v>16</v>
      </c>
      <c r="C53">
        <v>52.047619900000001</v>
      </c>
      <c r="D53">
        <v>-0.57252340000000002</v>
      </c>
      <c r="E53">
        <v>4</v>
      </c>
      <c r="F53">
        <v>4</v>
      </c>
      <c r="G53">
        <v>2022</v>
      </c>
      <c r="H53">
        <v>13</v>
      </c>
      <c r="I53">
        <v>55</v>
      </c>
      <c r="J53">
        <v>21</v>
      </c>
      <c r="K53">
        <v>44.15</v>
      </c>
      <c r="L53">
        <v>0</v>
      </c>
      <c r="M53">
        <v>43.38</v>
      </c>
      <c r="N53">
        <v>0.63</v>
      </c>
      <c r="P53" s="1">
        <f t="shared" si="0"/>
        <v>12.05</v>
      </c>
      <c r="Q53" s="3">
        <f t="shared" si="1"/>
        <v>0.98888888888890136</v>
      </c>
      <c r="R53" s="3">
        <f t="shared" si="2"/>
        <v>0.12416666666666565</v>
      </c>
      <c r="S53" s="3">
        <f t="shared" si="7"/>
        <v>9.257575757575752E-2</v>
      </c>
      <c r="U53" s="1">
        <f t="shared" si="3"/>
        <v>12.047651515151518</v>
      </c>
      <c r="V53" s="3">
        <f t="shared" si="5"/>
        <v>9.2575757575758644E-2</v>
      </c>
      <c r="W53" s="3">
        <f t="shared" si="6"/>
        <v>7.6659779614324783E-2</v>
      </c>
    </row>
    <row r="54" spans="1:23" x14ac:dyDescent="0.25">
      <c r="A54" t="s">
        <v>16</v>
      </c>
      <c r="C54">
        <v>52.047629899999997</v>
      </c>
      <c r="D54">
        <v>-0.57252939999999997</v>
      </c>
      <c r="E54">
        <v>4</v>
      </c>
      <c r="F54">
        <v>4</v>
      </c>
      <c r="G54">
        <v>2022</v>
      </c>
      <c r="H54">
        <v>13</v>
      </c>
      <c r="I54">
        <v>55</v>
      </c>
      <c r="J54">
        <v>21.1</v>
      </c>
      <c r="K54">
        <v>44.12</v>
      </c>
      <c r="L54">
        <v>0</v>
      </c>
      <c r="M54">
        <v>43.106000000000002</v>
      </c>
      <c r="N54">
        <v>0.623</v>
      </c>
      <c r="P54" s="1">
        <f t="shared" si="0"/>
        <v>11.973888888888888</v>
      </c>
      <c r="Q54" s="3">
        <f t="shared" si="1"/>
        <v>-0.76111111111112351</v>
      </c>
      <c r="R54" s="3">
        <f t="shared" si="2"/>
        <v>0.22000000000000064</v>
      </c>
      <c r="S54" s="3">
        <f t="shared" si="7"/>
        <v>9.0934343434343354E-2</v>
      </c>
      <c r="U54" s="1">
        <f t="shared" si="3"/>
        <v>12.067020202020201</v>
      </c>
      <c r="V54" s="3">
        <f t="shared" si="5"/>
        <v>9.0934343434343035E-2</v>
      </c>
      <c r="W54" s="3">
        <f t="shared" si="6"/>
        <v>7.2729568411386059E-2</v>
      </c>
    </row>
    <row r="55" spans="1:23" x14ac:dyDescent="0.25">
      <c r="A55" t="s">
        <v>16</v>
      </c>
      <c r="C55">
        <v>52.047640100000002</v>
      </c>
      <c r="D55">
        <v>-0.57253529999999997</v>
      </c>
      <c r="E55">
        <v>4</v>
      </c>
      <c r="F55">
        <v>4</v>
      </c>
      <c r="G55">
        <v>2022</v>
      </c>
      <c r="H55">
        <v>13</v>
      </c>
      <c r="I55">
        <v>55</v>
      </c>
      <c r="J55">
        <v>21.2</v>
      </c>
      <c r="K55">
        <v>44.12</v>
      </c>
      <c r="L55">
        <v>0</v>
      </c>
      <c r="M55">
        <v>43.283000000000001</v>
      </c>
      <c r="N55">
        <v>0.64100000000000001</v>
      </c>
      <c r="P55" s="1">
        <f t="shared" si="0"/>
        <v>12.023055555555555</v>
      </c>
      <c r="Q55" s="3">
        <f t="shared" si="1"/>
        <v>0.49166666666666359</v>
      </c>
      <c r="R55" s="3">
        <f t="shared" si="2"/>
        <v>7.3055555555555429E-2</v>
      </c>
      <c r="S55" s="3">
        <f t="shared" si="7"/>
        <v>0.10184343434343451</v>
      </c>
      <c r="U55" s="1">
        <f t="shared" si="3"/>
        <v>12.089924242424241</v>
      </c>
      <c r="V55" s="3">
        <f t="shared" si="5"/>
        <v>0.10184343434343468</v>
      </c>
      <c r="W55" s="3">
        <f t="shared" si="6"/>
        <v>6.5369605142332171E-2</v>
      </c>
    </row>
    <row r="56" spans="1:23" x14ac:dyDescent="0.25">
      <c r="A56" t="s">
        <v>16</v>
      </c>
      <c r="C56">
        <v>52.047650400000002</v>
      </c>
      <c r="D56">
        <v>-0.57254130000000003</v>
      </c>
      <c r="E56">
        <v>4</v>
      </c>
      <c r="F56">
        <v>4</v>
      </c>
      <c r="G56">
        <v>2022</v>
      </c>
      <c r="H56">
        <v>13</v>
      </c>
      <c r="I56">
        <v>55</v>
      </c>
      <c r="J56">
        <v>21.3</v>
      </c>
      <c r="K56">
        <v>44.11</v>
      </c>
      <c r="L56">
        <v>0</v>
      </c>
      <c r="M56">
        <v>43.715000000000003</v>
      </c>
      <c r="N56">
        <v>0.64400000000000002</v>
      </c>
      <c r="P56" s="1">
        <f t="shared" si="0"/>
        <v>12.143055555555556</v>
      </c>
      <c r="Q56" s="3">
        <f t="shared" si="1"/>
        <v>1.2000000000000099</v>
      </c>
      <c r="R56" s="3">
        <f t="shared" si="2"/>
        <v>0.10805555555555557</v>
      </c>
      <c r="S56" s="3">
        <f t="shared" si="7"/>
        <v>9.6287878787878908E-2</v>
      </c>
      <c r="U56" s="1">
        <f t="shared" si="3"/>
        <v>12.090580808080807</v>
      </c>
      <c r="V56" s="3">
        <f t="shared" si="5"/>
        <v>9.6287878787880032E-2</v>
      </c>
      <c r="W56" s="3">
        <f t="shared" si="6"/>
        <v>5.6808999081726472E-2</v>
      </c>
    </row>
    <row r="57" spans="1:23" x14ac:dyDescent="0.25">
      <c r="A57" t="s">
        <v>16</v>
      </c>
      <c r="C57">
        <v>52.0476606</v>
      </c>
      <c r="D57">
        <v>-0.57254709999999998</v>
      </c>
      <c r="E57">
        <v>4</v>
      </c>
      <c r="F57">
        <v>4</v>
      </c>
      <c r="G57">
        <v>2022</v>
      </c>
      <c r="H57">
        <v>13</v>
      </c>
      <c r="I57">
        <v>55</v>
      </c>
      <c r="J57">
        <v>21.4</v>
      </c>
      <c r="K57">
        <v>44.06</v>
      </c>
      <c r="L57">
        <v>0</v>
      </c>
      <c r="M57">
        <v>43.966999999999999</v>
      </c>
      <c r="N57">
        <v>0.64400000000000002</v>
      </c>
      <c r="P57" s="1">
        <f t="shared" si="0"/>
        <v>12.213055555555556</v>
      </c>
      <c r="Q57" s="3">
        <f t="shared" si="1"/>
        <v>0.70000000000000284</v>
      </c>
      <c r="R57" s="3">
        <f t="shared" si="2"/>
        <v>0.16500000000000092</v>
      </c>
      <c r="S57" s="3">
        <f t="shared" si="7"/>
        <v>6.5555555555555631E-2</v>
      </c>
      <c r="U57" s="1">
        <f t="shared" si="3"/>
        <v>12.098131313131313</v>
      </c>
      <c r="V57" s="3">
        <f t="shared" si="5"/>
        <v>6.5555555555555145E-2</v>
      </c>
      <c r="W57" s="3">
        <f t="shared" si="6"/>
        <v>4.8048668503213966E-2</v>
      </c>
    </row>
    <row r="58" spans="1:23" x14ac:dyDescent="0.25">
      <c r="A58" t="s">
        <v>16</v>
      </c>
      <c r="C58">
        <v>52.047670599999996</v>
      </c>
      <c r="D58">
        <v>-0.57255319999999998</v>
      </c>
      <c r="E58">
        <v>4</v>
      </c>
      <c r="F58">
        <v>4</v>
      </c>
      <c r="G58">
        <v>2022</v>
      </c>
      <c r="H58">
        <v>13</v>
      </c>
      <c r="I58">
        <v>55</v>
      </c>
      <c r="J58">
        <v>21.5</v>
      </c>
      <c r="K58">
        <v>44.02</v>
      </c>
      <c r="L58">
        <v>0</v>
      </c>
      <c r="M58">
        <v>43.51</v>
      </c>
      <c r="N58">
        <v>0.67300000000000004</v>
      </c>
      <c r="P58" s="1">
        <f t="shared" si="0"/>
        <v>12.08611111111111</v>
      </c>
      <c r="Q58" s="3">
        <f t="shared" si="1"/>
        <v>-1.2694444444444564</v>
      </c>
      <c r="R58" s="3">
        <f t="shared" si="2"/>
        <v>4.1944444444443008E-2</v>
      </c>
      <c r="S58" s="3">
        <f t="shared" si="7"/>
        <v>3.835858585858596E-2</v>
      </c>
      <c r="U58" s="1">
        <f t="shared" si="3"/>
        <v>12.110934343434344</v>
      </c>
      <c r="V58" s="3">
        <f t="shared" si="5"/>
        <v>3.8358585858583538E-2</v>
      </c>
      <c r="W58" s="3">
        <f t="shared" si="6"/>
        <v>3.6487603305784884E-2</v>
      </c>
    </row>
    <row r="59" spans="1:23" x14ac:dyDescent="0.25">
      <c r="A59" t="s">
        <v>16</v>
      </c>
      <c r="C59">
        <v>52.047680800000002</v>
      </c>
      <c r="D59">
        <v>-0.57255940000000005</v>
      </c>
      <c r="E59">
        <v>4</v>
      </c>
      <c r="F59">
        <v>4</v>
      </c>
      <c r="G59">
        <v>2022</v>
      </c>
      <c r="H59">
        <v>13</v>
      </c>
      <c r="I59">
        <v>55</v>
      </c>
      <c r="J59">
        <v>21.6</v>
      </c>
      <c r="K59">
        <v>43.99</v>
      </c>
      <c r="L59">
        <v>0</v>
      </c>
      <c r="M59">
        <v>43.83</v>
      </c>
      <c r="N59">
        <v>0.68400000000000005</v>
      </c>
      <c r="P59" s="1">
        <f t="shared" si="0"/>
        <v>12.175000000000001</v>
      </c>
      <c r="Q59" s="3">
        <f t="shared" si="1"/>
        <v>0.88888888888890349</v>
      </c>
      <c r="R59" s="3">
        <f t="shared" si="2"/>
        <v>5.8055555555556637E-2</v>
      </c>
      <c r="S59" s="3">
        <f t="shared" si="7"/>
        <v>2.0151515151515233E-2</v>
      </c>
      <c r="U59" s="1">
        <f t="shared" si="3"/>
        <v>12.109292929292929</v>
      </c>
      <c r="V59" s="3">
        <f t="shared" si="5"/>
        <v>2.0151515151514587E-2</v>
      </c>
      <c r="W59" s="3">
        <f t="shared" si="6"/>
        <v>2.4582185491276057E-2</v>
      </c>
    </row>
    <row r="60" spans="1:23" x14ac:dyDescent="0.25">
      <c r="A60" t="s">
        <v>16</v>
      </c>
      <c r="C60">
        <v>52.047691</v>
      </c>
      <c r="D60">
        <v>-0.57256569999999996</v>
      </c>
      <c r="E60">
        <v>4</v>
      </c>
      <c r="F60">
        <v>4</v>
      </c>
      <c r="G60">
        <v>2022</v>
      </c>
      <c r="H60">
        <v>13</v>
      </c>
      <c r="I60">
        <v>55</v>
      </c>
      <c r="J60">
        <v>21.7</v>
      </c>
      <c r="K60">
        <v>43.97</v>
      </c>
      <c r="L60">
        <v>0</v>
      </c>
      <c r="M60">
        <v>43.945</v>
      </c>
      <c r="N60">
        <v>0.69099999999999995</v>
      </c>
      <c r="P60" s="1">
        <f t="shared" si="0"/>
        <v>12.206944444444444</v>
      </c>
      <c r="Q60" s="3">
        <f t="shared" si="1"/>
        <v>0.31944444444443221</v>
      </c>
      <c r="R60" s="3">
        <f t="shared" si="2"/>
        <v>-1.1111111111095084E-3</v>
      </c>
      <c r="S60" s="3">
        <f t="shared" si="7"/>
        <v>-6.212121212121214E-3</v>
      </c>
      <c r="U60" s="1">
        <f t="shared" si="3"/>
        <v>12.113661616161618</v>
      </c>
      <c r="V60" s="3">
        <f t="shared" si="5"/>
        <v>-6.2121212121208913E-3</v>
      </c>
      <c r="W60" s="3">
        <f t="shared" si="6"/>
        <v>1.2495408631771777E-2</v>
      </c>
    </row>
    <row r="61" spans="1:23" x14ac:dyDescent="0.25">
      <c r="A61" t="s">
        <v>16</v>
      </c>
      <c r="C61">
        <v>52.047701199999999</v>
      </c>
      <c r="D61">
        <v>-0.57257199999999997</v>
      </c>
      <c r="E61">
        <v>4</v>
      </c>
      <c r="F61">
        <v>4</v>
      </c>
      <c r="G61">
        <v>2022</v>
      </c>
      <c r="H61">
        <v>13</v>
      </c>
      <c r="I61">
        <v>55</v>
      </c>
      <c r="J61">
        <v>21.8</v>
      </c>
      <c r="K61">
        <v>43.96</v>
      </c>
      <c r="L61">
        <v>0</v>
      </c>
      <c r="M61">
        <v>43.707999999999998</v>
      </c>
      <c r="N61">
        <v>0.68799999999999994</v>
      </c>
      <c r="P61" s="1">
        <f t="shared" si="0"/>
        <v>12.141111111111112</v>
      </c>
      <c r="Q61" s="3">
        <f t="shared" si="1"/>
        <v>-0.65833333333332078</v>
      </c>
      <c r="R61" s="3">
        <f t="shared" si="2"/>
        <v>-0.15805555555555628</v>
      </c>
      <c r="S61" s="3">
        <f t="shared" si="7"/>
        <v>-2.113636363636363E-2</v>
      </c>
      <c r="U61" s="1">
        <f t="shared" si="3"/>
        <v>12.110202020202022</v>
      </c>
      <c r="V61" s="3">
        <f t="shared" si="5"/>
        <v>-2.1136363636362177E-2</v>
      </c>
      <c r="W61" s="3">
        <f t="shared" si="6"/>
        <v>-7.805325987150527E-4</v>
      </c>
    </row>
    <row r="62" spans="1:23" x14ac:dyDescent="0.25">
      <c r="A62" t="s">
        <v>16</v>
      </c>
      <c r="C62">
        <v>52.047711300000003</v>
      </c>
      <c r="D62">
        <v>-0.57257829999999998</v>
      </c>
      <c r="E62">
        <v>4</v>
      </c>
      <c r="F62">
        <v>4</v>
      </c>
      <c r="G62">
        <v>2022</v>
      </c>
      <c r="H62">
        <v>13</v>
      </c>
      <c r="I62">
        <v>55</v>
      </c>
      <c r="J62">
        <v>21.9</v>
      </c>
      <c r="K62">
        <v>43.95</v>
      </c>
      <c r="L62">
        <v>0</v>
      </c>
      <c r="M62">
        <v>43.618000000000002</v>
      </c>
      <c r="N62">
        <v>0.67</v>
      </c>
      <c r="P62" s="1">
        <f t="shared" si="0"/>
        <v>12.116111111111111</v>
      </c>
      <c r="Q62" s="3">
        <f t="shared" si="1"/>
        <v>-0.25000000000000355</v>
      </c>
      <c r="R62" s="3">
        <f t="shared" si="2"/>
        <v>-0.16500000000000092</v>
      </c>
      <c r="S62" s="3">
        <f t="shared" si="7"/>
        <v>-3.0959595959595954E-2</v>
      </c>
      <c r="U62" s="1">
        <f t="shared" si="3"/>
        <v>12.101565656565656</v>
      </c>
      <c r="V62" s="3">
        <f t="shared" si="5"/>
        <v>-3.0959595959597408E-2</v>
      </c>
      <c r="W62" s="3">
        <f t="shared" si="6"/>
        <v>-1.3064738292011734E-2</v>
      </c>
    </row>
    <row r="63" spans="1:23" x14ac:dyDescent="0.25">
      <c r="A63" t="s">
        <v>16</v>
      </c>
      <c r="C63">
        <v>52.047721600000003</v>
      </c>
      <c r="D63">
        <v>-0.57258439999999999</v>
      </c>
      <c r="E63">
        <v>4</v>
      </c>
      <c r="F63">
        <v>4</v>
      </c>
      <c r="G63">
        <v>2022</v>
      </c>
      <c r="H63">
        <v>13</v>
      </c>
      <c r="I63">
        <v>55</v>
      </c>
      <c r="J63">
        <v>22</v>
      </c>
      <c r="K63">
        <v>43.97</v>
      </c>
      <c r="L63">
        <v>0</v>
      </c>
      <c r="M63">
        <v>43.530999999999999</v>
      </c>
      <c r="N63">
        <v>0.68400000000000005</v>
      </c>
      <c r="P63" s="1">
        <f t="shared" si="0"/>
        <v>12.091944444444444</v>
      </c>
      <c r="Q63" s="3">
        <f t="shared" si="1"/>
        <v>-0.2416666666666778</v>
      </c>
      <c r="R63" s="3">
        <f t="shared" si="2"/>
        <v>-4.4166666666665577E-2</v>
      </c>
      <c r="S63" s="3">
        <f t="shared" si="7"/>
        <v>-4.6035353535353547E-2</v>
      </c>
      <c r="U63" s="1">
        <f t="shared" si="3"/>
        <v>12.086010101010102</v>
      </c>
      <c r="V63" s="3">
        <f t="shared" si="5"/>
        <v>-4.6035353535355483E-2</v>
      </c>
      <c r="W63" s="3">
        <f t="shared" si="6"/>
        <v>-2.2819100091828141E-2</v>
      </c>
    </row>
    <row r="64" spans="1:23" x14ac:dyDescent="0.25">
      <c r="A64" t="s">
        <v>16</v>
      </c>
      <c r="C64">
        <v>52.0477317</v>
      </c>
      <c r="D64">
        <v>-0.57259079999999996</v>
      </c>
      <c r="E64">
        <v>4</v>
      </c>
      <c r="F64">
        <v>4</v>
      </c>
      <c r="G64">
        <v>2022</v>
      </c>
      <c r="H64">
        <v>13</v>
      </c>
      <c r="I64">
        <v>55</v>
      </c>
      <c r="J64">
        <v>22.1</v>
      </c>
      <c r="K64">
        <v>43.98</v>
      </c>
      <c r="L64">
        <v>0</v>
      </c>
      <c r="M64">
        <v>43.314999999999998</v>
      </c>
      <c r="N64">
        <v>0.69099999999999995</v>
      </c>
      <c r="P64" s="1">
        <f t="shared" si="0"/>
        <v>12.031944444444445</v>
      </c>
      <c r="Q64" s="3">
        <f t="shared" si="1"/>
        <v>-0.59999999999998721</v>
      </c>
      <c r="R64" s="3">
        <f t="shared" si="2"/>
        <v>-7.6111111111112351E-2</v>
      </c>
      <c r="S64" s="3">
        <f t="shared" si="7"/>
        <v>-3.8383838383838249E-2</v>
      </c>
      <c r="U64" s="1">
        <f t="shared" si="3"/>
        <v>12.087171717171715</v>
      </c>
      <c r="V64" s="3">
        <f t="shared" si="5"/>
        <v>-3.8383838383838409E-2</v>
      </c>
      <c r="W64" s="3">
        <f t="shared" si="6"/>
        <v>-3.2123507805326378E-2</v>
      </c>
    </row>
    <row r="65" spans="1:23" x14ac:dyDescent="0.25">
      <c r="A65" t="s">
        <v>16</v>
      </c>
      <c r="C65">
        <v>52.047742</v>
      </c>
      <c r="D65">
        <v>-0.57259729999999998</v>
      </c>
      <c r="E65">
        <v>4</v>
      </c>
      <c r="F65">
        <v>4</v>
      </c>
      <c r="G65">
        <v>2022</v>
      </c>
      <c r="H65">
        <v>13</v>
      </c>
      <c r="I65">
        <v>55</v>
      </c>
      <c r="J65">
        <v>22.2</v>
      </c>
      <c r="K65">
        <v>44.01</v>
      </c>
      <c r="L65">
        <v>0</v>
      </c>
      <c r="M65">
        <v>43.279000000000003</v>
      </c>
      <c r="N65">
        <v>0.68400000000000005</v>
      </c>
      <c r="P65" s="1">
        <f t="shared" si="0"/>
        <v>12.021944444444445</v>
      </c>
      <c r="Q65" s="3">
        <f t="shared" si="1"/>
        <v>-9.9999999999997868E-2</v>
      </c>
      <c r="R65" s="3">
        <f t="shared" si="2"/>
        <v>-7.0000000000000284E-2</v>
      </c>
      <c r="S65" s="3">
        <f t="shared" si="7"/>
        <v>-4.2020202020202131E-2</v>
      </c>
      <c r="U65" s="1">
        <f t="shared" si="3"/>
        <v>12.08371212121212</v>
      </c>
      <c r="V65" s="3">
        <f t="shared" si="5"/>
        <v>-4.2020202020204067E-2</v>
      </c>
      <c r="W65" s="3">
        <f t="shared" si="6"/>
        <v>-4.1216712580349195E-2</v>
      </c>
    </row>
    <row r="66" spans="1:23" x14ac:dyDescent="0.25">
      <c r="A66" t="s">
        <v>16</v>
      </c>
      <c r="C66">
        <v>52.047752099999997</v>
      </c>
      <c r="D66">
        <v>-0.57260350000000004</v>
      </c>
      <c r="E66">
        <v>4</v>
      </c>
      <c r="F66">
        <v>4</v>
      </c>
      <c r="G66">
        <v>2022</v>
      </c>
      <c r="H66">
        <v>13</v>
      </c>
      <c r="I66">
        <v>55</v>
      </c>
      <c r="J66">
        <v>22.3</v>
      </c>
      <c r="K66">
        <v>44.01</v>
      </c>
      <c r="L66">
        <v>0</v>
      </c>
      <c r="M66">
        <v>43.146000000000001</v>
      </c>
      <c r="N66">
        <v>0.70199999999999996</v>
      </c>
      <c r="P66" s="1">
        <f t="shared" si="0"/>
        <v>11.984999999999999</v>
      </c>
      <c r="Q66" s="3">
        <f t="shared" si="1"/>
        <v>-0.36944444444445779</v>
      </c>
      <c r="R66" s="3">
        <f t="shared" si="2"/>
        <v>-9.1111111111111143E-2</v>
      </c>
      <c r="S66" s="3">
        <f t="shared" si="7"/>
        <v>-4.4191919191919317E-2</v>
      </c>
      <c r="U66" s="1">
        <f t="shared" si="3"/>
        <v>12.069444444444445</v>
      </c>
      <c r="V66" s="3">
        <f t="shared" si="5"/>
        <v>-4.4191919191920448E-2</v>
      </c>
      <c r="W66" s="3">
        <f t="shared" si="6"/>
        <v>-4.9244719926538429E-2</v>
      </c>
    </row>
    <row r="67" spans="1:23" x14ac:dyDescent="0.25">
      <c r="A67" t="s">
        <v>16</v>
      </c>
      <c r="C67">
        <v>52.047762400000003</v>
      </c>
      <c r="D67">
        <v>-0.57260979999999995</v>
      </c>
      <c r="E67">
        <v>4</v>
      </c>
      <c r="F67">
        <v>4</v>
      </c>
      <c r="G67">
        <v>2022</v>
      </c>
      <c r="H67">
        <v>13</v>
      </c>
      <c r="I67">
        <v>55</v>
      </c>
      <c r="J67">
        <v>22.4</v>
      </c>
      <c r="K67">
        <v>44.03</v>
      </c>
      <c r="L67">
        <v>0</v>
      </c>
      <c r="M67">
        <v>43.372999999999998</v>
      </c>
      <c r="N67">
        <v>0.69799999999999995</v>
      </c>
      <c r="P67" s="1">
        <f t="shared" ref="P67:P130" si="8">M67*1000/3600</f>
        <v>12.048055555555555</v>
      </c>
      <c r="Q67" s="3">
        <f t="shared" si="1"/>
        <v>0.63055555555555642</v>
      </c>
      <c r="R67" s="3">
        <f t="shared" si="2"/>
        <v>0</v>
      </c>
      <c r="S67" s="3">
        <f t="shared" si="7"/>
        <v>-3.8838383838383936E-2</v>
      </c>
      <c r="U67" s="1">
        <f t="shared" si="3"/>
        <v>12.067171717171716</v>
      </c>
      <c r="V67" s="3">
        <f t="shared" si="5"/>
        <v>-3.883838383838345E-2</v>
      </c>
      <c r="W67" s="3">
        <f t="shared" si="6"/>
        <v>-5.8585858585859026E-2</v>
      </c>
    </row>
    <row r="68" spans="1:23" x14ac:dyDescent="0.25">
      <c r="A68" t="s">
        <v>16</v>
      </c>
      <c r="C68">
        <v>52.047772399999999</v>
      </c>
      <c r="D68">
        <v>-0.57261600000000001</v>
      </c>
      <c r="E68">
        <v>4</v>
      </c>
      <c r="F68">
        <v>4</v>
      </c>
      <c r="G68">
        <v>2022</v>
      </c>
      <c r="H68">
        <v>13</v>
      </c>
      <c r="I68">
        <v>55</v>
      </c>
      <c r="J68">
        <v>22.5</v>
      </c>
      <c r="K68">
        <v>44.01</v>
      </c>
      <c r="L68">
        <v>0</v>
      </c>
      <c r="M68">
        <v>43.350999999999999</v>
      </c>
      <c r="N68">
        <v>0.67300000000000004</v>
      </c>
      <c r="P68" s="1">
        <f t="shared" si="8"/>
        <v>12.041944444444445</v>
      </c>
      <c r="Q68" s="3">
        <f t="shared" si="1"/>
        <v>-6.11111111111029E-2</v>
      </c>
      <c r="R68" s="3">
        <f t="shared" si="2"/>
        <v>-8.3333333333257542E-4</v>
      </c>
      <c r="S68" s="3">
        <f t="shared" si="7"/>
        <v>-4.1742424242424227E-2</v>
      </c>
      <c r="U68" s="1">
        <f t="shared" si="3"/>
        <v>12.064898989898989</v>
      </c>
      <c r="V68" s="3">
        <f t="shared" si="5"/>
        <v>-4.1742424242425358E-2</v>
      </c>
      <c r="W68" s="3">
        <f t="shared" si="6"/>
        <v>-6.9563820018365613E-2</v>
      </c>
    </row>
    <row r="69" spans="1:23" x14ac:dyDescent="0.25">
      <c r="A69" t="s">
        <v>16</v>
      </c>
      <c r="C69">
        <v>52.047782599999998</v>
      </c>
      <c r="D69">
        <v>-0.57262250000000003</v>
      </c>
      <c r="E69">
        <v>4</v>
      </c>
      <c r="F69">
        <v>4</v>
      </c>
      <c r="G69">
        <v>2022</v>
      </c>
      <c r="H69">
        <v>13</v>
      </c>
      <c r="I69">
        <v>55</v>
      </c>
      <c r="J69">
        <v>22.6</v>
      </c>
      <c r="K69">
        <v>44</v>
      </c>
      <c r="L69">
        <v>0</v>
      </c>
      <c r="M69">
        <v>43.555999999999997</v>
      </c>
      <c r="N69">
        <v>0.66600000000000004</v>
      </c>
      <c r="P69" s="1">
        <f t="shared" si="8"/>
        <v>12.098888888888888</v>
      </c>
      <c r="Q69" s="3">
        <f t="shared" ref="Q69:Q132" si="9">10*($P69-$P68)</f>
        <v>0.56944444444443576</v>
      </c>
      <c r="R69" s="3">
        <f t="shared" si="2"/>
        <v>0.12611111111111128</v>
      </c>
      <c r="S69" s="3">
        <f t="shared" si="7"/>
        <v>-6.3989898989898986E-2</v>
      </c>
      <c r="U69" s="1">
        <f t="shared" si="3"/>
        <v>12.07090909090909</v>
      </c>
      <c r="V69" s="3">
        <f t="shared" si="5"/>
        <v>-6.3989898989897043E-2</v>
      </c>
      <c r="W69" s="3">
        <f t="shared" si="6"/>
        <v>-8.2371441689623418E-2</v>
      </c>
    </row>
    <row r="70" spans="1:23" x14ac:dyDescent="0.25">
      <c r="A70" t="s">
        <v>16</v>
      </c>
      <c r="C70">
        <v>52.0477925</v>
      </c>
      <c r="D70">
        <v>-0.57262880000000005</v>
      </c>
      <c r="E70">
        <v>4</v>
      </c>
      <c r="F70">
        <v>4</v>
      </c>
      <c r="G70">
        <v>2022</v>
      </c>
      <c r="H70">
        <v>13</v>
      </c>
      <c r="I70">
        <v>55</v>
      </c>
      <c r="J70">
        <v>22.7</v>
      </c>
      <c r="K70">
        <v>43.94</v>
      </c>
      <c r="L70">
        <v>0</v>
      </c>
      <c r="M70">
        <v>43.692999999999998</v>
      </c>
      <c r="N70">
        <v>0.66600000000000004</v>
      </c>
      <c r="P70" s="1">
        <f t="shared" si="8"/>
        <v>12.136944444444444</v>
      </c>
      <c r="Q70" s="3">
        <f t="shared" si="9"/>
        <v>0.38055555555555287</v>
      </c>
      <c r="R70" s="3">
        <f t="shared" si="2"/>
        <v>1.8055555555553937E-2</v>
      </c>
      <c r="S70" s="3">
        <f t="shared" si="7"/>
        <v>-7.987373737373718E-2</v>
      </c>
      <c r="U70" s="1">
        <f t="shared" si="3"/>
        <v>12.071641414141414</v>
      </c>
      <c r="V70" s="3">
        <f t="shared" si="5"/>
        <v>-7.9873737373736375E-2</v>
      </c>
      <c r="W70" s="3">
        <f t="shared" si="6"/>
        <v>-9.9221763085399317E-2</v>
      </c>
    </row>
    <row r="71" spans="1:23" x14ac:dyDescent="0.25">
      <c r="A71" t="s">
        <v>16</v>
      </c>
      <c r="C71">
        <v>52.047802500000003</v>
      </c>
      <c r="D71">
        <v>-0.57263540000000002</v>
      </c>
      <c r="E71">
        <v>4</v>
      </c>
      <c r="F71">
        <v>4</v>
      </c>
      <c r="G71">
        <v>2022</v>
      </c>
      <c r="H71">
        <v>13</v>
      </c>
      <c r="I71">
        <v>55</v>
      </c>
      <c r="J71">
        <v>22.8</v>
      </c>
      <c r="K71">
        <v>43.92</v>
      </c>
      <c r="L71">
        <v>0</v>
      </c>
      <c r="M71">
        <v>43.38</v>
      </c>
      <c r="N71">
        <v>0.68</v>
      </c>
      <c r="P71" s="1">
        <f t="shared" si="8"/>
        <v>12.05</v>
      </c>
      <c r="Q71" s="3">
        <f t="shared" si="9"/>
        <v>-0.86944444444442937</v>
      </c>
      <c r="R71" s="3">
        <f t="shared" si="2"/>
        <v>-2.4999999999998579E-2</v>
      </c>
      <c r="S71" s="3">
        <f t="shared" si="7"/>
        <v>-9.4520202020201852E-2</v>
      </c>
      <c r="U71" s="1">
        <f t="shared" si="3"/>
        <v>12.066010101010102</v>
      </c>
      <c r="V71" s="3">
        <f t="shared" si="5"/>
        <v>-9.4520202020202504E-2</v>
      </c>
      <c r="W71" s="3">
        <f t="shared" si="6"/>
        <v>-0.11761019283746534</v>
      </c>
    </row>
    <row r="72" spans="1:23" x14ac:dyDescent="0.25">
      <c r="A72" t="s">
        <v>16</v>
      </c>
      <c r="C72">
        <v>52.047812499999999</v>
      </c>
      <c r="D72">
        <v>-0.57264199999999998</v>
      </c>
      <c r="E72">
        <v>4</v>
      </c>
      <c r="F72">
        <v>4</v>
      </c>
      <c r="G72">
        <v>2022</v>
      </c>
      <c r="H72">
        <v>13</v>
      </c>
      <c r="I72">
        <v>55</v>
      </c>
      <c r="J72">
        <v>22.9</v>
      </c>
      <c r="K72">
        <v>43.88</v>
      </c>
      <c r="L72">
        <v>0</v>
      </c>
      <c r="M72">
        <v>43.618000000000002</v>
      </c>
      <c r="N72">
        <v>0.69099999999999995</v>
      </c>
      <c r="P72" s="1">
        <f t="shared" si="8"/>
        <v>12.116111111111111</v>
      </c>
      <c r="Q72" s="3">
        <f t="shared" si="9"/>
        <v>0.66111111111110787</v>
      </c>
      <c r="R72" s="3">
        <f t="shared" si="2"/>
        <v>-9.9166666666667069E-2</v>
      </c>
      <c r="S72" s="3">
        <f t="shared" si="7"/>
        <v>-0.12388888888888872</v>
      </c>
      <c r="U72" s="1">
        <f t="shared" si="3"/>
        <v>12.062727272727273</v>
      </c>
      <c r="V72" s="3">
        <f t="shared" si="5"/>
        <v>-0.12388888888888872</v>
      </c>
      <c r="W72" s="3">
        <f t="shared" si="6"/>
        <v>-0.13837924701561038</v>
      </c>
    </row>
    <row r="73" spans="1:23" x14ac:dyDescent="0.25">
      <c r="A73" t="s">
        <v>16</v>
      </c>
      <c r="C73">
        <v>52.047822400000001</v>
      </c>
      <c r="D73">
        <v>-0.5726485</v>
      </c>
      <c r="E73">
        <v>4</v>
      </c>
      <c r="F73">
        <v>4</v>
      </c>
      <c r="G73">
        <v>2022</v>
      </c>
      <c r="H73">
        <v>13</v>
      </c>
      <c r="I73">
        <v>55</v>
      </c>
      <c r="J73">
        <v>23</v>
      </c>
      <c r="K73">
        <v>43.85</v>
      </c>
      <c r="L73">
        <v>0</v>
      </c>
      <c r="M73">
        <v>43.527999999999999</v>
      </c>
      <c r="N73">
        <v>0.70199999999999996</v>
      </c>
      <c r="P73" s="1">
        <f t="shared" si="8"/>
        <v>12.091111111111111</v>
      </c>
      <c r="Q73" s="3">
        <f t="shared" si="9"/>
        <v>-0.25000000000000355</v>
      </c>
      <c r="R73" s="3">
        <f t="shared" ref="R73:R136" si="10">($P78-$P68)</f>
        <v>-0.19694444444444414</v>
      </c>
      <c r="S73" s="3">
        <f t="shared" si="7"/>
        <v>-0.15171717171717153</v>
      </c>
      <c r="U73" s="1">
        <f t="shared" ref="U73:U136" si="11">AVERAGE(P68:P78)</f>
        <v>12.044267676767676</v>
      </c>
      <c r="V73" s="3">
        <f t="shared" ref="V73:V136" si="12">($U78-$U68)</f>
        <v>-0.15171717171716992</v>
      </c>
      <c r="W73" s="3">
        <f t="shared" si="6"/>
        <v>-0.16064967860422366</v>
      </c>
    </row>
    <row r="74" spans="1:23" x14ac:dyDescent="0.25">
      <c r="A74" t="s">
        <v>16</v>
      </c>
      <c r="C74">
        <v>52.0478326</v>
      </c>
      <c r="D74">
        <v>-0.57265520000000003</v>
      </c>
      <c r="E74">
        <v>4</v>
      </c>
      <c r="F74">
        <v>4</v>
      </c>
      <c r="G74">
        <v>2022</v>
      </c>
      <c r="H74">
        <v>13</v>
      </c>
      <c r="I74">
        <v>55</v>
      </c>
      <c r="J74">
        <v>23.1</v>
      </c>
      <c r="K74">
        <v>43.84</v>
      </c>
      <c r="L74">
        <v>0</v>
      </c>
      <c r="M74">
        <v>43.768999999999998</v>
      </c>
      <c r="N74">
        <v>0.70899999999999996</v>
      </c>
      <c r="P74" s="1">
        <f t="shared" si="8"/>
        <v>12.158055555555556</v>
      </c>
      <c r="Q74" s="3">
        <f t="shared" si="9"/>
        <v>0.66944444444445139</v>
      </c>
      <c r="R74" s="3">
        <f t="shared" si="10"/>
        <v>-0.28888888888888786</v>
      </c>
      <c r="S74" s="3">
        <f t="shared" si="7"/>
        <v>-0.1869191919191919</v>
      </c>
      <c r="U74" s="1">
        <f t="shared" si="11"/>
        <v>12.023181818181818</v>
      </c>
      <c r="V74" s="3">
        <f t="shared" si="12"/>
        <v>-0.18691919191919126</v>
      </c>
      <c r="W74" s="3">
        <f t="shared" si="6"/>
        <v>-0.182681359044995</v>
      </c>
    </row>
    <row r="75" spans="1:23" x14ac:dyDescent="0.25">
      <c r="A75" t="s">
        <v>16</v>
      </c>
      <c r="C75">
        <v>52.047842199999998</v>
      </c>
      <c r="D75">
        <v>-0.57266229999999996</v>
      </c>
      <c r="E75">
        <v>4</v>
      </c>
      <c r="F75">
        <v>4</v>
      </c>
      <c r="G75">
        <v>2022</v>
      </c>
      <c r="H75">
        <v>13</v>
      </c>
      <c r="I75">
        <v>55</v>
      </c>
      <c r="J75">
        <v>23.2</v>
      </c>
      <c r="K75">
        <v>43.82</v>
      </c>
      <c r="L75">
        <v>0</v>
      </c>
      <c r="M75">
        <v>43.344000000000001</v>
      </c>
      <c r="N75">
        <v>0.69499999999999995</v>
      </c>
      <c r="P75" s="1">
        <f t="shared" si="8"/>
        <v>12.04</v>
      </c>
      <c r="Q75" s="3">
        <f t="shared" si="9"/>
        <v>-1.1805555555555713</v>
      </c>
      <c r="R75" s="3">
        <f t="shared" si="10"/>
        <v>-0.25083333333333258</v>
      </c>
      <c r="S75" s="3">
        <f t="shared" si="7"/>
        <v>-0.22373737373737368</v>
      </c>
      <c r="U75" s="1">
        <f t="shared" si="11"/>
        <v>12.003838383838383</v>
      </c>
      <c r="V75" s="3">
        <f t="shared" si="12"/>
        <v>-0.22373737373737335</v>
      </c>
      <c r="W75" s="3">
        <f t="shared" si="6"/>
        <v>-0.20182506887052315</v>
      </c>
    </row>
    <row r="76" spans="1:23" x14ac:dyDescent="0.25">
      <c r="A76" t="s">
        <v>16</v>
      </c>
      <c r="C76">
        <v>52.0478521</v>
      </c>
      <c r="D76">
        <v>-0.57266919999999999</v>
      </c>
      <c r="E76">
        <v>4</v>
      </c>
      <c r="F76">
        <v>4</v>
      </c>
      <c r="G76">
        <v>2022</v>
      </c>
      <c r="H76">
        <v>13</v>
      </c>
      <c r="I76">
        <v>55</v>
      </c>
      <c r="J76">
        <v>23.3</v>
      </c>
      <c r="K76">
        <v>43.84</v>
      </c>
      <c r="L76">
        <v>0</v>
      </c>
      <c r="M76">
        <v>43.055999999999997</v>
      </c>
      <c r="N76">
        <v>0.68</v>
      </c>
      <c r="P76" s="1">
        <f t="shared" si="8"/>
        <v>11.96</v>
      </c>
      <c r="Q76" s="3">
        <f t="shared" si="9"/>
        <v>-0.79999999999998295</v>
      </c>
      <c r="R76" s="3">
        <f t="shared" si="10"/>
        <v>-0.23111111111111171</v>
      </c>
      <c r="S76" s="3">
        <f t="shared" si="7"/>
        <v>-0.2442929292929292</v>
      </c>
      <c r="U76" s="1">
        <f t="shared" si="11"/>
        <v>11.974924242424242</v>
      </c>
      <c r="V76" s="3">
        <f t="shared" si="12"/>
        <v>-0.24429292929293034</v>
      </c>
      <c r="W76" s="3">
        <f t="shared" si="6"/>
        <v>-0.21867309458218528</v>
      </c>
    </row>
    <row r="77" spans="1:23" x14ac:dyDescent="0.25">
      <c r="A77" t="s">
        <v>16</v>
      </c>
      <c r="C77">
        <v>52.047862100000003</v>
      </c>
      <c r="D77">
        <v>-0.57267599999999996</v>
      </c>
      <c r="E77">
        <v>4</v>
      </c>
      <c r="F77">
        <v>4</v>
      </c>
      <c r="G77">
        <v>2022</v>
      </c>
      <c r="H77">
        <v>13</v>
      </c>
      <c r="I77">
        <v>55</v>
      </c>
      <c r="J77">
        <v>23.4</v>
      </c>
      <c r="K77">
        <v>43.85</v>
      </c>
      <c r="L77">
        <v>0</v>
      </c>
      <c r="M77">
        <v>43.015999999999998</v>
      </c>
      <c r="N77">
        <v>0.67</v>
      </c>
      <c r="P77" s="1">
        <f t="shared" si="8"/>
        <v>11.948888888888888</v>
      </c>
      <c r="Q77" s="3">
        <f t="shared" si="9"/>
        <v>-0.11111111111112848</v>
      </c>
      <c r="R77" s="3">
        <f t="shared" si="10"/>
        <v>-0.41416666666666657</v>
      </c>
      <c r="S77" s="3">
        <f t="shared" si="7"/>
        <v>-0.27265151515151503</v>
      </c>
      <c r="U77" s="1">
        <f t="shared" si="11"/>
        <v>11.943282828282827</v>
      </c>
      <c r="V77" s="3">
        <f t="shared" si="12"/>
        <v>-0.27265151515151587</v>
      </c>
      <c r="W77" s="3">
        <f t="shared" ref="W77:W140" si="13">AVERAGE(V72:V82)</f>
        <v>-0.23206382001836526</v>
      </c>
    </row>
    <row r="78" spans="1:23" x14ac:dyDescent="0.25">
      <c r="A78" t="s">
        <v>16</v>
      </c>
      <c r="C78">
        <v>52.047871800000003</v>
      </c>
      <c r="D78">
        <v>-0.57268300000000005</v>
      </c>
      <c r="E78">
        <v>4</v>
      </c>
      <c r="F78">
        <v>4</v>
      </c>
      <c r="G78">
        <v>2022</v>
      </c>
      <c r="H78">
        <v>13</v>
      </c>
      <c r="I78">
        <v>55</v>
      </c>
      <c r="J78">
        <v>23.5</v>
      </c>
      <c r="K78">
        <v>43.84</v>
      </c>
      <c r="L78">
        <v>0</v>
      </c>
      <c r="M78">
        <v>42.642000000000003</v>
      </c>
      <c r="N78">
        <v>0.66600000000000004</v>
      </c>
      <c r="P78" s="1">
        <f t="shared" si="8"/>
        <v>11.845000000000001</v>
      </c>
      <c r="Q78" s="3">
        <f t="shared" si="9"/>
        <v>-1.0388888888888737</v>
      </c>
      <c r="R78" s="3">
        <f t="shared" si="10"/>
        <v>-0.306111111111111</v>
      </c>
      <c r="S78" s="3">
        <f t="shared" si="7"/>
        <v>-0.28381313131313118</v>
      </c>
      <c r="U78" s="1">
        <f t="shared" si="11"/>
        <v>11.913181818181819</v>
      </c>
      <c r="V78" s="3">
        <f t="shared" si="12"/>
        <v>-0.28381313131312957</v>
      </c>
      <c r="W78" s="3">
        <f t="shared" si="13"/>
        <v>-0.23934573002754789</v>
      </c>
    </row>
    <row r="79" spans="1:23" x14ac:dyDescent="0.25">
      <c r="A79" t="s">
        <v>16</v>
      </c>
      <c r="C79">
        <v>52.047881599999997</v>
      </c>
      <c r="D79">
        <v>-0.57269000000000003</v>
      </c>
      <c r="E79">
        <v>4</v>
      </c>
      <c r="F79">
        <v>4</v>
      </c>
      <c r="G79">
        <v>2022</v>
      </c>
      <c r="H79">
        <v>13</v>
      </c>
      <c r="I79">
        <v>55</v>
      </c>
      <c r="J79">
        <v>23.6</v>
      </c>
      <c r="K79">
        <v>43.86</v>
      </c>
      <c r="L79">
        <v>0</v>
      </c>
      <c r="M79">
        <v>42.515999999999998</v>
      </c>
      <c r="N79">
        <v>0.66200000000000003</v>
      </c>
      <c r="P79" s="1">
        <f t="shared" si="8"/>
        <v>11.81</v>
      </c>
      <c r="Q79" s="3">
        <f t="shared" si="9"/>
        <v>-0.35000000000000142</v>
      </c>
      <c r="R79" s="3">
        <f t="shared" si="10"/>
        <v>-0.38805555555555671</v>
      </c>
      <c r="S79" s="3">
        <f t="shared" si="7"/>
        <v>-0.28409090909090912</v>
      </c>
      <c r="U79" s="1">
        <f t="shared" si="11"/>
        <v>11.883989898989899</v>
      </c>
      <c r="V79" s="3">
        <f t="shared" si="12"/>
        <v>-0.28409090909091006</v>
      </c>
      <c r="W79" s="3">
        <f t="shared" si="13"/>
        <v>-0.24126262626262618</v>
      </c>
    </row>
    <row r="80" spans="1:23" x14ac:dyDescent="0.25">
      <c r="A80" t="s">
        <v>16</v>
      </c>
      <c r="C80">
        <v>52.047891499999999</v>
      </c>
      <c r="D80">
        <v>-0.57269709999999996</v>
      </c>
      <c r="E80">
        <v>4</v>
      </c>
      <c r="F80">
        <v>4</v>
      </c>
      <c r="G80">
        <v>2022</v>
      </c>
      <c r="H80">
        <v>13</v>
      </c>
      <c r="I80">
        <v>55</v>
      </c>
      <c r="J80">
        <v>23.7</v>
      </c>
      <c r="K80">
        <v>43.89</v>
      </c>
      <c r="L80">
        <v>0</v>
      </c>
      <c r="M80">
        <v>42.79</v>
      </c>
      <c r="N80">
        <v>0.68</v>
      </c>
      <c r="P80" s="1">
        <f t="shared" si="8"/>
        <v>11.886111111111111</v>
      </c>
      <c r="Q80" s="3">
        <f t="shared" si="9"/>
        <v>0.76111111111110574</v>
      </c>
      <c r="R80" s="3">
        <f t="shared" si="10"/>
        <v>-0.27888888888888808</v>
      </c>
      <c r="S80" s="3">
        <f t="shared" si="7"/>
        <v>-0.27457070707070713</v>
      </c>
      <c r="U80" s="1">
        <f t="shared" si="11"/>
        <v>11.847904040404041</v>
      </c>
      <c r="V80" s="3">
        <f t="shared" si="12"/>
        <v>-0.27457070707070663</v>
      </c>
      <c r="W80" s="3">
        <f t="shared" si="13"/>
        <v>-0.23559917355371904</v>
      </c>
    </row>
    <row r="81" spans="1:23" x14ac:dyDescent="0.25">
      <c r="A81" t="s">
        <v>16</v>
      </c>
      <c r="C81">
        <v>52.047901099999997</v>
      </c>
      <c r="D81">
        <v>-0.57270399999999999</v>
      </c>
      <c r="E81">
        <v>4</v>
      </c>
      <c r="F81">
        <v>4</v>
      </c>
      <c r="G81">
        <v>2022</v>
      </c>
      <c r="H81">
        <v>13</v>
      </c>
      <c r="I81">
        <v>55</v>
      </c>
      <c r="J81">
        <v>23.8</v>
      </c>
      <c r="K81">
        <v>43.85</v>
      </c>
      <c r="L81">
        <v>0</v>
      </c>
      <c r="M81">
        <v>42.548000000000002</v>
      </c>
      <c r="N81">
        <v>0.68799999999999994</v>
      </c>
      <c r="P81" s="1">
        <f t="shared" si="8"/>
        <v>11.818888888888889</v>
      </c>
      <c r="Q81" s="3">
        <f t="shared" si="9"/>
        <v>-0.67222222222222072</v>
      </c>
      <c r="R81" s="3">
        <f t="shared" si="10"/>
        <v>-0.20805555555555699</v>
      </c>
      <c r="S81" s="3">
        <f t="shared" si="7"/>
        <v>-0.26520202020202033</v>
      </c>
      <c r="U81" s="1">
        <f t="shared" si="11"/>
        <v>11.821717171717172</v>
      </c>
      <c r="V81" s="3">
        <f t="shared" si="12"/>
        <v>-0.26520202020201999</v>
      </c>
      <c r="W81" s="3">
        <f t="shared" si="13"/>
        <v>-0.22464646464646487</v>
      </c>
    </row>
    <row r="82" spans="1:23" x14ac:dyDescent="0.25">
      <c r="A82" t="s">
        <v>16</v>
      </c>
      <c r="C82">
        <v>52.047910600000002</v>
      </c>
      <c r="D82">
        <v>-0.57271110000000003</v>
      </c>
      <c r="E82">
        <v>4</v>
      </c>
      <c r="F82">
        <v>4</v>
      </c>
      <c r="G82">
        <v>2022</v>
      </c>
      <c r="H82">
        <v>13</v>
      </c>
      <c r="I82">
        <v>55</v>
      </c>
      <c r="J82">
        <v>23.9</v>
      </c>
      <c r="K82">
        <v>43.85</v>
      </c>
      <c r="L82">
        <v>0</v>
      </c>
      <c r="M82">
        <v>42.127000000000002</v>
      </c>
      <c r="N82">
        <v>0.70899999999999996</v>
      </c>
      <c r="P82" s="1">
        <f t="shared" si="8"/>
        <v>11.701944444444445</v>
      </c>
      <c r="Q82" s="3">
        <f t="shared" si="9"/>
        <v>-1.1694444444444407</v>
      </c>
      <c r="R82" s="3">
        <f t="shared" si="10"/>
        <v>-0.33694444444444294</v>
      </c>
      <c r="S82" s="3">
        <f t="shared" si="7"/>
        <v>-0.24181818181818199</v>
      </c>
      <c r="U82" s="1">
        <f t="shared" si="11"/>
        <v>11.790075757575757</v>
      </c>
      <c r="V82" s="3">
        <f t="shared" si="12"/>
        <v>-0.24181818181818215</v>
      </c>
      <c r="W82" s="3">
        <f t="shared" si="13"/>
        <v>-0.20886593204775022</v>
      </c>
    </row>
    <row r="83" spans="1:23" x14ac:dyDescent="0.25">
      <c r="A83" t="s">
        <v>16</v>
      </c>
      <c r="C83">
        <v>52.047920499999996</v>
      </c>
      <c r="D83">
        <v>-0.5727179</v>
      </c>
      <c r="E83">
        <v>4</v>
      </c>
      <c r="F83">
        <v>4</v>
      </c>
      <c r="G83">
        <v>2022</v>
      </c>
      <c r="H83">
        <v>13</v>
      </c>
      <c r="I83">
        <v>55</v>
      </c>
      <c r="J83">
        <v>24</v>
      </c>
      <c r="K83">
        <v>43.86</v>
      </c>
      <c r="L83">
        <v>0</v>
      </c>
      <c r="M83">
        <v>42.426000000000002</v>
      </c>
      <c r="N83">
        <v>0.70899999999999996</v>
      </c>
      <c r="P83" s="1">
        <f t="shared" si="8"/>
        <v>11.785</v>
      </c>
      <c r="Q83" s="3">
        <f t="shared" si="9"/>
        <v>0.83055555555555216</v>
      </c>
      <c r="R83" s="3">
        <f t="shared" si="10"/>
        <v>-0.2219444444444445</v>
      </c>
      <c r="S83" s="3">
        <f t="shared" ref="S83:S146" si="14">AVERAGE(R78:R88)</f>
        <v>-0.20398989898989922</v>
      </c>
      <c r="U83" s="1">
        <f t="shared" si="11"/>
        <v>11.760454545454547</v>
      </c>
      <c r="V83" s="3">
        <f t="shared" si="12"/>
        <v>-0.20398989898989761</v>
      </c>
      <c r="W83" s="3">
        <f t="shared" si="13"/>
        <v>-0.18666437098255287</v>
      </c>
    </row>
    <row r="84" spans="1:23" x14ac:dyDescent="0.25">
      <c r="A84" t="s">
        <v>16</v>
      </c>
      <c r="C84">
        <v>52.047930200000003</v>
      </c>
      <c r="D84">
        <v>-0.57272489999999998</v>
      </c>
      <c r="E84">
        <v>4</v>
      </c>
      <c r="F84">
        <v>4</v>
      </c>
      <c r="G84">
        <v>2022</v>
      </c>
      <c r="H84">
        <v>13</v>
      </c>
      <c r="I84">
        <v>55</v>
      </c>
      <c r="J84">
        <v>24.1</v>
      </c>
      <c r="K84">
        <v>43.88</v>
      </c>
      <c r="L84">
        <v>0</v>
      </c>
      <c r="M84">
        <v>42.372</v>
      </c>
      <c r="N84">
        <v>0.70599999999999996</v>
      </c>
      <c r="P84" s="1">
        <f t="shared" si="8"/>
        <v>11.77</v>
      </c>
      <c r="Q84" s="3">
        <f t="shared" si="9"/>
        <v>-0.15000000000000568</v>
      </c>
      <c r="R84" s="3">
        <f t="shared" si="10"/>
        <v>-0.20000000000000107</v>
      </c>
      <c r="S84" s="3">
        <f t="shared" si="14"/>
        <v>-0.1728030303030306</v>
      </c>
      <c r="U84" s="1">
        <f t="shared" si="11"/>
        <v>11.739090909090908</v>
      </c>
      <c r="V84" s="3">
        <f t="shared" si="12"/>
        <v>-0.17280303030303124</v>
      </c>
      <c r="W84" s="3">
        <f t="shared" si="13"/>
        <v>-0.16118457300275502</v>
      </c>
    </row>
    <row r="85" spans="1:23" x14ac:dyDescent="0.25">
      <c r="A85" t="s">
        <v>16</v>
      </c>
      <c r="C85">
        <v>52.047939800000002</v>
      </c>
      <c r="D85">
        <v>-0.57273209999999997</v>
      </c>
      <c r="E85">
        <v>4</v>
      </c>
      <c r="F85">
        <v>4</v>
      </c>
      <c r="G85">
        <v>2022</v>
      </c>
      <c r="H85">
        <v>13</v>
      </c>
      <c r="I85">
        <v>55</v>
      </c>
      <c r="J85">
        <v>24.2</v>
      </c>
      <c r="K85">
        <v>43.89</v>
      </c>
      <c r="L85">
        <v>0</v>
      </c>
      <c r="M85">
        <v>42.34</v>
      </c>
      <c r="N85">
        <v>0.70599999999999996</v>
      </c>
      <c r="P85" s="1">
        <f t="shared" si="8"/>
        <v>11.761111111111111</v>
      </c>
      <c r="Q85" s="3">
        <f t="shared" si="9"/>
        <v>-8.888888888888502E-2</v>
      </c>
      <c r="R85" s="3">
        <f t="shared" si="10"/>
        <v>-0.18416666666666615</v>
      </c>
      <c r="S85" s="3">
        <f t="shared" si="14"/>
        <v>-0.1246212121212123</v>
      </c>
      <c r="U85" s="1">
        <f t="shared" si="11"/>
        <v>11.729267676767677</v>
      </c>
      <c r="V85" s="3">
        <f t="shared" si="12"/>
        <v>-0.12462121212121247</v>
      </c>
      <c r="W85" s="3">
        <f t="shared" si="13"/>
        <v>-0.13374426078971557</v>
      </c>
    </row>
    <row r="86" spans="1:23" x14ac:dyDescent="0.25">
      <c r="A86" t="s">
        <v>16</v>
      </c>
      <c r="C86">
        <v>52.047949600000003</v>
      </c>
      <c r="D86">
        <v>-0.57273929999999995</v>
      </c>
      <c r="E86">
        <v>4</v>
      </c>
      <c r="F86">
        <v>4</v>
      </c>
      <c r="G86">
        <v>2022</v>
      </c>
      <c r="H86">
        <v>13</v>
      </c>
      <c r="I86">
        <v>55</v>
      </c>
      <c r="J86">
        <v>24.3</v>
      </c>
      <c r="K86">
        <v>43.93</v>
      </c>
      <c r="L86">
        <v>0</v>
      </c>
      <c r="M86">
        <v>42.307000000000002</v>
      </c>
      <c r="N86">
        <v>0.70199999999999996</v>
      </c>
      <c r="P86" s="1">
        <f t="shared" si="8"/>
        <v>11.751944444444444</v>
      </c>
      <c r="Q86" s="3">
        <f t="shared" si="9"/>
        <v>-9.1666666666672114E-2</v>
      </c>
      <c r="R86" s="3">
        <f t="shared" si="10"/>
        <v>-0.14777777777777779</v>
      </c>
      <c r="S86" s="3">
        <f t="shared" si="14"/>
        <v>-0.10325757575757599</v>
      </c>
      <c r="U86" s="1">
        <f t="shared" si="11"/>
        <v>11.709722222222222</v>
      </c>
      <c r="V86" s="3">
        <f t="shared" si="12"/>
        <v>-0.10325757575757777</v>
      </c>
      <c r="W86" s="3">
        <f t="shared" si="13"/>
        <v>-0.10564738292011035</v>
      </c>
    </row>
    <row r="87" spans="1:23" x14ac:dyDescent="0.25">
      <c r="A87" t="s">
        <v>16</v>
      </c>
      <c r="C87">
        <v>52.0479591</v>
      </c>
      <c r="D87">
        <v>-0.57274610000000004</v>
      </c>
      <c r="E87">
        <v>4</v>
      </c>
      <c r="F87">
        <v>4</v>
      </c>
      <c r="G87">
        <v>2022</v>
      </c>
      <c r="H87">
        <v>13</v>
      </c>
      <c r="I87">
        <v>55</v>
      </c>
      <c r="J87">
        <v>24.4</v>
      </c>
      <c r="K87">
        <v>43.95</v>
      </c>
      <c r="L87">
        <v>0</v>
      </c>
      <c r="M87">
        <v>41.802999999999997</v>
      </c>
      <c r="N87">
        <v>0.70199999999999996</v>
      </c>
      <c r="P87" s="1">
        <f t="shared" si="8"/>
        <v>11.611944444444445</v>
      </c>
      <c r="Q87" s="3">
        <f t="shared" si="9"/>
        <v>-1.3999999999999879</v>
      </c>
      <c r="R87" s="3">
        <f t="shared" si="10"/>
        <v>2.6111111111109864E-2</v>
      </c>
      <c r="S87" s="3">
        <f t="shared" si="14"/>
        <v>-7.070707070707094E-2</v>
      </c>
      <c r="U87" s="1">
        <f t="shared" si="11"/>
        <v>11.701464646464645</v>
      </c>
      <c r="V87" s="3">
        <f t="shared" si="12"/>
        <v>-7.0707070707069164E-2</v>
      </c>
      <c r="W87" s="3">
        <f t="shared" si="13"/>
        <v>-7.6602387511478465E-2</v>
      </c>
    </row>
    <row r="88" spans="1:23" x14ac:dyDescent="0.25">
      <c r="A88" t="s">
        <v>16</v>
      </c>
      <c r="C88">
        <v>52.047968900000001</v>
      </c>
      <c r="D88">
        <v>-0.57275279999999995</v>
      </c>
      <c r="E88">
        <v>4</v>
      </c>
      <c r="F88">
        <v>4</v>
      </c>
      <c r="G88">
        <v>2022</v>
      </c>
      <c r="H88">
        <v>13</v>
      </c>
      <c r="I88">
        <v>55</v>
      </c>
      <c r="J88">
        <v>24.5</v>
      </c>
      <c r="K88">
        <v>43.98</v>
      </c>
      <c r="L88">
        <v>0</v>
      </c>
      <c r="M88">
        <v>41.843000000000004</v>
      </c>
      <c r="N88">
        <v>0.67700000000000005</v>
      </c>
      <c r="P88" s="1">
        <f t="shared" si="8"/>
        <v>11.623055555555556</v>
      </c>
      <c r="Q88" s="3">
        <f t="shared" si="9"/>
        <v>0.11111111111111072</v>
      </c>
      <c r="R88" s="3">
        <f t="shared" si="10"/>
        <v>1.9444444444438602E-3</v>
      </c>
      <c r="S88" s="3">
        <f t="shared" si="14"/>
        <v>-2.8434343434343843E-2</v>
      </c>
      <c r="U88" s="1">
        <f t="shared" si="11"/>
        <v>11.709191919191921</v>
      </c>
      <c r="V88" s="3">
        <f t="shared" si="12"/>
        <v>-2.8434343434344811E-2</v>
      </c>
      <c r="W88" s="3">
        <f t="shared" si="13"/>
        <v>-4.8898071625344451E-2</v>
      </c>
    </row>
    <row r="89" spans="1:23" x14ac:dyDescent="0.25">
      <c r="A89" t="s">
        <v>16</v>
      </c>
      <c r="C89">
        <v>52.0479786</v>
      </c>
      <c r="D89">
        <v>-0.57275969999999998</v>
      </c>
      <c r="E89">
        <v>4</v>
      </c>
      <c r="F89">
        <v>4</v>
      </c>
      <c r="G89">
        <v>2022</v>
      </c>
      <c r="H89">
        <v>13</v>
      </c>
      <c r="I89">
        <v>55</v>
      </c>
      <c r="J89">
        <v>24.6</v>
      </c>
      <c r="K89">
        <v>44.02</v>
      </c>
      <c r="L89">
        <v>0</v>
      </c>
      <c r="M89">
        <v>41.795999999999999</v>
      </c>
      <c r="N89">
        <v>0.66200000000000003</v>
      </c>
      <c r="P89" s="1">
        <f t="shared" si="8"/>
        <v>11.61</v>
      </c>
      <c r="Q89" s="3">
        <f t="shared" si="9"/>
        <v>-0.13055555555556708</v>
      </c>
      <c r="R89" s="3">
        <f t="shared" si="10"/>
        <v>3.6944444444444002E-2</v>
      </c>
      <c r="S89" s="3">
        <f t="shared" si="14"/>
        <v>-3.5353535353539263E-3</v>
      </c>
      <c r="U89" s="1">
        <f t="shared" si="11"/>
        <v>11.711186868686868</v>
      </c>
      <c r="V89" s="3">
        <f t="shared" si="12"/>
        <v>-3.5353535353532806E-3</v>
      </c>
      <c r="W89" s="3">
        <f t="shared" si="13"/>
        <v>-2.3946280991735722E-2</v>
      </c>
    </row>
    <row r="90" spans="1:23" x14ac:dyDescent="0.25">
      <c r="A90" t="s">
        <v>16</v>
      </c>
      <c r="C90">
        <v>52.047988599999996</v>
      </c>
      <c r="D90">
        <v>-0.57276640000000001</v>
      </c>
      <c r="E90">
        <v>4</v>
      </c>
      <c r="F90">
        <v>4</v>
      </c>
      <c r="G90">
        <v>2022</v>
      </c>
      <c r="H90">
        <v>13</v>
      </c>
      <c r="I90">
        <v>55</v>
      </c>
      <c r="J90">
        <v>24.7</v>
      </c>
      <c r="K90">
        <v>44.05</v>
      </c>
      <c r="L90">
        <v>0</v>
      </c>
      <c r="M90">
        <v>42.127000000000002</v>
      </c>
      <c r="N90">
        <v>0.65900000000000003</v>
      </c>
      <c r="P90" s="1">
        <f t="shared" si="8"/>
        <v>11.701944444444445</v>
      </c>
      <c r="Q90" s="3">
        <f t="shared" si="9"/>
        <v>0.91944444444445494</v>
      </c>
      <c r="R90" s="3">
        <f t="shared" si="10"/>
        <v>0.14194444444444443</v>
      </c>
      <c r="S90" s="3">
        <f t="shared" si="14"/>
        <v>1.7752525252524878E-2</v>
      </c>
      <c r="U90" s="1">
        <f t="shared" si="11"/>
        <v>11.723282828282828</v>
      </c>
      <c r="V90" s="3">
        <f t="shared" si="12"/>
        <v>1.775252525252391E-2</v>
      </c>
      <c r="W90" s="3">
        <f t="shared" si="13"/>
        <v>-1.8870523415980176E-3</v>
      </c>
    </row>
    <row r="91" spans="1:23" x14ac:dyDescent="0.25">
      <c r="A91" t="s">
        <v>16</v>
      </c>
      <c r="C91">
        <v>52.047998300000003</v>
      </c>
      <c r="D91">
        <v>-0.57277250000000002</v>
      </c>
      <c r="E91">
        <v>4</v>
      </c>
      <c r="F91">
        <v>4</v>
      </c>
      <c r="G91">
        <v>2022</v>
      </c>
      <c r="H91">
        <v>13</v>
      </c>
      <c r="I91">
        <v>55</v>
      </c>
      <c r="J91">
        <v>24.8</v>
      </c>
      <c r="K91">
        <v>44.04</v>
      </c>
      <c r="L91">
        <v>0</v>
      </c>
      <c r="M91">
        <v>42.015999999999998</v>
      </c>
      <c r="N91">
        <v>0.64400000000000002</v>
      </c>
      <c r="P91" s="1">
        <f t="shared" si="8"/>
        <v>11.671111111111111</v>
      </c>
      <c r="Q91" s="3">
        <f t="shared" si="9"/>
        <v>-0.30833333333333712</v>
      </c>
      <c r="R91" s="3">
        <f t="shared" si="10"/>
        <v>-4.3888888888888644E-2</v>
      </c>
      <c r="S91" s="3">
        <f t="shared" si="14"/>
        <v>3.4494949494949072E-2</v>
      </c>
      <c r="U91" s="1">
        <f t="shared" si="11"/>
        <v>11.718459595959594</v>
      </c>
      <c r="V91" s="3">
        <f t="shared" si="12"/>
        <v>3.4494949494950689E-2</v>
      </c>
      <c r="W91" s="3">
        <f t="shared" si="13"/>
        <v>1.6841138659320555E-2</v>
      </c>
    </row>
    <row r="92" spans="1:23" x14ac:dyDescent="0.25">
      <c r="A92" t="s">
        <v>16</v>
      </c>
      <c r="C92">
        <v>52.048008099999997</v>
      </c>
      <c r="D92">
        <v>-0.57277909999999999</v>
      </c>
      <c r="E92">
        <v>4</v>
      </c>
      <c r="F92">
        <v>4</v>
      </c>
      <c r="G92">
        <v>2022</v>
      </c>
      <c r="H92">
        <v>13</v>
      </c>
      <c r="I92">
        <v>55</v>
      </c>
      <c r="J92">
        <v>24.9</v>
      </c>
      <c r="K92">
        <v>44.03</v>
      </c>
      <c r="L92">
        <v>0</v>
      </c>
      <c r="M92">
        <v>42.220999999999997</v>
      </c>
      <c r="N92">
        <v>0.63</v>
      </c>
      <c r="P92" s="1">
        <f t="shared" si="8"/>
        <v>11.728055555555555</v>
      </c>
      <c r="Q92" s="3">
        <f t="shared" si="9"/>
        <v>0.56944444444443576</v>
      </c>
      <c r="R92" s="3">
        <f t="shared" si="10"/>
        <v>0.14999999999999858</v>
      </c>
      <c r="S92" s="3">
        <f t="shared" si="14"/>
        <v>5.42929292929289E-2</v>
      </c>
      <c r="U92" s="1">
        <f t="shared" si="11"/>
        <v>11.719368686868687</v>
      </c>
      <c r="V92" s="3">
        <f t="shared" si="12"/>
        <v>5.4292929292930836E-2</v>
      </c>
      <c r="W92" s="3">
        <f t="shared" si="13"/>
        <v>3.5642791551882554E-2</v>
      </c>
    </row>
    <row r="93" spans="1:23" x14ac:dyDescent="0.25">
      <c r="A93" t="s">
        <v>16</v>
      </c>
      <c r="C93">
        <v>52.048017700000003</v>
      </c>
      <c r="D93">
        <v>-0.57278569999999995</v>
      </c>
      <c r="E93">
        <v>4</v>
      </c>
      <c r="F93">
        <v>4</v>
      </c>
      <c r="G93">
        <v>2022</v>
      </c>
      <c r="H93">
        <v>13</v>
      </c>
      <c r="I93">
        <v>55</v>
      </c>
      <c r="J93">
        <v>25</v>
      </c>
      <c r="K93">
        <v>44</v>
      </c>
      <c r="L93">
        <v>0</v>
      </c>
      <c r="M93">
        <v>42.433</v>
      </c>
      <c r="N93">
        <v>0.61599999999999999</v>
      </c>
      <c r="P93" s="1">
        <f t="shared" si="8"/>
        <v>11.786944444444444</v>
      </c>
      <c r="Q93" s="3">
        <f t="shared" si="9"/>
        <v>0.58888888888889213</v>
      </c>
      <c r="R93" s="3">
        <f t="shared" si="10"/>
        <v>0.12805555555555515</v>
      </c>
      <c r="S93" s="3">
        <f t="shared" si="14"/>
        <v>6.2929292929292752E-2</v>
      </c>
      <c r="U93" s="1">
        <f t="shared" si="11"/>
        <v>11.732020202020202</v>
      </c>
      <c r="V93" s="3">
        <f t="shared" si="12"/>
        <v>6.2929292929291947E-2</v>
      </c>
      <c r="W93" s="3">
        <f t="shared" si="13"/>
        <v>5.3558310376492196E-2</v>
      </c>
    </row>
    <row r="94" spans="1:23" x14ac:dyDescent="0.25">
      <c r="A94" t="s">
        <v>16</v>
      </c>
      <c r="C94">
        <v>52.048027300000001</v>
      </c>
      <c r="D94">
        <v>-0.57279230000000003</v>
      </c>
      <c r="E94">
        <v>4</v>
      </c>
      <c r="F94">
        <v>4</v>
      </c>
      <c r="G94">
        <v>2022</v>
      </c>
      <c r="H94">
        <v>13</v>
      </c>
      <c r="I94">
        <v>55</v>
      </c>
      <c r="J94">
        <v>25.1</v>
      </c>
      <c r="K94">
        <v>43.96</v>
      </c>
      <c r="L94">
        <v>0</v>
      </c>
      <c r="M94">
        <v>42.505000000000003</v>
      </c>
      <c r="N94">
        <v>0.626</v>
      </c>
      <c r="P94" s="1">
        <f t="shared" si="8"/>
        <v>11.806944444444444</v>
      </c>
      <c r="Q94" s="3">
        <f t="shared" si="9"/>
        <v>0.19999999999999574</v>
      </c>
      <c r="R94" s="3">
        <f t="shared" si="10"/>
        <v>5.1944444444444571E-2</v>
      </c>
      <c r="S94" s="3">
        <f t="shared" si="14"/>
        <v>7.0479797979797934E-2</v>
      </c>
      <c r="U94" s="1">
        <f t="shared" si="11"/>
        <v>11.735555555555555</v>
      </c>
      <c r="V94" s="3">
        <f t="shared" si="12"/>
        <v>7.047979797979842E-2</v>
      </c>
      <c r="W94" s="3">
        <f t="shared" si="13"/>
        <v>7.0167584940312236E-2</v>
      </c>
    </row>
    <row r="95" spans="1:23" x14ac:dyDescent="0.25">
      <c r="A95" t="s">
        <v>16</v>
      </c>
      <c r="C95">
        <v>52.048037000000001</v>
      </c>
      <c r="D95">
        <v>-0.5727989</v>
      </c>
      <c r="E95">
        <v>4</v>
      </c>
      <c r="F95">
        <v>4</v>
      </c>
      <c r="G95">
        <v>2022</v>
      </c>
      <c r="H95">
        <v>13</v>
      </c>
      <c r="I95">
        <v>55</v>
      </c>
      <c r="J95">
        <v>25.2</v>
      </c>
      <c r="K95">
        <v>43.91</v>
      </c>
      <c r="L95">
        <v>0</v>
      </c>
      <c r="M95">
        <v>42.850999999999999</v>
      </c>
      <c r="N95">
        <v>0.64100000000000001</v>
      </c>
      <c r="P95" s="1">
        <f t="shared" si="8"/>
        <v>11.903055555555556</v>
      </c>
      <c r="Q95" s="3">
        <f t="shared" si="9"/>
        <v>0.96111111111111924</v>
      </c>
      <c r="R95" s="3">
        <f t="shared" si="10"/>
        <v>3.416666666666579E-2</v>
      </c>
      <c r="S95" s="3">
        <f t="shared" si="14"/>
        <v>6.9848484848484785E-2</v>
      </c>
      <c r="U95" s="1">
        <f t="shared" si="11"/>
        <v>11.747020202020201</v>
      </c>
      <c r="V95" s="3">
        <f t="shared" si="12"/>
        <v>6.9848484848483494E-2</v>
      </c>
      <c r="W95" s="3">
        <f t="shared" si="13"/>
        <v>8.6884756657483825E-2</v>
      </c>
    </row>
    <row r="96" spans="1:23" x14ac:dyDescent="0.25">
      <c r="A96" t="s">
        <v>16</v>
      </c>
      <c r="C96">
        <v>52.048046300000003</v>
      </c>
      <c r="D96">
        <v>-0.57280560000000003</v>
      </c>
      <c r="E96">
        <v>4</v>
      </c>
      <c r="F96">
        <v>4</v>
      </c>
      <c r="G96">
        <v>2022</v>
      </c>
      <c r="H96">
        <v>13</v>
      </c>
      <c r="I96">
        <v>55</v>
      </c>
      <c r="J96">
        <v>25.3</v>
      </c>
      <c r="K96">
        <v>43.88</v>
      </c>
      <c r="L96">
        <v>0</v>
      </c>
      <c r="M96">
        <v>42.149000000000001</v>
      </c>
      <c r="N96">
        <v>0.64400000000000002</v>
      </c>
      <c r="P96" s="1">
        <f t="shared" si="8"/>
        <v>11.708055555555555</v>
      </c>
      <c r="Q96" s="3">
        <f t="shared" si="9"/>
        <v>-1.9500000000000028</v>
      </c>
      <c r="R96" s="3">
        <f t="shared" si="10"/>
        <v>0</v>
      </c>
      <c r="S96" s="3">
        <f t="shared" si="14"/>
        <v>8.1388888888888941E-2</v>
      </c>
      <c r="U96" s="1">
        <f t="shared" si="11"/>
        <v>11.744217171717173</v>
      </c>
      <c r="V96" s="3">
        <f t="shared" si="12"/>
        <v>8.1388888888891842E-2</v>
      </c>
      <c r="W96" s="3">
        <f t="shared" si="13"/>
        <v>0.10538337924701531</v>
      </c>
    </row>
    <row r="97" spans="1:23" x14ac:dyDescent="0.25">
      <c r="A97" t="s">
        <v>16</v>
      </c>
      <c r="C97">
        <v>52.048055900000001</v>
      </c>
      <c r="D97">
        <v>-0.5728124</v>
      </c>
      <c r="E97">
        <v>4</v>
      </c>
      <c r="F97">
        <v>4</v>
      </c>
      <c r="G97">
        <v>2022</v>
      </c>
      <c r="H97">
        <v>13</v>
      </c>
      <c r="I97">
        <v>55</v>
      </c>
      <c r="J97">
        <v>25.4</v>
      </c>
      <c r="K97">
        <v>43.85</v>
      </c>
      <c r="L97">
        <v>0</v>
      </c>
      <c r="M97">
        <v>42.343000000000004</v>
      </c>
      <c r="N97">
        <v>0.63</v>
      </c>
      <c r="P97" s="1">
        <f t="shared" si="8"/>
        <v>11.761944444444444</v>
      </c>
      <c r="Q97" s="3">
        <f t="shared" si="9"/>
        <v>0.53888888888888431</v>
      </c>
      <c r="R97" s="3">
        <f t="shared" si="10"/>
        <v>7.0000000000000284E-2</v>
      </c>
      <c r="S97" s="3">
        <f t="shared" si="14"/>
        <v>0.10356060606060619</v>
      </c>
      <c r="U97" s="1">
        <f t="shared" si="11"/>
        <v>11.755757575757576</v>
      </c>
      <c r="V97" s="3">
        <f t="shared" si="12"/>
        <v>0.10356060606060424</v>
      </c>
      <c r="W97" s="3">
        <f t="shared" si="13"/>
        <v>0.12498852157943025</v>
      </c>
    </row>
    <row r="98" spans="1:23" x14ac:dyDescent="0.25">
      <c r="A98" t="s">
        <v>16</v>
      </c>
      <c r="C98">
        <v>52.048065800000003</v>
      </c>
      <c r="D98">
        <v>-0.57281910000000003</v>
      </c>
      <c r="E98">
        <v>4</v>
      </c>
      <c r="F98">
        <v>4</v>
      </c>
      <c r="G98">
        <v>2022</v>
      </c>
      <c r="H98">
        <v>13</v>
      </c>
      <c r="I98">
        <v>55</v>
      </c>
      <c r="J98">
        <v>25.5</v>
      </c>
      <c r="K98">
        <v>43.87</v>
      </c>
      <c r="L98">
        <v>0</v>
      </c>
      <c r="M98">
        <v>42.304000000000002</v>
      </c>
      <c r="N98">
        <v>0.626</v>
      </c>
      <c r="P98" s="1">
        <f t="shared" si="8"/>
        <v>11.751111111111111</v>
      </c>
      <c r="Q98" s="3">
        <f t="shared" si="9"/>
        <v>-0.10833333333332362</v>
      </c>
      <c r="R98" s="3">
        <f t="shared" si="10"/>
        <v>0.12111111111111228</v>
      </c>
      <c r="S98" s="3">
        <f t="shared" si="14"/>
        <v>0.12636363636363657</v>
      </c>
      <c r="U98" s="1">
        <f t="shared" si="11"/>
        <v>11.772121212121213</v>
      </c>
      <c r="V98" s="3">
        <f t="shared" si="12"/>
        <v>0.1263636363636369</v>
      </c>
      <c r="W98" s="3">
        <f t="shared" si="13"/>
        <v>0.14443755739210201</v>
      </c>
    </row>
    <row r="99" spans="1:23" x14ac:dyDescent="0.25">
      <c r="A99" t="s">
        <v>16</v>
      </c>
      <c r="C99">
        <v>52.048075500000003</v>
      </c>
      <c r="D99">
        <v>-0.5728259</v>
      </c>
      <c r="E99">
        <v>4</v>
      </c>
      <c r="F99">
        <v>4</v>
      </c>
      <c r="G99">
        <v>2022</v>
      </c>
      <c r="H99">
        <v>13</v>
      </c>
      <c r="I99">
        <v>55</v>
      </c>
      <c r="J99">
        <v>25.6</v>
      </c>
      <c r="K99">
        <v>43.9</v>
      </c>
      <c r="L99">
        <v>0</v>
      </c>
      <c r="M99">
        <v>41.982999999999997</v>
      </c>
      <c r="N99">
        <v>0.58699999999999997</v>
      </c>
      <c r="P99" s="1">
        <f t="shared" si="8"/>
        <v>11.661944444444444</v>
      </c>
      <c r="Q99" s="3">
        <f t="shared" si="9"/>
        <v>-0.89166666666667282</v>
      </c>
      <c r="R99" s="3">
        <f t="shared" si="10"/>
        <v>8.5000000000000853E-2</v>
      </c>
      <c r="S99" s="3">
        <f t="shared" si="14"/>
        <v>0.15426767676767705</v>
      </c>
      <c r="U99" s="1">
        <f t="shared" si="11"/>
        <v>11.781666666666666</v>
      </c>
      <c r="V99" s="3">
        <f t="shared" si="12"/>
        <v>0.15426767676767561</v>
      </c>
      <c r="W99" s="3">
        <f t="shared" si="13"/>
        <v>0.16403581267217551</v>
      </c>
    </row>
    <row r="100" spans="1:23" x14ac:dyDescent="0.25">
      <c r="A100" t="s">
        <v>16</v>
      </c>
      <c r="C100">
        <v>52.048085399999998</v>
      </c>
      <c r="D100">
        <v>-0.57283260000000003</v>
      </c>
      <c r="E100">
        <v>4</v>
      </c>
      <c r="F100">
        <v>4</v>
      </c>
      <c r="G100">
        <v>2022</v>
      </c>
      <c r="H100">
        <v>13</v>
      </c>
      <c r="I100">
        <v>55</v>
      </c>
      <c r="J100">
        <v>25.7</v>
      </c>
      <c r="K100">
        <v>43.92</v>
      </c>
      <c r="L100">
        <v>0</v>
      </c>
      <c r="M100">
        <v>42.25</v>
      </c>
      <c r="N100">
        <v>0.59399999999999997</v>
      </c>
      <c r="P100" s="1">
        <f t="shared" si="8"/>
        <v>11.736111111111111</v>
      </c>
      <c r="Q100" s="3">
        <f t="shared" si="9"/>
        <v>0.74166666666666714</v>
      </c>
      <c r="R100" s="3">
        <f t="shared" si="10"/>
        <v>2.9999999999999361E-2</v>
      </c>
      <c r="S100" s="3">
        <f t="shared" si="14"/>
        <v>0.1803535353535356</v>
      </c>
      <c r="U100" s="1">
        <f t="shared" si="11"/>
        <v>11.793131313131312</v>
      </c>
      <c r="V100" s="3">
        <f t="shared" si="12"/>
        <v>0.18035353535353416</v>
      </c>
      <c r="W100" s="3">
        <f t="shared" si="13"/>
        <v>0.18388200183654649</v>
      </c>
    </row>
    <row r="101" spans="1:23" x14ac:dyDescent="0.25">
      <c r="A101" t="s">
        <v>16</v>
      </c>
      <c r="C101">
        <v>52.048095400000001</v>
      </c>
      <c r="D101">
        <v>-0.57283910000000005</v>
      </c>
      <c r="E101">
        <v>4</v>
      </c>
      <c r="F101">
        <v>4</v>
      </c>
      <c r="G101">
        <v>2022</v>
      </c>
      <c r="H101">
        <v>13</v>
      </c>
      <c r="I101">
        <v>55</v>
      </c>
      <c r="J101">
        <v>25.8</v>
      </c>
      <c r="K101">
        <v>43.98</v>
      </c>
      <c r="L101">
        <v>0</v>
      </c>
      <c r="M101">
        <v>42.015999999999998</v>
      </c>
      <c r="N101">
        <v>0.59399999999999997</v>
      </c>
      <c r="P101" s="1">
        <f t="shared" si="8"/>
        <v>11.671111111111111</v>
      </c>
      <c r="Q101" s="3">
        <f t="shared" si="9"/>
        <v>-0.64999999999999503</v>
      </c>
      <c r="R101" s="3">
        <f t="shared" si="10"/>
        <v>0.26888888888889007</v>
      </c>
      <c r="S101" s="3">
        <f t="shared" si="14"/>
        <v>0.22123737373737401</v>
      </c>
      <c r="U101" s="1">
        <f t="shared" si="11"/>
        <v>11.799848484848486</v>
      </c>
      <c r="V101" s="3">
        <f t="shared" si="12"/>
        <v>0.22123737373737029</v>
      </c>
      <c r="W101" s="3">
        <f t="shared" si="13"/>
        <v>0.20581037649219394</v>
      </c>
    </row>
    <row r="102" spans="1:23" x14ac:dyDescent="0.25">
      <c r="A102" t="s">
        <v>16</v>
      </c>
      <c r="C102">
        <v>52.048105499999998</v>
      </c>
      <c r="D102">
        <v>-0.57284539999999995</v>
      </c>
      <c r="E102">
        <v>4</v>
      </c>
      <c r="F102">
        <v>4</v>
      </c>
      <c r="G102">
        <v>2022</v>
      </c>
      <c r="H102">
        <v>13</v>
      </c>
      <c r="I102">
        <v>55</v>
      </c>
      <c r="J102">
        <v>25.9</v>
      </c>
      <c r="K102">
        <v>44.02</v>
      </c>
      <c r="L102">
        <v>0</v>
      </c>
      <c r="M102">
        <v>42.472999999999999</v>
      </c>
      <c r="N102">
        <v>0.58699999999999997</v>
      </c>
      <c r="P102" s="1">
        <f t="shared" si="8"/>
        <v>11.798055555555555</v>
      </c>
      <c r="Q102" s="3">
        <f t="shared" si="9"/>
        <v>1.2694444444444386</v>
      </c>
      <c r="R102" s="3">
        <f t="shared" si="10"/>
        <v>0.20000000000000107</v>
      </c>
      <c r="S102" s="3">
        <f t="shared" si="14"/>
        <v>0.25015151515151551</v>
      </c>
      <c r="U102" s="1">
        <f t="shared" si="11"/>
        <v>11.822929292929292</v>
      </c>
      <c r="V102" s="3">
        <f t="shared" si="12"/>
        <v>0.25015151515151501</v>
      </c>
      <c r="W102" s="3">
        <f t="shared" si="13"/>
        <v>0.22724517906336009</v>
      </c>
    </row>
    <row r="103" spans="1:23" x14ac:dyDescent="0.25">
      <c r="A103" t="s">
        <v>16</v>
      </c>
      <c r="C103">
        <v>52.048115799999998</v>
      </c>
      <c r="D103">
        <v>-0.57285129999999995</v>
      </c>
      <c r="E103">
        <v>4</v>
      </c>
      <c r="F103">
        <v>4</v>
      </c>
      <c r="G103">
        <v>2022</v>
      </c>
      <c r="H103">
        <v>13</v>
      </c>
      <c r="I103">
        <v>55</v>
      </c>
      <c r="J103">
        <v>26</v>
      </c>
      <c r="K103">
        <v>44.07</v>
      </c>
      <c r="L103">
        <v>0</v>
      </c>
      <c r="M103">
        <v>42.869</v>
      </c>
      <c r="N103">
        <v>0.57199999999999995</v>
      </c>
      <c r="P103" s="1">
        <f t="shared" si="8"/>
        <v>11.908055555555556</v>
      </c>
      <c r="Q103" s="3">
        <f t="shared" si="9"/>
        <v>1.1000000000000121</v>
      </c>
      <c r="R103" s="3">
        <f t="shared" si="10"/>
        <v>0.40083333333333293</v>
      </c>
      <c r="S103" s="3">
        <f t="shared" si="14"/>
        <v>0.26823232323232349</v>
      </c>
      <c r="U103" s="1">
        <f t="shared" si="11"/>
        <v>11.858383838383839</v>
      </c>
      <c r="V103" s="3">
        <f t="shared" si="12"/>
        <v>0.26823232323232027</v>
      </c>
      <c r="W103" s="3">
        <f t="shared" si="13"/>
        <v>0.24585399449035739</v>
      </c>
    </row>
    <row r="104" spans="1:23" x14ac:dyDescent="0.25">
      <c r="A104" t="s">
        <v>16</v>
      </c>
      <c r="C104">
        <v>52.048126000000003</v>
      </c>
      <c r="D104">
        <v>-0.57285719999999996</v>
      </c>
      <c r="E104">
        <v>4</v>
      </c>
      <c r="F104">
        <v>4</v>
      </c>
      <c r="G104">
        <v>2022</v>
      </c>
      <c r="H104">
        <v>13</v>
      </c>
      <c r="I104">
        <v>55</v>
      </c>
      <c r="J104">
        <v>26.1</v>
      </c>
      <c r="K104">
        <v>44.09</v>
      </c>
      <c r="L104">
        <v>0</v>
      </c>
      <c r="M104">
        <v>42.811</v>
      </c>
      <c r="N104">
        <v>0.61199999999999999</v>
      </c>
      <c r="P104" s="1">
        <f t="shared" si="8"/>
        <v>11.891944444444444</v>
      </c>
      <c r="Q104" s="3">
        <f t="shared" si="9"/>
        <v>-0.16111111111111853</v>
      </c>
      <c r="R104" s="3">
        <f t="shared" si="10"/>
        <v>0.4350000000000005</v>
      </c>
      <c r="S104" s="3">
        <f t="shared" si="14"/>
        <v>0.27851010101010121</v>
      </c>
      <c r="U104" s="1">
        <f t="shared" si="11"/>
        <v>11.889823232323231</v>
      </c>
      <c r="V104" s="3">
        <f t="shared" si="12"/>
        <v>0.27851010101010054</v>
      </c>
      <c r="W104" s="3">
        <f t="shared" si="13"/>
        <v>0.26115243342516015</v>
      </c>
    </row>
    <row r="105" spans="1:23" x14ac:dyDescent="0.25">
      <c r="A105" t="s">
        <v>16</v>
      </c>
      <c r="C105">
        <v>52.048136</v>
      </c>
      <c r="D105">
        <v>-0.57286300000000001</v>
      </c>
      <c r="E105">
        <v>4</v>
      </c>
      <c r="F105">
        <v>4</v>
      </c>
      <c r="G105">
        <v>2022</v>
      </c>
      <c r="H105">
        <v>13</v>
      </c>
      <c r="I105">
        <v>55</v>
      </c>
      <c r="J105">
        <v>26.2</v>
      </c>
      <c r="K105">
        <v>44.08</v>
      </c>
      <c r="L105">
        <v>0</v>
      </c>
      <c r="M105">
        <v>42.959000000000003</v>
      </c>
      <c r="N105">
        <v>0.63400000000000001</v>
      </c>
      <c r="P105" s="1">
        <f t="shared" si="8"/>
        <v>11.933055555555555</v>
      </c>
      <c r="Q105" s="3">
        <f t="shared" si="9"/>
        <v>0.41111111111110432</v>
      </c>
      <c r="R105" s="3">
        <f t="shared" si="10"/>
        <v>0.33888888888888857</v>
      </c>
      <c r="S105" s="3">
        <f t="shared" si="14"/>
        <v>0.28878787878787887</v>
      </c>
      <c r="U105" s="1">
        <f t="shared" si="11"/>
        <v>11.927373737373735</v>
      </c>
      <c r="V105" s="3">
        <f t="shared" si="12"/>
        <v>0.28878787878787904</v>
      </c>
      <c r="W105" s="3">
        <f t="shared" si="13"/>
        <v>0.27447658402203845</v>
      </c>
    </row>
    <row r="106" spans="1:23" x14ac:dyDescent="0.25">
      <c r="A106" t="s">
        <v>16</v>
      </c>
      <c r="C106">
        <v>52.048146099999997</v>
      </c>
      <c r="D106">
        <v>-0.57286879999999996</v>
      </c>
      <c r="E106">
        <v>4</v>
      </c>
      <c r="F106">
        <v>4</v>
      </c>
      <c r="G106">
        <v>2022</v>
      </c>
      <c r="H106">
        <v>13</v>
      </c>
      <c r="I106">
        <v>55</v>
      </c>
      <c r="J106">
        <v>26.3</v>
      </c>
      <c r="K106">
        <v>44.05</v>
      </c>
      <c r="L106">
        <v>0</v>
      </c>
      <c r="M106">
        <v>43.116999999999997</v>
      </c>
      <c r="N106">
        <v>0.65200000000000002</v>
      </c>
      <c r="P106" s="1">
        <f t="shared" si="8"/>
        <v>11.976944444444445</v>
      </c>
      <c r="Q106" s="3">
        <f t="shared" si="9"/>
        <v>0.43888888888890421</v>
      </c>
      <c r="R106" s="3">
        <f t="shared" si="10"/>
        <v>0.48388888888888815</v>
      </c>
      <c r="S106" s="3">
        <f t="shared" si="14"/>
        <v>0.31106060606060609</v>
      </c>
      <c r="U106" s="1">
        <f t="shared" si="11"/>
        <v>11.965454545454543</v>
      </c>
      <c r="V106" s="3">
        <f t="shared" si="12"/>
        <v>0.31106060606060559</v>
      </c>
      <c r="W106" s="3">
        <f t="shared" si="13"/>
        <v>0.28458677685950434</v>
      </c>
    </row>
    <row r="107" spans="1:23" x14ac:dyDescent="0.25">
      <c r="A107" t="s">
        <v>16</v>
      </c>
      <c r="C107">
        <v>52.048156200000001</v>
      </c>
      <c r="D107">
        <v>-0.57287460000000001</v>
      </c>
      <c r="E107">
        <v>4</v>
      </c>
      <c r="F107">
        <v>4</v>
      </c>
      <c r="G107">
        <v>2022</v>
      </c>
      <c r="H107">
        <v>13</v>
      </c>
      <c r="I107">
        <v>55</v>
      </c>
      <c r="J107">
        <v>26.4</v>
      </c>
      <c r="K107">
        <v>44.04</v>
      </c>
      <c r="L107">
        <v>0</v>
      </c>
      <c r="M107">
        <v>43.063000000000002</v>
      </c>
      <c r="N107">
        <v>0.64100000000000001</v>
      </c>
      <c r="P107" s="1">
        <f t="shared" si="8"/>
        <v>11.961944444444445</v>
      </c>
      <c r="Q107" s="3">
        <f t="shared" si="9"/>
        <v>-0.15000000000000568</v>
      </c>
      <c r="R107" s="3">
        <f t="shared" si="10"/>
        <v>0.31805555555555642</v>
      </c>
      <c r="S107" s="3">
        <f t="shared" si="14"/>
        <v>0.31717171717171699</v>
      </c>
      <c r="U107" s="1">
        <f t="shared" si="11"/>
        <v>12.005909090909091</v>
      </c>
      <c r="V107" s="3">
        <f t="shared" si="12"/>
        <v>0.31717171717171944</v>
      </c>
      <c r="W107" s="3">
        <f t="shared" si="13"/>
        <v>0.28979109274563863</v>
      </c>
    </row>
    <row r="108" spans="1:23" x14ac:dyDescent="0.25">
      <c r="A108" t="s">
        <v>16</v>
      </c>
      <c r="C108">
        <v>52.048166399999999</v>
      </c>
      <c r="D108">
        <v>-0.5728801</v>
      </c>
      <c r="E108">
        <v>4</v>
      </c>
      <c r="F108">
        <v>4</v>
      </c>
      <c r="G108">
        <v>2022</v>
      </c>
      <c r="H108">
        <v>13</v>
      </c>
      <c r="I108">
        <v>55</v>
      </c>
      <c r="J108">
        <v>26.5</v>
      </c>
      <c r="K108">
        <v>43.98</v>
      </c>
      <c r="L108">
        <v>0</v>
      </c>
      <c r="M108">
        <v>43.747</v>
      </c>
      <c r="N108">
        <v>0.64400000000000002</v>
      </c>
      <c r="P108" s="1">
        <f t="shared" si="8"/>
        <v>12.151944444444444</v>
      </c>
      <c r="Q108" s="3">
        <f t="shared" si="9"/>
        <v>1.899999999999995</v>
      </c>
      <c r="R108" s="3">
        <f t="shared" si="10"/>
        <v>0.26888888888888829</v>
      </c>
      <c r="S108" s="3">
        <f t="shared" si="14"/>
        <v>0.30825757575757556</v>
      </c>
      <c r="U108" s="1">
        <f t="shared" si="11"/>
        <v>12.040353535353534</v>
      </c>
      <c r="V108" s="3">
        <f t="shared" si="12"/>
        <v>0.30825757575757429</v>
      </c>
      <c r="W108" s="3">
        <f t="shared" si="13"/>
        <v>0.29176308539944967</v>
      </c>
    </row>
    <row r="109" spans="1:23" x14ac:dyDescent="0.25">
      <c r="A109" t="s">
        <v>16</v>
      </c>
      <c r="C109">
        <v>52.048176499999997</v>
      </c>
      <c r="D109">
        <v>-0.57288539999999999</v>
      </c>
      <c r="E109">
        <v>4</v>
      </c>
      <c r="F109">
        <v>4</v>
      </c>
      <c r="G109">
        <v>2022</v>
      </c>
      <c r="H109">
        <v>13</v>
      </c>
      <c r="I109">
        <v>55</v>
      </c>
      <c r="J109">
        <v>26.6</v>
      </c>
      <c r="K109">
        <v>43.93</v>
      </c>
      <c r="L109">
        <v>0</v>
      </c>
      <c r="M109">
        <v>43.548999999999999</v>
      </c>
      <c r="N109">
        <v>0.60499999999999998</v>
      </c>
      <c r="P109" s="1">
        <f t="shared" si="8"/>
        <v>12.096944444444444</v>
      </c>
      <c r="Q109" s="3">
        <f t="shared" si="9"/>
        <v>-0.54999999999999716</v>
      </c>
      <c r="R109" s="3">
        <f t="shared" si="10"/>
        <v>0.23416666666666686</v>
      </c>
      <c r="S109" s="3">
        <f t="shared" si="14"/>
        <v>0.29464646464646455</v>
      </c>
      <c r="U109" s="1">
        <f t="shared" si="11"/>
        <v>12.060176767676767</v>
      </c>
      <c r="V109" s="3">
        <f t="shared" si="12"/>
        <v>0.29464646464646727</v>
      </c>
      <c r="W109" s="3">
        <f t="shared" si="13"/>
        <v>0.29300045913682365</v>
      </c>
    </row>
    <row r="110" spans="1:23" x14ac:dyDescent="0.25">
      <c r="A110" t="s">
        <v>16</v>
      </c>
      <c r="C110">
        <v>52.048186700000002</v>
      </c>
      <c r="D110">
        <v>-0.57289080000000003</v>
      </c>
      <c r="E110">
        <v>4</v>
      </c>
      <c r="F110">
        <v>4</v>
      </c>
      <c r="G110">
        <v>2022</v>
      </c>
      <c r="H110">
        <v>13</v>
      </c>
      <c r="I110">
        <v>55</v>
      </c>
      <c r="J110">
        <v>26.7</v>
      </c>
      <c r="K110">
        <v>43.9</v>
      </c>
      <c r="L110">
        <v>0</v>
      </c>
      <c r="M110">
        <v>43.47</v>
      </c>
      <c r="N110">
        <v>0.60799999999999998</v>
      </c>
      <c r="P110" s="1">
        <f t="shared" si="8"/>
        <v>12.074999999999999</v>
      </c>
      <c r="Q110" s="3">
        <f t="shared" si="9"/>
        <v>-0.2194444444444521</v>
      </c>
      <c r="R110" s="3">
        <f t="shared" si="10"/>
        <v>0.19805555555555543</v>
      </c>
      <c r="S110" s="3">
        <f t="shared" si="14"/>
        <v>0.30083333333333329</v>
      </c>
      <c r="U110" s="1">
        <f t="shared" si="11"/>
        <v>12.081919191919191</v>
      </c>
      <c r="V110" s="3">
        <f t="shared" si="12"/>
        <v>0.30083333333333684</v>
      </c>
      <c r="W110" s="3">
        <f t="shared" si="13"/>
        <v>0.29382231404958775</v>
      </c>
    </row>
    <row r="111" spans="1:23" x14ac:dyDescent="0.25">
      <c r="A111" t="s">
        <v>16</v>
      </c>
      <c r="C111">
        <v>52.048196900000001</v>
      </c>
      <c r="D111">
        <v>-0.57289599999999996</v>
      </c>
      <c r="E111">
        <v>4</v>
      </c>
      <c r="F111">
        <v>4</v>
      </c>
      <c r="G111">
        <v>2022</v>
      </c>
      <c r="H111">
        <v>13</v>
      </c>
      <c r="I111">
        <v>55</v>
      </c>
      <c r="J111">
        <v>26.8</v>
      </c>
      <c r="K111">
        <v>43.85</v>
      </c>
      <c r="L111">
        <v>0</v>
      </c>
      <c r="M111">
        <v>43.758000000000003</v>
      </c>
      <c r="N111">
        <v>0.59</v>
      </c>
      <c r="P111" s="1">
        <f t="shared" si="8"/>
        <v>12.154999999999999</v>
      </c>
      <c r="Q111" s="3">
        <f t="shared" si="9"/>
        <v>0.80000000000000071</v>
      </c>
      <c r="R111" s="3">
        <f t="shared" si="10"/>
        <v>0.27499999999999858</v>
      </c>
      <c r="S111" s="3">
        <f t="shared" si="14"/>
        <v>0.29156565656565658</v>
      </c>
      <c r="U111" s="1">
        <f t="shared" si="11"/>
        <v>12.110909090909091</v>
      </c>
      <c r="V111" s="3">
        <f t="shared" si="12"/>
        <v>0.29156565656565903</v>
      </c>
      <c r="W111" s="3">
        <f t="shared" si="13"/>
        <v>0.29459366391184666</v>
      </c>
    </row>
    <row r="112" spans="1:23" x14ac:dyDescent="0.25">
      <c r="A112" t="s">
        <v>16</v>
      </c>
      <c r="C112">
        <v>52.048207099999999</v>
      </c>
      <c r="D112">
        <v>-0.57290140000000001</v>
      </c>
      <c r="E112">
        <v>4</v>
      </c>
      <c r="F112">
        <v>4</v>
      </c>
      <c r="G112">
        <v>2022</v>
      </c>
      <c r="H112">
        <v>13</v>
      </c>
      <c r="I112">
        <v>55</v>
      </c>
      <c r="J112">
        <v>26.9</v>
      </c>
      <c r="K112">
        <v>43.8</v>
      </c>
      <c r="L112">
        <v>0</v>
      </c>
      <c r="M112">
        <v>43.618000000000002</v>
      </c>
      <c r="N112">
        <v>0.61899999999999999</v>
      </c>
      <c r="P112" s="1">
        <f t="shared" si="8"/>
        <v>12.116111111111111</v>
      </c>
      <c r="Q112" s="3">
        <f t="shared" si="9"/>
        <v>-0.38888888888887863</v>
      </c>
      <c r="R112" s="3">
        <f t="shared" si="10"/>
        <v>0.33611111111111036</v>
      </c>
      <c r="S112" s="3">
        <f t="shared" si="14"/>
        <v>0.27848484848484856</v>
      </c>
      <c r="U112" s="1">
        <f t="shared" si="11"/>
        <v>12.140101010101011</v>
      </c>
      <c r="V112" s="3">
        <f t="shared" si="12"/>
        <v>0.27848484848484745</v>
      </c>
      <c r="W112" s="3">
        <f t="shared" si="13"/>
        <v>0.29300964187327916</v>
      </c>
    </row>
    <row r="113" spans="1:23" x14ac:dyDescent="0.25">
      <c r="A113" t="s">
        <v>16</v>
      </c>
      <c r="C113">
        <v>52.048217600000001</v>
      </c>
      <c r="D113">
        <v>-0.57290700000000006</v>
      </c>
      <c r="E113">
        <v>4</v>
      </c>
      <c r="F113">
        <v>4</v>
      </c>
      <c r="G113">
        <v>2022</v>
      </c>
      <c r="H113">
        <v>13</v>
      </c>
      <c r="I113">
        <v>55</v>
      </c>
      <c r="J113">
        <v>27</v>
      </c>
      <c r="K113">
        <v>43.82</v>
      </c>
      <c r="L113">
        <v>0</v>
      </c>
      <c r="M113">
        <v>43.837000000000003</v>
      </c>
      <c r="N113">
        <v>0.61199999999999999</v>
      </c>
      <c r="P113" s="1">
        <f t="shared" si="8"/>
        <v>12.176944444444445</v>
      </c>
      <c r="Q113" s="3">
        <f t="shared" si="9"/>
        <v>0.60833333333333073</v>
      </c>
      <c r="R113" s="3">
        <f t="shared" si="10"/>
        <v>0.10194444444444528</v>
      </c>
      <c r="S113" s="3">
        <f t="shared" si="14"/>
        <v>0.27184343434343428</v>
      </c>
      <c r="U113" s="1">
        <f t="shared" si="11"/>
        <v>12.166641414141413</v>
      </c>
      <c r="V113" s="3">
        <f t="shared" si="12"/>
        <v>0.27184343434343639</v>
      </c>
      <c r="W113" s="3">
        <f t="shared" si="13"/>
        <v>0.29133379247015706</v>
      </c>
    </row>
    <row r="114" spans="1:23" x14ac:dyDescent="0.25">
      <c r="A114" t="s">
        <v>16</v>
      </c>
      <c r="C114">
        <v>52.048227799999999</v>
      </c>
      <c r="D114">
        <v>-0.57291259999999999</v>
      </c>
      <c r="E114">
        <v>4</v>
      </c>
      <c r="F114">
        <v>4</v>
      </c>
      <c r="G114">
        <v>2022</v>
      </c>
      <c r="H114">
        <v>13</v>
      </c>
      <c r="I114">
        <v>55</v>
      </c>
      <c r="J114">
        <v>27.1</v>
      </c>
      <c r="K114">
        <v>43.8</v>
      </c>
      <c r="L114">
        <v>0</v>
      </c>
      <c r="M114">
        <v>43.654000000000003</v>
      </c>
      <c r="N114">
        <v>0.61199999999999999</v>
      </c>
      <c r="P114" s="1">
        <f t="shared" si="8"/>
        <v>12.126111111111111</v>
      </c>
      <c r="Q114" s="3">
        <f t="shared" si="9"/>
        <v>-0.50833333333333286</v>
      </c>
      <c r="R114" s="3">
        <f t="shared" si="10"/>
        <v>0.25111111111111128</v>
      </c>
      <c r="S114" s="3">
        <f t="shared" si="14"/>
        <v>0.2818434343434344</v>
      </c>
      <c r="U114" s="1">
        <f t="shared" si="11"/>
        <v>12.184469696969698</v>
      </c>
      <c r="V114" s="3">
        <f t="shared" si="12"/>
        <v>0.2818434343434344</v>
      </c>
      <c r="W114" s="3">
        <f t="shared" si="13"/>
        <v>0.29200642791551989</v>
      </c>
    </row>
    <row r="115" spans="1:23" x14ac:dyDescent="0.25">
      <c r="A115" t="s">
        <v>16</v>
      </c>
      <c r="C115">
        <v>52.048238099999999</v>
      </c>
      <c r="D115">
        <v>-0.57291809999999999</v>
      </c>
      <c r="E115">
        <v>4</v>
      </c>
      <c r="F115">
        <v>4</v>
      </c>
      <c r="G115">
        <v>2022</v>
      </c>
      <c r="H115">
        <v>13</v>
      </c>
      <c r="I115">
        <v>55</v>
      </c>
      <c r="J115">
        <v>27.2</v>
      </c>
      <c r="K115">
        <v>43.79</v>
      </c>
      <c r="L115">
        <v>0</v>
      </c>
      <c r="M115">
        <v>43.671999999999997</v>
      </c>
      <c r="N115">
        <v>0.60799999999999998</v>
      </c>
      <c r="P115" s="1">
        <f t="shared" si="8"/>
        <v>12.13111111111111</v>
      </c>
      <c r="Q115" s="3">
        <f t="shared" si="9"/>
        <v>4.9999999999990052E-2</v>
      </c>
      <c r="R115" s="3">
        <f t="shared" si="10"/>
        <v>0.50305555555555692</v>
      </c>
      <c r="S115" s="3">
        <f t="shared" si="14"/>
        <v>0.28755050505050517</v>
      </c>
      <c r="U115" s="1">
        <f t="shared" si="11"/>
        <v>12.228207070707072</v>
      </c>
      <c r="V115" s="3">
        <f t="shared" si="12"/>
        <v>0.28755050505050583</v>
      </c>
      <c r="W115" s="3">
        <f t="shared" si="13"/>
        <v>0.29213728191000982</v>
      </c>
    </row>
    <row r="116" spans="1:23" x14ac:dyDescent="0.25">
      <c r="A116" t="s">
        <v>16</v>
      </c>
      <c r="C116">
        <v>52.048248800000003</v>
      </c>
      <c r="D116">
        <v>-0.57292370000000004</v>
      </c>
      <c r="E116">
        <v>4</v>
      </c>
      <c r="F116">
        <v>4</v>
      </c>
      <c r="G116">
        <v>2022</v>
      </c>
      <c r="H116">
        <v>13</v>
      </c>
      <c r="I116">
        <v>55</v>
      </c>
      <c r="J116">
        <v>27.3</v>
      </c>
      <c r="K116">
        <v>43.81</v>
      </c>
      <c r="L116">
        <v>0</v>
      </c>
      <c r="M116">
        <v>44.106999999999999</v>
      </c>
      <c r="N116">
        <v>0.59799999999999998</v>
      </c>
      <c r="P116" s="1">
        <f t="shared" si="8"/>
        <v>12.251944444444444</v>
      </c>
      <c r="Q116" s="3">
        <f t="shared" si="9"/>
        <v>1.2083333333333357</v>
      </c>
      <c r="R116" s="3">
        <f t="shared" si="10"/>
        <v>0.23694444444444507</v>
      </c>
      <c r="S116" s="3">
        <f t="shared" si="14"/>
        <v>0.29727272727272741</v>
      </c>
      <c r="U116" s="1">
        <f t="shared" si="11"/>
        <v>12.257020202020202</v>
      </c>
      <c r="V116" s="3">
        <f t="shared" si="12"/>
        <v>0.29727272727272691</v>
      </c>
      <c r="W116" s="3">
        <f t="shared" si="13"/>
        <v>0.29003673094582216</v>
      </c>
    </row>
    <row r="117" spans="1:23" x14ac:dyDescent="0.25">
      <c r="A117" t="s">
        <v>16</v>
      </c>
      <c r="C117">
        <v>52.0482595</v>
      </c>
      <c r="D117">
        <v>-0.57292920000000003</v>
      </c>
      <c r="E117">
        <v>4</v>
      </c>
      <c r="F117">
        <v>4</v>
      </c>
      <c r="G117">
        <v>2022</v>
      </c>
      <c r="H117">
        <v>13</v>
      </c>
      <c r="I117">
        <v>55</v>
      </c>
      <c r="J117">
        <v>27.4</v>
      </c>
      <c r="K117">
        <v>43.84</v>
      </c>
      <c r="L117">
        <v>0</v>
      </c>
      <c r="M117">
        <v>44.273000000000003</v>
      </c>
      <c r="N117">
        <v>0.58299999999999996</v>
      </c>
      <c r="P117" s="1">
        <f t="shared" si="8"/>
        <v>12.298055555555555</v>
      </c>
      <c r="Q117" s="3">
        <f t="shared" si="9"/>
        <v>0.46111111111111214</v>
      </c>
      <c r="R117" s="3">
        <f t="shared" si="10"/>
        <v>0.33999999999999986</v>
      </c>
      <c r="S117" s="3">
        <f t="shared" si="14"/>
        <v>0.29363636363636397</v>
      </c>
      <c r="U117" s="1">
        <f t="shared" si="11"/>
        <v>12.284393939393938</v>
      </c>
      <c r="V117" s="3">
        <f t="shared" si="12"/>
        <v>0.29363636363636303</v>
      </c>
      <c r="W117" s="3">
        <f t="shared" si="13"/>
        <v>0.28905876951331516</v>
      </c>
    </row>
    <row r="118" spans="1:23" x14ac:dyDescent="0.25">
      <c r="A118" t="s">
        <v>16</v>
      </c>
      <c r="C118">
        <v>52.048270100000003</v>
      </c>
      <c r="D118">
        <v>-0.57293450000000001</v>
      </c>
      <c r="E118">
        <v>4</v>
      </c>
      <c r="F118">
        <v>4</v>
      </c>
      <c r="G118">
        <v>2022</v>
      </c>
      <c r="H118">
        <v>13</v>
      </c>
      <c r="I118">
        <v>55</v>
      </c>
      <c r="J118">
        <v>27.5</v>
      </c>
      <c r="K118">
        <v>43.86</v>
      </c>
      <c r="L118">
        <v>0</v>
      </c>
      <c r="M118">
        <v>44.113999999999997</v>
      </c>
      <c r="N118">
        <v>0.57999999999999996</v>
      </c>
      <c r="P118" s="1">
        <f t="shared" si="8"/>
        <v>12.253888888888889</v>
      </c>
      <c r="Q118" s="3">
        <f t="shared" si="9"/>
        <v>-0.44166666666665577</v>
      </c>
      <c r="R118" s="3">
        <f t="shared" si="10"/>
        <v>0.24499999999999922</v>
      </c>
      <c r="S118" s="3">
        <f t="shared" si="14"/>
        <v>0.29873737373737408</v>
      </c>
      <c r="U118" s="1">
        <f t="shared" si="11"/>
        <v>12.31219696969697</v>
      </c>
      <c r="V118" s="3">
        <f t="shared" si="12"/>
        <v>0.29873737373737619</v>
      </c>
      <c r="W118" s="3">
        <f t="shared" si="13"/>
        <v>0.28895546372819114</v>
      </c>
    </row>
    <row r="119" spans="1:23" x14ac:dyDescent="0.25">
      <c r="A119" t="s">
        <v>16</v>
      </c>
      <c r="C119">
        <v>52.048281000000003</v>
      </c>
      <c r="D119">
        <v>-0.57293959999999999</v>
      </c>
      <c r="E119">
        <v>4</v>
      </c>
      <c r="F119">
        <v>4</v>
      </c>
      <c r="G119">
        <v>2022</v>
      </c>
      <c r="H119">
        <v>13</v>
      </c>
      <c r="I119">
        <v>55</v>
      </c>
      <c r="J119">
        <v>27.6</v>
      </c>
      <c r="K119">
        <v>43.89</v>
      </c>
      <c r="L119">
        <v>0</v>
      </c>
      <c r="M119">
        <v>44.453000000000003</v>
      </c>
      <c r="N119">
        <v>0.58299999999999996</v>
      </c>
      <c r="P119" s="1">
        <f t="shared" si="8"/>
        <v>12.348055555555556</v>
      </c>
      <c r="Q119" s="3">
        <f t="shared" si="9"/>
        <v>0.94166666666666288</v>
      </c>
      <c r="R119" s="3">
        <f t="shared" si="10"/>
        <v>0.3788888888888895</v>
      </c>
      <c r="S119" s="3">
        <f t="shared" si="14"/>
        <v>0.31565656565656591</v>
      </c>
      <c r="U119" s="1">
        <f t="shared" si="11"/>
        <v>12.342020202020201</v>
      </c>
      <c r="V119" s="3">
        <f t="shared" si="12"/>
        <v>0.31565656565656575</v>
      </c>
      <c r="W119" s="3">
        <f t="shared" si="13"/>
        <v>0.29006657483930226</v>
      </c>
    </row>
    <row r="120" spans="1:23" x14ac:dyDescent="0.25">
      <c r="A120" t="s">
        <v>16</v>
      </c>
      <c r="C120">
        <v>52.048292000000004</v>
      </c>
      <c r="D120">
        <v>-0.57294440000000002</v>
      </c>
      <c r="E120">
        <v>4</v>
      </c>
      <c r="F120">
        <v>4</v>
      </c>
      <c r="G120">
        <v>2022</v>
      </c>
      <c r="H120">
        <v>13</v>
      </c>
      <c r="I120">
        <v>55</v>
      </c>
      <c r="J120">
        <v>27.7</v>
      </c>
      <c r="K120">
        <v>43.89</v>
      </c>
      <c r="L120">
        <v>0</v>
      </c>
      <c r="M120">
        <v>45.280999999999999</v>
      </c>
      <c r="N120">
        <v>0.59</v>
      </c>
      <c r="P120" s="1">
        <f t="shared" si="8"/>
        <v>12.578055555555556</v>
      </c>
      <c r="Q120" s="3">
        <f t="shared" si="9"/>
        <v>2.3000000000000043</v>
      </c>
      <c r="R120" s="3">
        <f t="shared" si="10"/>
        <v>0.29694444444444557</v>
      </c>
      <c r="S120" s="3">
        <f t="shared" si="14"/>
        <v>0.29608585858585879</v>
      </c>
      <c r="U120" s="1">
        <f t="shared" si="11"/>
        <v>12.369469696969697</v>
      </c>
      <c r="V120" s="3">
        <f t="shared" si="12"/>
        <v>0.29608585858585634</v>
      </c>
      <c r="W120" s="3">
        <f t="shared" si="13"/>
        <v>0.29164830119375601</v>
      </c>
    </row>
    <row r="121" spans="1:23" x14ac:dyDescent="0.25">
      <c r="A121" t="s">
        <v>16</v>
      </c>
      <c r="C121">
        <v>52.0483026</v>
      </c>
      <c r="D121">
        <v>-0.57294889999999998</v>
      </c>
      <c r="E121">
        <v>4</v>
      </c>
      <c r="F121">
        <v>4</v>
      </c>
      <c r="G121">
        <v>2022</v>
      </c>
      <c r="H121">
        <v>13</v>
      </c>
      <c r="I121">
        <v>55</v>
      </c>
      <c r="J121">
        <v>27.8</v>
      </c>
      <c r="K121">
        <v>43.85</v>
      </c>
      <c r="L121">
        <v>0</v>
      </c>
      <c r="M121">
        <v>44.610999999999997</v>
      </c>
      <c r="N121">
        <v>0.59399999999999997</v>
      </c>
      <c r="P121" s="1">
        <f t="shared" si="8"/>
        <v>12.391944444444444</v>
      </c>
      <c r="Q121" s="3">
        <f t="shared" si="9"/>
        <v>-1.8611111111111178</v>
      </c>
      <c r="R121" s="3">
        <f t="shared" si="10"/>
        <v>0.30499999999999972</v>
      </c>
      <c r="S121" s="3">
        <f t="shared" si="14"/>
        <v>0.27772727272727288</v>
      </c>
      <c r="U121" s="1">
        <f t="shared" si="11"/>
        <v>12.408181818181818</v>
      </c>
      <c r="V121" s="3">
        <f t="shared" si="12"/>
        <v>0.27772727272727238</v>
      </c>
      <c r="W121" s="3">
        <f t="shared" si="13"/>
        <v>0.29500229568411418</v>
      </c>
    </row>
    <row r="122" spans="1:23" x14ac:dyDescent="0.25">
      <c r="A122" t="s">
        <v>16</v>
      </c>
      <c r="C122">
        <v>52.048313399999998</v>
      </c>
      <c r="D122">
        <v>-0.57295359999999995</v>
      </c>
      <c r="E122">
        <v>4</v>
      </c>
      <c r="F122">
        <v>4</v>
      </c>
      <c r="G122">
        <v>2022</v>
      </c>
      <c r="H122">
        <v>13</v>
      </c>
      <c r="I122">
        <v>55</v>
      </c>
      <c r="J122">
        <v>27.9</v>
      </c>
      <c r="K122">
        <v>43.84</v>
      </c>
      <c r="L122">
        <v>0</v>
      </c>
      <c r="M122">
        <v>44.841999999999999</v>
      </c>
      <c r="N122">
        <v>0.63</v>
      </c>
      <c r="P122" s="1">
        <f t="shared" si="8"/>
        <v>12.456111111111111</v>
      </c>
      <c r="Q122" s="3">
        <f t="shared" si="9"/>
        <v>0.64166666666666927</v>
      </c>
      <c r="R122" s="3">
        <f t="shared" si="10"/>
        <v>0.23500000000000121</v>
      </c>
      <c r="S122" s="3">
        <f t="shared" si="14"/>
        <v>0.28080808080808095</v>
      </c>
      <c r="U122" s="1">
        <f t="shared" si="11"/>
        <v>12.433737373737374</v>
      </c>
      <c r="V122" s="3">
        <f t="shared" si="12"/>
        <v>0.28080808080808239</v>
      </c>
      <c r="W122" s="3">
        <f t="shared" si="13"/>
        <v>0.30138888888888926</v>
      </c>
    </row>
    <row r="123" spans="1:23" x14ac:dyDescent="0.25">
      <c r="A123" t="s">
        <v>16</v>
      </c>
      <c r="C123">
        <v>52.048324100000002</v>
      </c>
      <c r="D123">
        <v>-0.57295810000000003</v>
      </c>
      <c r="E123">
        <v>4</v>
      </c>
      <c r="F123">
        <v>4</v>
      </c>
      <c r="G123">
        <v>2022</v>
      </c>
      <c r="H123">
        <v>13</v>
      </c>
      <c r="I123">
        <v>55</v>
      </c>
      <c r="J123">
        <v>28</v>
      </c>
      <c r="K123">
        <v>43.8</v>
      </c>
      <c r="L123">
        <v>0</v>
      </c>
      <c r="M123">
        <v>44.719000000000001</v>
      </c>
      <c r="N123">
        <v>0.63700000000000001</v>
      </c>
      <c r="P123" s="1">
        <f t="shared" si="8"/>
        <v>12.421944444444444</v>
      </c>
      <c r="Q123" s="3">
        <f t="shared" si="9"/>
        <v>-0.34166666666667567</v>
      </c>
      <c r="R123" s="3">
        <f t="shared" si="10"/>
        <v>0.39222222222222136</v>
      </c>
      <c r="S123" s="3">
        <f t="shared" si="14"/>
        <v>0.27734848484848501</v>
      </c>
      <c r="U123" s="1">
        <f t="shared" si="11"/>
        <v>12.465378787878789</v>
      </c>
      <c r="V123" s="3">
        <f t="shared" si="12"/>
        <v>0.27734848484848307</v>
      </c>
      <c r="W123" s="3">
        <f t="shared" si="13"/>
        <v>0.30994031221303975</v>
      </c>
    </row>
    <row r="124" spans="1:23" x14ac:dyDescent="0.25">
      <c r="A124" t="s">
        <v>16</v>
      </c>
      <c r="C124">
        <v>52.048335100000003</v>
      </c>
      <c r="D124">
        <v>-0.57296279999999999</v>
      </c>
      <c r="E124">
        <v>4</v>
      </c>
      <c r="F124">
        <v>4</v>
      </c>
      <c r="G124">
        <v>2022</v>
      </c>
      <c r="H124">
        <v>13</v>
      </c>
      <c r="I124">
        <v>55</v>
      </c>
      <c r="J124">
        <v>28.1</v>
      </c>
      <c r="K124">
        <v>43.82</v>
      </c>
      <c r="L124">
        <v>0</v>
      </c>
      <c r="M124">
        <v>45.018000000000001</v>
      </c>
      <c r="N124">
        <v>0.63700000000000001</v>
      </c>
      <c r="P124" s="1">
        <f t="shared" si="8"/>
        <v>12.505000000000001</v>
      </c>
      <c r="Q124" s="3">
        <f t="shared" si="9"/>
        <v>0.83055555555556992</v>
      </c>
      <c r="R124" s="3">
        <f t="shared" si="10"/>
        <v>0.28805555555555529</v>
      </c>
      <c r="S124" s="3">
        <f t="shared" si="14"/>
        <v>0.28406565656565663</v>
      </c>
      <c r="U124" s="1">
        <f t="shared" si="11"/>
        <v>12.500126262626264</v>
      </c>
      <c r="V124" s="3">
        <f t="shared" si="12"/>
        <v>0.28406565656565874</v>
      </c>
      <c r="W124" s="3">
        <f t="shared" si="13"/>
        <v>0.31846418732782378</v>
      </c>
    </row>
    <row r="125" spans="1:23" x14ac:dyDescent="0.25">
      <c r="A125" t="s">
        <v>16</v>
      </c>
      <c r="C125">
        <v>52.0483458</v>
      </c>
      <c r="D125">
        <v>-0.57296740000000002</v>
      </c>
      <c r="E125">
        <v>4</v>
      </c>
      <c r="F125">
        <v>4</v>
      </c>
      <c r="G125">
        <v>2022</v>
      </c>
      <c r="H125">
        <v>13</v>
      </c>
      <c r="I125">
        <v>55</v>
      </c>
      <c r="J125">
        <v>28.2</v>
      </c>
      <c r="K125">
        <v>43.8</v>
      </c>
      <c r="L125">
        <v>0</v>
      </c>
      <c r="M125">
        <v>44.741</v>
      </c>
      <c r="N125">
        <v>0.63</v>
      </c>
      <c r="P125" s="1">
        <f t="shared" si="8"/>
        <v>12.428055555555556</v>
      </c>
      <c r="Q125" s="3">
        <f t="shared" si="9"/>
        <v>-0.76944444444444926</v>
      </c>
      <c r="R125" s="3">
        <f t="shared" si="10"/>
        <v>3.5833333333332718E-2</v>
      </c>
      <c r="S125" s="3">
        <f t="shared" si="14"/>
        <v>0.2992424242424242</v>
      </c>
      <c r="U125" s="1">
        <f t="shared" si="11"/>
        <v>12.524292929292928</v>
      </c>
      <c r="V125" s="3">
        <f t="shared" si="12"/>
        <v>0.29924242424242564</v>
      </c>
      <c r="W125" s="3">
        <f t="shared" si="13"/>
        <v>0.32571395775941253</v>
      </c>
    </row>
    <row r="126" spans="1:23" x14ac:dyDescent="0.25">
      <c r="A126" t="s">
        <v>16</v>
      </c>
      <c r="C126">
        <v>52.048356800000001</v>
      </c>
      <c r="D126">
        <v>-0.57297200000000004</v>
      </c>
      <c r="E126">
        <v>4</v>
      </c>
      <c r="F126">
        <v>4</v>
      </c>
      <c r="G126">
        <v>2022</v>
      </c>
      <c r="H126">
        <v>13</v>
      </c>
      <c r="I126">
        <v>55</v>
      </c>
      <c r="J126">
        <v>28.3</v>
      </c>
      <c r="K126">
        <v>43.81</v>
      </c>
      <c r="L126">
        <v>0</v>
      </c>
      <c r="M126">
        <v>45.204999999999998</v>
      </c>
      <c r="N126">
        <v>0.60799999999999998</v>
      </c>
      <c r="P126" s="1">
        <f t="shared" si="8"/>
        <v>12.556944444444444</v>
      </c>
      <c r="Q126" s="3">
        <f t="shared" si="9"/>
        <v>1.2888888888888772</v>
      </c>
      <c r="R126" s="3">
        <f t="shared" si="10"/>
        <v>0.301111111111112</v>
      </c>
      <c r="S126" s="3">
        <f t="shared" si="14"/>
        <v>0.32444444444444431</v>
      </c>
      <c r="U126" s="1">
        <f t="shared" si="11"/>
        <v>12.534747474747475</v>
      </c>
      <c r="V126" s="3">
        <f t="shared" si="12"/>
        <v>0.32444444444444542</v>
      </c>
      <c r="W126" s="3">
        <f t="shared" si="13"/>
        <v>0.33676767676767744</v>
      </c>
    </row>
    <row r="127" spans="1:23" x14ac:dyDescent="0.25">
      <c r="A127" t="s">
        <v>16</v>
      </c>
      <c r="C127">
        <v>52.0483677</v>
      </c>
      <c r="D127">
        <v>-0.5729765</v>
      </c>
      <c r="E127">
        <v>4</v>
      </c>
      <c r="F127">
        <v>4</v>
      </c>
      <c r="G127">
        <v>2022</v>
      </c>
      <c r="H127">
        <v>13</v>
      </c>
      <c r="I127">
        <v>55</v>
      </c>
      <c r="J127">
        <v>28.4</v>
      </c>
      <c r="K127">
        <v>43.8</v>
      </c>
      <c r="L127">
        <v>0</v>
      </c>
      <c r="M127">
        <v>45.119</v>
      </c>
      <c r="N127">
        <v>0.60799999999999998</v>
      </c>
      <c r="P127" s="1">
        <f t="shared" si="8"/>
        <v>12.533055555555556</v>
      </c>
      <c r="Q127" s="3">
        <f t="shared" si="9"/>
        <v>-0.23888888888887294</v>
      </c>
      <c r="R127" s="3">
        <f t="shared" si="10"/>
        <v>0.27083333333333393</v>
      </c>
      <c r="S127" s="3">
        <f t="shared" si="14"/>
        <v>0.36752525252525231</v>
      </c>
      <c r="U127" s="1">
        <f t="shared" si="11"/>
        <v>12.565202020202021</v>
      </c>
      <c r="V127" s="3">
        <f t="shared" si="12"/>
        <v>0.36752525252525281</v>
      </c>
      <c r="W127" s="3">
        <f t="shared" si="13"/>
        <v>0.34844123048668574</v>
      </c>
    </row>
    <row r="128" spans="1:23" x14ac:dyDescent="0.25">
      <c r="A128" t="s">
        <v>16</v>
      </c>
      <c r="C128">
        <v>52.048378900000003</v>
      </c>
      <c r="D128">
        <v>-0.57298110000000002</v>
      </c>
      <c r="E128">
        <v>4</v>
      </c>
      <c r="F128">
        <v>4</v>
      </c>
      <c r="G128">
        <v>2022</v>
      </c>
      <c r="H128">
        <v>13</v>
      </c>
      <c r="I128">
        <v>55</v>
      </c>
      <c r="J128">
        <v>28.5</v>
      </c>
      <c r="K128">
        <v>43.83</v>
      </c>
      <c r="L128">
        <v>0</v>
      </c>
      <c r="M128">
        <v>45.526000000000003</v>
      </c>
      <c r="N128">
        <v>0.60099999999999998</v>
      </c>
      <c r="P128" s="1">
        <f t="shared" si="8"/>
        <v>12.646111111111111</v>
      </c>
      <c r="Q128" s="3">
        <f t="shared" si="9"/>
        <v>1.1305555555555458</v>
      </c>
      <c r="R128" s="3">
        <f t="shared" si="10"/>
        <v>0.30194444444444457</v>
      </c>
      <c r="S128" s="3">
        <f t="shared" si="14"/>
        <v>0.38770202020201983</v>
      </c>
      <c r="U128" s="1">
        <f t="shared" si="11"/>
        <v>12.589545454545453</v>
      </c>
      <c r="V128" s="3">
        <f t="shared" si="12"/>
        <v>0.38770202020201872</v>
      </c>
      <c r="W128" s="3">
        <f t="shared" si="13"/>
        <v>0.3583654729109283</v>
      </c>
    </row>
    <row r="129" spans="1:23" x14ac:dyDescent="0.25">
      <c r="A129" t="s">
        <v>16</v>
      </c>
      <c r="C129">
        <v>52.048390099999999</v>
      </c>
      <c r="D129">
        <v>-0.57298590000000005</v>
      </c>
      <c r="E129">
        <v>4</v>
      </c>
      <c r="F129">
        <v>4</v>
      </c>
      <c r="G129">
        <v>2022</v>
      </c>
      <c r="H129">
        <v>13</v>
      </c>
      <c r="I129">
        <v>55</v>
      </c>
      <c r="J129">
        <v>28.6</v>
      </c>
      <c r="K129">
        <v>43.87</v>
      </c>
      <c r="L129">
        <v>0</v>
      </c>
      <c r="M129">
        <v>45.49</v>
      </c>
      <c r="N129">
        <v>0.59399999999999997</v>
      </c>
      <c r="P129" s="1">
        <f t="shared" si="8"/>
        <v>12.636111111111111</v>
      </c>
      <c r="Q129" s="3">
        <f t="shared" si="9"/>
        <v>-9.9999999999997868E-2</v>
      </c>
      <c r="R129" s="3">
        <f t="shared" si="10"/>
        <v>0.31888888888888722</v>
      </c>
      <c r="S129" s="3">
        <f t="shared" si="14"/>
        <v>0.39249999999999974</v>
      </c>
      <c r="U129" s="1">
        <f t="shared" si="11"/>
        <v>12.62608585858586</v>
      </c>
      <c r="V129" s="3">
        <f t="shared" si="12"/>
        <v>0.39250000000000007</v>
      </c>
      <c r="W129" s="3">
        <f t="shared" si="13"/>
        <v>0.36546602387511568</v>
      </c>
    </row>
    <row r="130" spans="1:23" x14ac:dyDescent="0.25">
      <c r="A130" t="s">
        <v>16</v>
      </c>
      <c r="C130">
        <v>52.048400999999998</v>
      </c>
      <c r="D130">
        <v>-0.57299049999999996</v>
      </c>
      <c r="E130">
        <v>4</v>
      </c>
      <c r="F130">
        <v>4</v>
      </c>
      <c r="G130">
        <v>2022</v>
      </c>
      <c r="H130">
        <v>13</v>
      </c>
      <c r="I130">
        <v>55</v>
      </c>
      <c r="J130">
        <v>28.7</v>
      </c>
      <c r="K130">
        <v>43.86</v>
      </c>
      <c r="L130">
        <v>0</v>
      </c>
      <c r="M130">
        <v>45.41</v>
      </c>
      <c r="N130">
        <v>0.59799999999999998</v>
      </c>
      <c r="P130" s="1">
        <f t="shared" si="8"/>
        <v>12.613888888888889</v>
      </c>
      <c r="Q130" s="3">
        <f t="shared" si="9"/>
        <v>-0.22222222222222143</v>
      </c>
      <c r="R130" s="3">
        <f t="shared" si="10"/>
        <v>0.5458333333333325</v>
      </c>
      <c r="S130" s="3">
        <f t="shared" si="14"/>
        <v>0.3954040404040402</v>
      </c>
      <c r="U130" s="1">
        <f t="shared" si="11"/>
        <v>12.668712121212122</v>
      </c>
      <c r="V130" s="3">
        <f t="shared" si="12"/>
        <v>0.39540404040404198</v>
      </c>
      <c r="W130" s="3">
        <f t="shared" si="13"/>
        <v>0.36696510560147</v>
      </c>
    </row>
    <row r="131" spans="1:23" x14ac:dyDescent="0.25">
      <c r="A131" t="s">
        <v>16</v>
      </c>
      <c r="C131">
        <v>52.048412300000003</v>
      </c>
      <c r="D131">
        <v>-0.57299549999999999</v>
      </c>
      <c r="E131">
        <v>4</v>
      </c>
      <c r="F131">
        <v>4</v>
      </c>
      <c r="G131">
        <v>2022</v>
      </c>
      <c r="H131">
        <v>13</v>
      </c>
      <c r="I131">
        <v>55</v>
      </c>
      <c r="J131">
        <v>28.8</v>
      </c>
      <c r="K131">
        <v>43.91</v>
      </c>
      <c r="L131">
        <v>0</v>
      </c>
      <c r="M131">
        <v>45.695</v>
      </c>
      <c r="N131">
        <v>0.58699999999999997</v>
      </c>
      <c r="P131" s="1">
        <f t="shared" ref="P131:P194" si="15">M131*1000/3600</f>
        <v>12.693055555555556</v>
      </c>
      <c r="Q131" s="3">
        <f t="shared" si="9"/>
        <v>0.79166666666667496</v>
      </c>
      <c r="R131" s="3">
        <f t="shared" si="10"/>
        <v>0.57416666666666671</v>
      </c>
      <c r="S131" s="3">
        <f t="shared" si="14"/>
        <v>0.41767676767676742</v>
      </c>
      <c r="U131" s="1">
        <f t="shared" si="11"/>
        <v>12.732626262626264</v>
      </c>
      <c r="V131" s="3">
        <f t="shared" si="12"/>
        <v>0.41767676767677031</v>
      </c>
      <c r="W131" s="3">
        <f t="shared" si="13"/>
        <v>0.35976354453627252</v>
      </c>
    </row>
    <row r="132" spans="1:23" x14ac:dyDescent="0.25">
      <c r="A132" t="s">
        <v>16</v>
      </c>
      <c r="C132">
        <v>52.0484236</v>
      </c>
      <c r="D132">
        <v>-0.57300010000000001</v>
      </c>
      <c r="E132">
        <v>4</v>
      </c>
      <c r="F132">
        <v>4</v>
      </c>
      <c r="G132">
        <v>2022</v>
      </c>
      <c r="H132">
        <v>13</v>
      </c>
      <c r="I132">
        <v>55</v>
      </c>
      <c r="J132">
        <v>28.9</v>
      </c>
      <c r="K132">
        <v>43.93</v>
      </c>
      <c r="L132">
        <v>0</v>
      </c>
      <c r="M132">
        <v>45.817</v>
      </c>
      <c r="N132">
        <v>0.56899999999999995</v>
      </c>
      <c r="P132" s="1">
        <f t="shared" si="15"/>
        <v>12.726944444444445</v>
      </c>
      <c r="Q132" s="3">
        <f t="shared" si="9"/>
        <v>0.33888888888888857</v>
      </c>
      <c r="R132" s="3">
        <f t="shared" si="10"/>
        <v>0.77888888888888808</v>
      </c>
      <c r="S132" s="3">
        <f t="shared" si="14"/>
        <v>0.40613636363636324</v>
      </c>
      <c r="U132" s="1">
        <f t="shared" si="11"/>
        <v>12.801262626262627</v>
      </c>
      <c r="V132" s="3">
        <f t="shared" si="12"/>
        <v>0.40613636363636374</v>
      </c>
      <c r="W132" s="3">
        <f t="shared" si="13"/>
        <v>0.34132001836547315</v>
      </c>
    </row>
    <row r="133" spans="1:23" x14ac:dyDescent="0.25">
      <c r="A133" t="s">
        <v>16</v>
      </c>
      <c r="C133">
        <v>52.048434700000001</v>
      </c>
      <c r="D133">
        <v>-0.57300479999999998</v>
      </c>
      <c r="E133">
        <v>4</v>
      </c>
      <c r="F133">
        <v>4</v>
      </c>
      <c r="G133">
        <v>2022</v>
      </c>
      <c r="H133">
        <v>13</v>
      </c>
      <c r="I133">
        <v>55</v>
      </c>
      <c r="J133">
        <v>29</v>
      </c>
      <c r="K133">
        <v>43.94</v>
      </c>
      <c r="L133">
        <v>0</v>
      </c>
      <c r="M133">
        <v>45.805999999999997</v>
      </c>
      <c r="N133">
        <v>0.56899999999999995</v>
      </c>
      <c r="P133" s="1">
        <f t="shared" si="15"/>
        <v>12.723888888888888</v>
      </c>
      <c r="Q133" s="3">
        <f t="shared" ref="Q133:Q196" si="16">10*($P133-$P132)</f>
        <v>-3.0555555555569214E-2</v>
      </c>
      <c r="R133" s="3">
        <f t="shared" si="10"/>
        <v>0.45694444444444393</v>
      </c>
      <c r="S133" s="3">
        <f t="shared" si="14"/>
        <v>0.38997474747474714</v>
      </c>
      <c r="U133" s="1">
        <f t="shared" si="11"/>
        <v>12.853080808080808</v>
      </c>
      <c r="V133" s="3">
        <f t="shared" si="12"/>
        <v>0.38997474747475103</v>
      </c>
      <c r="W133" s="3">
        <f t="shared" si="13"/>
        <v>0.30861340679522492</v>
      </c>
    </row>
    <row r="134" spans="1:23" x14ac:dyDescent="0.25">
      <c r="A134" t="s">
        <v>16</v>
      </c>
      <c r="C134">
        <v>52.048445999999998</v>
      </c>
      <c r="D134">
        <v>-0.5730092</v>
      </c>
      <c r="E134">
        <v>4</v>
      </c>
      <c r="F134">
        <v>4</v>
      </c>
      <c r="G134">
        <v>2022</v>
      </c>
      <c r="H134">
        <v>13</v>
      </c>
      <c r="I134">
        <v>55</v>
      </c>
      <c r="J134">
        <v>29.1</v>
      </c>
      <c r="K134">
        <v>43.95</v>
      </c>
      <c r="L134">
        <v>0</v>
      </c>
      <c r="M134">
        <v>46.165999999999997</v>
      </c>
      <c r="N134">
        <v>0.56200000000000006</v>
      </c>
      <c r="P134" s="1">
        <f t="shared" si="15"/>
        <v>12.823888888888888</v>
      </c>
      <c r="Q134" s="3">
        <f t="shared" si="16"/>
        <v>0.99999999999999645</v>
      </c>
      <c r="R134" s="3">
        <f t="shared" si="10"/>
        <v>0.44500000000000028</v>
      </c>
      <c r="S134" s="3">
        <f t="shared" si="14"/>
        <v>0.35545454545454513</v>
      </c>
      <c r="U134" s="1">
        <f t="shared" si="11"/>
        <v>12.892626262626264</v>
      </c>
      <c r="V134" s="3">
        <f t="shared" si="12"/>
        <v>0.35545454545454369</v>
      </c>
      <c r="W134" s="3">
        <f t="shared" si="13"/>
        <v>0.26624655647382911</v>
      </c>
    </row>
    <row r="135" spans="1:23" x14ac:dyDescent="0.25">
      <c r="A135" t="s">
        <v>16</v>
      </c>
      <c r="C135">
        <v>52.048457499999998</v>
      </c>
      <c r="D135">
        <v>-0.57301310000000005</v>
      </c>
      <c r="E135">
        <v>4</v>
      </c>
      <c r="F135">
        <v>4</v>
      </c>
      <c r="G135">
        <v>2022</v>
      </c>
      <c r="H135">
        <v>13</v>
      </c>
      <c r="I135">
        <v>55</v>
      </c>
      <c r="J135">
        <v>29.2</v>
      </c>
      <c r="K135">
        <v>43.94</v>
      </c>
      <c r="L135">
        <v>0</v>
      </c>
      <c r="M135">
        <v>46.706000000000003</v>
      </c>
      <c r="N135">
        <v>0.57999999999999996</v>
      </c>
      <c r="P135" s="1">
        <f t="shared" si="15"/>
        <v>12.973888888888888</v>
      </c>
      <c r="Q135" s="3">
        <f t="shared" si="16"/>
        <v>1.5000000000000036</v>
      </c>
      <c r="R135" s="3">
        <f t="shared" si="10"/>
        <v>0.32000000000000028</v>
      </c>
      <c r="S135" s="3">
        <f t="shared" si="14"/>
        <v>0.30055555555555541</v>
      </c>
      <c r="U135" s="1">
        <f t="shared" si="11"/>
        <v>12.91969696969697</v>
      </c>
      <c r="V135" s="3">
        <f t="shared" si="12"/>
        <v>0.30055555555555635</v>
      </c>
      <c r="W135" s="3">
        <f t="shared" si="13"/>
        <v>0.21813131313131298</v>
      </c>
    </row>
    <row r="136" spans="1:23" x14ac:dyDescent="0.25">
      <c r="A136" t="s">
        <v>16</v>
      </c>
      <c r="C136">
        <v>52.048468999999997</v>
      </c>
      <c r="D136">
        <v>-0.57301659999999999</v>
      </c>
      <c r="E136">
        <v>4</v>
      </c>
      <c r="F136">
        <v>4</v>
      </c>
      <c r="G136">
        <v>2022</v>
      </c>
      <c r="H136">
        <v>13</v>
      </c>
      <c r="I136">
        <v>55</v>
      </c>
      <c r="J136">
        <v>29.3</v>
      </c>
      <c r="K136">
        <v>43.89</v>
      </c>
      <c r="L136">
        <v>0</v>
      </c>
      <c r="M136">
        <v>47.271999999999998</v>
      </c>
      <c r="N136">
        <v>0.626</v>
      </c>
      <c r="P136" s="1">
        <f t="shared" si="15"/>
        <v>13.13111111111111</v>
      </c>
      <c r="Q136" s="3">
        <f t="shared" si="16"/>
        <v>1.5722222222222193</v>
      </c>
      <c r="R136" s="3">
        <f t="shared" si="10"/>
        <v>0.28083333333333194</v>
      </c>
      <c r="S136" s="3">
        <f t="shared" si="14"/>
        <v>0.22002525252525243</v>
      </c>
      <c r="U136" s="1">
        <f t="shared" si="11"/>
        <v>12.952424242424245</v>
      </c>
      <c r="V136" s="3">
        <f t="shared" si="12"/>
        <v>0.22002525252525373</v>
      </c>
      <c r="W136" s="3">
        <f t="shared" si="13"/>
        <v>0.16498393021120236</v>
      </c>
    </row>
    <row r="137" spans="1:23" x14ac:dyDescent="0.25">
      <c r="A137" t="s">
        <v>16</v>
      </c>
      <c r="C137">
        <v>52.048480599999998</v>
      </c>
      <c r="D137">
        <v>-0.57302050000000004</v>
      </c>
      <c r="E137">
        <v>4</v>
      </c>
      <c r="F137">
        <v>4</v>
      </c>
      <c r="G137">
        <v>2022</v>
      </c>
      <c r="H137">
        <v>13</v>
      </c>
      <c r="I137">
        <v>55</v>
      </c>
      <c r="J137">
        <v>29.4</v>
      </c>
      <c r="K137">
        <v>43.83</v>
      </c>
      <c r="L137">
        <v>0</v>
      </c>
      <c r="M137">
        <v>47.923000000000002</v>
      </c>
      <c r="N137">
        <v>0.63700000000000001</v>
      </c>
      <c r="P137" s="1">
        <f t="shared" si="15"/>
        <v>13.311944444444444</v>
      </c>
      <c r="Q137" s="3">
        <f t="shared" si="16"/>
        <v>1.8083333333333407</v>
      </c>
      <c r="R137" s="3">
        <f t="shared" ref="R137:R200" si="17">($P142-$P132)</f>
        <v>0.17416666666666636</v>
      </c>
      <c r="S137" s="3">
        <f t="shared" si="14"/>
        <v>0.12156565656565652</v>
      </c>
      <c r="U137" s="1">
        <f t="shared" ref="U137:U200" si="18">AVERAGE(P132:P142)</f>
        <v>12.971338383838384</v>
      </c>
      <c r="V137" s="3">
        <f t="shared" ref="V137:V200" si="19">($U142-$U132)</f>
        <v>0.12156565656565199</v>
      </c>
      <c r="W137" s="3">
        <f t="shared" si="13"/>
        <v>0.10682047750229468</v>
      </c>
    </row>
    <row r="138" spans="1:23" x14ac:dyDescent="0.25">
      <c r="A138" t="s">
        <v>16</v>
      </c>
      <c r="C138">
        <v>52.048491900000002</v>
      </c>
      <c r="D138">
        <v>-0.57302450000000005</v>
      </c>
      <c r="E138">
        <v>4</v>
      </c>
      <c r="F138">
        <v>4</v>
      </c>
      <c r="G138">
        <v>2022</v>
      </c>
      <c r="H138">
        <v>13</v>
      </c>
      <c r="I138">
        <v>55</v>
      </c>
      <c r="J138">
        <v>29.5</v>
      </c>
      <c r="K138">
        <v>43.8</v>
      </c>
      <c r="L138">
        <v>0</v>
      </c>
      <c r="M138">
        <v>47.170999999999999</v>
      </c>
      <c r="N138">
        <v>0.66200000000000003</v>
      </c>
      <c r="P138" s="1">
        <f t="shared" si="15"/>
        <v>13.103055555555555</v>
      </c>
      <c r="Q138" s="3">
        <f t="shared" si="16"/>
        <v>-2.0888888888888957</v>
      </c>
      <c r="R138" s="3">
        <f t="shared" si="17"/>
        <v>9.3055555555556779E-2</v>
      </c>
      <c r="S138" s="3">
        <f t="shared" si="14"/>
        <v>7.7525252525254143E-3</v>
      </c>
      <c r="U138" s="1">
        <f t="shared" si="18"/>
        <v>12.979520202020204</v>
      </c>
      <c r="V138" s="3">
        <f t="shared" si="19"/>
        <v>7.7525252525223465E-3</v>
      </c>
      <c r="W138" s="3">
        <f t="shared" si="13"/>
        <v>4.8886593204773732E-2</v>
      </c>
    </row>
    <row r="139" spans="1:23" x14ac:dyDescent="0.25">
      <c r="A139" t="s">
        <v>16</v>
      </c>
      <c r="C139">
        <v>52.048503199999999</v>
      </c>
      <c r="D139">
        <v>-0.57302889999999995</v>
      </c>
      <c r="E139">
        <v>4</v>
      </c>
      <c r="F139">
        <v>4</v>
      </c>
      <c r="G139">
        <v>2022</v>
      </c>
      <c r="H139">
        <v>13</v>
      </c>
      <c r="I139">
        <v>55</v>
      </c>
      <c r="J139">
        <v>29.6</v>
      </c>
      <c r="K139">
        <v>43.78</v>
      </c>
      <c r="L139">
        <v>0</v>
      </c>
      <c r="M139">
        <v>47.091999999999999</v>
      </c>
      <c r="N139">
        <v>0.68799999999999994</v>
      </c>
      <c r="P139" s="1">
        <f t="shared" si="15"/>
        <v>13.081111111111111</v>
      </c>
      <c r="Q139" s="3">
        <f t="shared" si="16"/>
        <v>-0.21944444444443434</v>
      </c>
      <c r="R139" s="3">
        <f t="shared" si="17"/>
        <v>-7.7777777777777501E-2</v>
      </c>
      <c r="S139" s="3">
        <f t="shared" si="14"/>
        <v>-7.8333333333333144E-2</v>
      </c>
      <c r="U139" s="1">
        <f t="shared" si="18"/>
        <v>12.981540404040404</v>
      </c>
      <c r="V139" s="3">
        <f t="shared" si="19"/>
        <v>-7.833333333333492E-2</v>
      </c>
      <c r="W139" s="3">
        <f t="shared" si="13"/>
        <v>-7.0431588613421329E-3</v>
      </c>
    </row>
    <row r="140" spans="1:23" x14ac:dyDescent="0.25">
      <c r="A140" t="s">
        <v>16</v>
      </c>
      <c r="C140">
        <v>52.048514500000003</v>
      </c>
      <c r="D140">
        <v>-0.57303329999999997</v>
      </c>
      <c r="E140">
        <v>4</v>
      </c>
      <c r="F140">
        <v>4</v>
      </c>
      <c r="G140">
        <v>2022</v>
      </c>
      <c r="H140">
        <v>13</v>
      </c>
      <c r="I140">
        <v>55</v>
      </c>
      <c r="J140">
        <v>29.7</v>
      </c>
      <c r="K140">
        <v>43.77</v>
      </c>
      <c r="L140">
        <v>0</v>
      </c>
      <c r="M140">
        <v>46.561999999999998</v>
      </c>
      <c r="N140">
        <v>0.69099999999999995</v>
      </c>
      <c r="P140" s="1">
        <f t="shared" si="15"/>
        <v>12.933888888888889</v>
      </c>
      <c r="Q140" s="3">
        <f t="shared" si="16"/>
        <v>-1.4722222222222214</v>
      </c>
      <c r="R140" s="3">
        <f t="shared" si="17"/>
        <v>-0.28500000000000014</v>
      </c>
      <c r="S140" s="3">
        <f t="shared" si="14"/>
        <v>-0.13676767676767668</v>
      </c>
      <c r="U140" s="1">
        <f t="shared" si="18"/>
        <v>12.969267676767679</v>
      </c>
      <c r="V140" s="3">
        <f t="shared" si="19"/>
        <v>-0.13676767676767732</v>
      </c>
      <c r="W140" s="3">
        <f t="shared" si="13"/>
        <v>-5.7685950413224614E-2</v>
      </c>
    </row>
    <row r="141" spans="1:23" x14ac:dyDescent="0.25">
      <c r="A141" t="s">
        <v>16</v>
      </c>
      <c r="C141">
        <v>52.048525699999999</v>
      </c>
      <c r="D141">
        <v>-0.57303760000000004</v>
      </c>
      <c r="E141">
        <v>4</v>
      </c>
      <c r="F141">
        <v>4</v>
      </c>
      <c r="G141">
        <v>2022</v>
      </c>
      <c r="H141">
        <v>13</v>
      </c>
      <c r="I141">
        <v>55</v>
      </c>
      <c r="J141">
        <v>29.8</v>
      </c>
      <c r="K141">
        <v>43.76</v>
      </c>
      <c r="L141">
        <v>0</v>
      </c>
      <c r="M141">
        <v>46.706000000000003</v>
      </c>
      <c r="N141">
        <v>0.69799999999999995</v>
      </c>
      <c r="P141" s="1">
        <f t="shared" si="15"/>
        <v>12.973888888888888</v>
      </c>
      <c r="Q141" s="3">
        <f t="shared" si="16"/>
        <v>0.39999999999999147</v>
      </c>
      <c r="R141" s="3">
        <f t="shared" si="17"/>
        <v>-0.33999999999999986</v>
      </c>
      <c r="S141" s="3">
        <f t="shared" si="14"/>
        <v>-0.18921717171717167</v>
      </c>
      <c r="U141" s="1">
        <f t="shared" si="18"/>
        <v>12.952651515151517</v>
      </c>
      <c r="V141" s="3">
        <f t="shared" si="19"/>
        <v>-0.18921717171717489</v>
      </c>
      <c r="W141" s="3">
        <f t="shared" ref="W141:W204" si="20">AVERAGE(V136:V146)</f>
        <v>-0.10112488521579605</v>
      </c>
    </row>
    <row r="142" spans="1:23" x14ac:dyDescent="0.25">
      <c r="A142" t="s">
        <v>16</v>
      </c>
      <c r="C142">
        <v>52.048537099999997</v>
      </c>
      <c r="D142">
        <v>-0.57304239999999995</v>
      </c>
      <c r="E142">
        <v>4</v>
      </c>
      <c r="F142">
        <v>4</v>
      </c>
      <c r="G142">
        <v>2022</v>
      </c>
      <c r="H142">
        <v>13</v>
      </c>
      <c r="I142">
        <v>55</v>
      </c>
      <c r="J142">
        <v>29.9</v>
      </c>
      <c r="K142">
        <v>43.8</v>
      </c>
      <c r="L142">
        <v>0</v>
      </c>
      <c r="M142">
        <v>46.444000000000003</v>
      </c>
      <c r="N142">
        <v>0.68799999999999994</v>
      </c>
      <c r="P142" s="1">
        <f t="shared" si="15"/>
        <v>12.901111111111112</v>
      </c>
      <c r="Q142" s="3">
        <f t="shared" si="16"/>
        <v>-0.7277777777777672</v>
      </c>
      <c r="R142" s="3">
        <f t="shared" si="17"/>
        <v>-0.5088888888888885</v>
      </c>
      <c r="S142" s="3">
        <f t="shared" si="14"/>
        <v>-0.22212121212121197</v>
      </c>
      <c r="U142" s="1">
        <f t="shared" si="18"/>
        <v>12.922828282828279</v>
      </c>
      <c r="V142" s="3">
        <f t="shared" si="19"/>
        <v>-0.22212121212121438</v>
      </c>
      <c r="W142" s="3">
        <f t="shared" si="20"/>
        <v>-0.13345730027548361</v>
      </c>
    </row>
    <row r="143" spans="1:23" x14ac:dyDescent="0.25">
      <c r="A143" t="s">
        <v>16</v>
      </c>
      <c r="C143">
        <v>52.048548400000001</v>
      </c>
      <c r="D143">
        <v>-0.57304790000000005</v>
      </c>
      <c r="E143">
        <v>4</v>
      </c>
      <c r="F143">
        <v>4</v>
      </c>
      <c r="G143">
        <v>2022</v>
      </c>
      <c r="H143">
        <v>13</v>
      </c>
      <c r="I143">
        <v>55</v>
      </c>
      <c r="J143">
        <v>30</v>
      </c>
      <c r="K143">
        <v>43.88</v>
      </c>
      <c r="L143">
        <v>0</v>
      </c>
      <c r="M143">
        <v>46.140999999999998</v>
      </c>
      <c r="N143">
        <v>0.65900000000000003</v>
      </c>
      <c r="P143" s="1">
        <f t="shared" si="15"/>
        <v>12.816944444444445</v>
      </c>
      <c r="Q143" s="3">
        <f t="shared" si="16"/>
        <v>-0.84166666666666501</v>
      </c>
      <c r="R143" s="3">
        <f t="shared" si="17"/>
        <v>-0.47305555555555401</v>
      </c>
      <c r="S143" s="3">
        <f t="shared" si="14"/>
        <v>-0.2311363636363635</v>
      </c>
      <c r="U143" s="1">
        <f t="shared" si="18"/>
        <v>12.86083333333333</v>
      </c>
      <c r="V143" s="3">
        <f t="shared" si="19"/>
        <v>-0.23113636363636658</v>
      </c>
      <c r="W143" s="3">
        <f t="shared" si="20"/>
        <v>-0.15129476584022103</v>
      </c>
    </row>
    <row r="144" spans="1:23" x14ac:dyDescent="0.25">
      <c r="A144" t="s">
        <v>16</v>
      </c>
      <c r="C144">
        <v>52.048559400000002</v>
      </c>
      <c r="D144">
        <v>-0.57305320000000004</v>
      </c>
      <c r="E144">
        <v>4</v>
      </c>
      <c r="F144">
        <v>4</v>
      </c>
      <c r="G144">
        <v>2022</v>
      </c>
      <c r="H144">
        <v>13</v>
      </c>
      <c r="I144">
        <v>55</v>
      </c>
      <c r="J144">
        <v>30.1</v>
      </c>
      <c r="K144">
        <v>43.92</v>
      </c>
      <c r="L144">
        <v>0</v>
      </c>
      <c r="M144">
        <v>45.886000000000003</v>
      </c>
      <c r="N144">
        <v>0.65900000000000003</v>
      </c>
      <c r="P144" s="1">
        <f t="shared" si="15"/>
        <v>12.746111111111111</v>
      </c>
      <c r="Q144" s="3">
        <f t="shared" si="16"/>
        <v>-0.70833333333334636</v>
      </c>
      <c r="R144" s="3">
        <f t="shared" si="17"/>
        <v>-0.49000000000000021</v>
      </c>
      <c r="S144" s="3">
        <f t="shared" si="14"/>
        <v>-0.22525252525252526</v>
      </c>
      <c r="U144" s="1">
        <f t="shared" si="18"/>
        <v>12.814292929292929</v>
      </c>
      <c r="V144" s="3">
        <f t="shared" si="19"/>
        <v>-0.22525252525252348</v>
      </c>
      <c r="W144" s="3">
        <f t="shared" si="20"/>
        <v>-0.15338842975206646</v>
      </c>
    </row>
    <row r="145" spans="1:23" x14ac:dyDescent="0.25">
      <c r="A145" t="s">
        <v>16</v>
      </c>
      <c r="C145">
        <v>52.048570699999999</v>
      </c>
      <c r="D145">
        <v>-0.57305819999999996</v>
      </c>
      <c r="E145">
        <v>4</v>
      </c>
      <c r="F145">
        <v>4</v>
      </c>
      <c r="G145">
        <v>2022</v>
      </c>
      <c r="H145">
        <v>13</v>
      </c>
      <c r="I145">
        <v>55</v>
      </c>
      <c r="J145">
        <v>30.2</v>
      </c>
      <c r="K145">
        <v>43.98</v>
      </c>
      <c r="L145">
        <v>0</v>
      </c>
      <c r="M145">
        <v>45.68</v>
      </c>
      <c r="N145">
        <v>0.60799999999999998</v>
      </c>
      <c r="P145" s="1">
        <f t="shared" si="15"/>
        <v>12.688888888888888</v>
      </c>
      <c r="Q145" s="3">
        <f t="shared" si="16"/>
        <v>-0.57222222222222285</v>
      </c>
      <c r="R145" s="3">
        <f t="shared" si="17"/>
        <v>-0.1977777777777785</v>
      </c>
      <c r="S145" s="3">
        <f t="shared" si="14"/>
        <v>-0.20161616161616164</v>
      </c>
      <c r="U145" s="1">
        <f t="shared" si="18"/>
        <v>12.782929292929293</v>
      </c>
      <c r="V145" s="3">
        <f t="shared" si="19"/>
        <v>-0.20161616161616358</v>
      </c>
      <c r="W145" s="3">
        <f t="shared" si="20"/>
        <v>-0.14311065197428843</v>
      </c>
    </row>
    <row r="146" spans="1:23" x14ac:dyDescent="0.25">
      <c r="A146" t="s">
        <v>16</v>
      </c>
      <c r="C146">
        <v>52.048582199999998</v>
      </c>
      <c r="D146">
        <v>-0.57306310000000005</v>
      </c>
      <c r="E146">
        <v>4</v>
      </c>
      <c r="F146">
        <v>4</v>
      </c>
      <c r="G146">
        <v>2022</v>
      </c>
      <c r="H146">
        <v>13</v>
      </c>
      <c r="I146">
        <v>55</v>
      </c>
      <c r="J146">
        <v>30.3</v>
      </c>
      <c r="K146">
        <v>44.06</v>
      </c>
      <c r="L146">
        <v>0</v>
      </c>
      <c r="M146">
        <v>46.048000000000002</v>
      </c>
      <c r="N146">
        <v>0.58699999999999997</v>
      </c>
      <c r="P146" s="1">
        <f t="shared" si="15"/>
        <v>12.79111111111111</v>
      </c>
      <c r="Q146" s="3">
        <f t="shared" si="16"/>
        <v>1.0222222222222221</v>
      </c>
      <c r="R146" s="3">
        <f t="shared" si="17"/>
        <v>-0.25694444444444464</v>
      </c>
      <c r="S146" s="3">
        <f t="shared" si="14"/>
        <v>-0.17727272727272722</v>
      </c>
      <c r="U146" s="1">
        <f t="shared" si="18"/>
        <v>12.76320707070707</v>
      </c>
      <c r="V146" s="3">
        <f t="shared" si="19"/>
        <v>-0.17727272727272947</v>
      </c>
      <c r="W146" s="3">
        <f t="shared" si="20"/>
        <v>-0.12408402203856751</v>
      </c>
    </row>
    <row r="147" spans="1:23" x14ac:dyDescent="0.25">
      <c r="A147" t="s">
        <v>16</v>
      </c>
      <c r="C147">
        <v>52.048593400000001</v>
      </c>
      <c r="D147">
        <v>-0.57306820000000003</v>
      </c>
      <c r="E147">
        <v>4</v>
      </c>
      <c r="F147">
        <v>4</v>
      </c>
      <c r="G147">
        <v>2022</v>
      </c>
      <c r="H147">
        <v>13</v>
      </c>
      <c r="I147">
        <v>55</v>
      </c>
      <c r="J147">
        <v>30.4</v>
      </c>
      <c r="K147">
        <v>44.1</v>
      </c>
      <c r="L147">
        <v>0</v>
      </c>
      <c r="M147">
        <v>46.091000000000001</v>
      </c>
      <c r="N147">
        <v>0.57999999999999996</v>
      </c>
      <c r="P147" s="1">
        <f t="shared" si="15"/>
        <v>12.803055555555556</v>
      </c>
      <c r="Q147" s="3">
        <f t="shared" si="16"/>
        <v>0.11944444444445423</v>
      </c>
      <c r="R147" s="3">
        <f t="shared" si="17"/>
        <v>-8.1111111111111356E-2</v>
      </c>
      <c r="S147" s="3">
        <f t="shared" ref="S147:S210" si="21">AVERAGE(R142:R152)</f>
        <v>-0.1356313131313131</v>
      </c>
      <c r="U147" s="1">
        <f t="shared" si="18"/>
        <v>12.74921717171717</v>
      </c>
      <c r="V147" s="3">
        <f t="shared" si="19"/>
        <v>-0.13563131313130938</v>
      </c>
      <c r="W147" s="3">
        <f t="shared" si="20"/>
        <v>-9.6827364554636641E-2</v>
      </c>
    </row>
    <row r="148" spans="1:23" x14ac:dyDescent="0.25">
      <c r="A148" t="s">
        <v>16</v>
      </c>
      <c r="C148">
        <v>52.0486042</v>
      </c>
      <c r="D148">
        <v>-0.57307330000000001</v>
      </c>
      <c r="E148">
        <v>4</v>
      </c>
      <c r="F148">
        <v>4</v>
      </c>
      <c r="G148">
        <v>2022</v>
      </c>
      <c r="H148">
        <v>13</v>
      </c>
      <c r="I148">
        <v>55</v>
      </c>
      <c r="J148">
        <v>30.5</v>
      </c>
      <c r="K148">
        <v>44.1</v>
      </c>
      <c r="L148">
        <v>0</v>
      </c>
      <c r="M148">
        <v>45.468000000000004</v>
      </c>
      <c r="N148">
        <v>0.56499999999999995</v>
      </c>
      <c r="P148" s="1">
        <f t="shared" si="15"/>
        <v>12.63</v>
      </c>
      <c r="Q148" s="3">
        <f t="shared" si="16"/>
        <v>-1.7305555555555507</v>
      </c>
      <c r="R148" s="3">
        <f t="shared" si="17"/>
        <v>7.4999999999999289E-2</v>
      </c>
      <c r="S148" s="3">
        <f t="shared" si="21"/>
        <v>-7.4646464646464683E-2</v>
      </c>
      <c r="U148" s="1">
        <f t="shared" si="18"/>
        <v>12.748383838383837</v>
      </c>
      <c r="V148" s="3">
        <f t="shared" si="19"/>
        <v>-7.4646464646459521E-2</v>
      </c>
      <c r="W148" s="3">
        <f t="shared" si="20"/>
        <v>-6.5098714416895215E-2</v>
      </c>
    </row>
    <row r="149" spans="1:23" x14ac:dyDescent="0.25">
      <c r="A149" t="s">
        <v>16</v>
      </c>
      <c r="C149">
        <v>52.0486152</v>
      </c>
      <c r="D149">
        <v>-0.57307839999999999</v>
      </c>
      <c r="E149">
        <v>4</v>
      </c>
      <c r="F149">
        <v>4</v>
      </c>
      <c r="G149">
        <v>2022</v>
      </c>
      <c r="H149">
        <v>13</v>
      </c>
      <c r="I149">
        <v>55</v>
      </c>
      <c r="J149">
        <v>30.6</v>
      </c>
      <c r="K149">
        <v>44.12</v>
      </c>
      <c r="L149">
        <v>0</v>
      </c>
      <c r="M149">
        <v>45.328000000000003</v>
      </c>
      <c r="N149">
        <v>0.55100000000000005</v>
      </c>
      <c r="P149" s="1">
        <f t="shared" si="15"/>
        <v>12.591111111111111</v>
      </c>
      <c r="Q149" s="3">
        <f t="shared" si="16"/>
        <v>-0.38888888888889639</v>
      </c>
      <c r="R149" s="3">
        <f t="shared" si="17"/>
        <v>0.15777777777777757</v>
      </c>
      <c r="S149" s="3">
        <f t="shared" si="21"/>
        <v>-1.5277777777777985E-2</v>
      </c>
      <c r="U149" s="1">
        <f t="shared" si="18"/>
        <v>12.75628787878788</v>
      </c>
      <c r="V149" s="3">
        <f t="shared" si="19"/>
        <v>-1.5277777777777501E-2</v>
      </c>
      <c r="W149" s="3">
        <f t="shared" si="20"/>
        <v>-3.1441689623506713E-2</v>
      </c>
    </row>
    <row r="150" spans="1:23" x14ac:dyDescent="0.25">
      <c r="A150" t="s">
        <v>16</v>
      </c>
      <c r="C150">
        <v>52.048626200000001</v>
      </c>
      <c r="D150">
        <v>-0.57308340000000002</v>
      </c>
      <c r="E150">
        <v>4</v>
      </c>
      <c r="F150">
        <v>4</v>
      </c>
      <c r="G150">
        <v>2022</v>
      </c>
      <c r="H150">
        <v>13</v>
      </c>
      <c r="I150">
        <v>55</v>
      </c>
      <c r="J150">
        <v>30.7</v>
      </c>
      <c r="K150">
        <v>44.11</v>
      </c>
      <c r="L150">
        <v>0</v>
      </c>
      <c r="M150">
        <v>45.85</v>
      </c>
      <c r="N150">
        <v>0.55100000000000005</v>
      </c>
      <c r="P150" s="1">
        <f t="shared" si="15"/>
        <v>12.736111111111111</v>
      </c>
      <c r="Q150" s="3">
        <f t="shared" si="16"/>
        <v>1.4499999999999957</v>
      </c>
      <c r="R150" s="3">
        <f t="shared" si="17"/>
        <v>0.18222222222222229</v>
      </c>
      <c r="S150" s="3">
        <f t="shared" si="21"/>
        <v>3.4722222222222078E-2</v>
      </c>
      <c r="U150" s="1">
        <f t="shared" si="18"/>
        <v>12.767651515151515</v>
      </c>
      <c r="V150" s="3">
        <f t="shared" si="19"/>
        <v>3.4722222222223209E-2</v>
      </c>
      <c r="W150" s="3">
        <f t="shared" si="20"/>
        <v>1.6804407713509177E-3</v>
      </c>
    </row>
    <row r="151" spans="1:23" x14ac:dyDescent="0.25">
      <c r="A151" t="s">
        <v>16</v>
      </c>
      <c r="C151">
        <v>52.048637200000002</v>
      </c>
      <c r="D151">
        <v>-0.57308800000000004</v>
      </c>
      <c r="E151">
        <v>4</v>
      </c>
      <c r="F151">
        <v>4</v>
      </c>
      <c r="G151">
        <v>2022</v>
      </c>
      <c r="H151">
        <v>13</v>
      </c>
      <c r="I151">
        <v>55</v>
      </c>
      <c r="J151">
        <v>30.8</v>
      </c>
      <c r="K151">
        <v>44.09</v>
      </c>
      <c r="L151">
        <v>0</v>
      </c>
      <c r="M151">
        <v>45.780999999999999</v>
      </c>
      <c r="N151">
        <v>0.55100000000000005</v>
      </c>
      <c r="P151" s="1">
        <f t="shared" si="15"/>
        <v>12.716944444444444</v>
      </c>
      <c r="Q151" s="3">
        <f t="shared" si="16"/>
        <v>-0.19166666666666998</v>
      </c>
      <c r="R151" s="3">
        <f t="shared" si="17"/>
        <v>-1.7222222222221362E-2</v>
      </c>
      <c r="S151" s="3">
        <f t="shared" si="21"/>
        <v>7.2525252525252562E-2</v>
      </c>
      <c r="U151" s="1">
        <f t="shared" si="18"/>
        <v>12.775378787878788</v>
      </c>
      <c r="V151" s="3">
        <f t="shared" si="19"/>
        <v>7.2525252525252881E-2</v>
      </c>
      <c r="W151" s="3">
        <f t="shared" si="20"/>
        <v>3.394168962350929E-2</v>
      </c>
    </row>
    <row r="152" spans="1:23" x14ac:dyDescent="0.25">
      <c r="A152" t="s">
        <v>16</v>
      </c>
      <c r="C152">
        <v>52.048648300000004</v>
      </c>
      <c r="D152">
        <v>-0.57309270000000001</v>
      </c>
      <c r="E152">
        <v>4</v>
      </c>
      <c r="F152">
        <v>4</v>
      </c>
      <c r="G152">
        <v>2022</v>
      </c>
      <c r="H152">
        <v>13</v>
      </c>
      <c r="I152">
        <v>55</v>
      </c>
      <c r="J152">
        <v>30.9</v>
      </c>
      <c r="K152">
        <v>44.08</v>
      </c>
      <c r="L152">
        <v>0</v>
      </c>
      <c r="M152">
        <v>46.152000000000001</v>
      </c>
      <c r="N152">
        <v>0.56899999999999995</v>
      </c>
      <c r="P152" s="1">
        <f t="shared" si="15"/>
        <v>12.82</v>
      </c>
      <c r="Q152" s="3">
        <f t="shared" si="16"/>
        <v>1.0305555555555657</v>
      </c>
      <c r="R152" s="3">
        <f t="shared" si="17"/>
        <v>0.11805555555555536</v>
      </c>
      <c r="S152" s="3">
        <f t="shared" si="21"/>
        <v>0.11060606060606061</v>
      </c>
      <c r="U152" s="1">
        <f t="shared" si="18"/>
        <v>12.78719696969697</v>
      </c>
      <c r="V152" s="3">
        <f t="shared" si="19"/>
        <v>0.11060606060606482</v>
      </c>
      <c r="W152" s="3">
        <f t="shared" si="20"/>
        <v>6.6313131313132961E-2</v>
      </c>
    </row>
    <row r="153" spans="1:23" x14ac:dyDescent="0.25">
      <c r="A153" t="s">
        <v>16</v>
      </c>
      <c r="C153">
        <v>52.048659399999998</v>
      </c>
      <c r="D153">
        <v>-0.57309750000000004</v>
      </c>
      <c r="E153">
        <v>4</v>
      </c>
      <c r="F153">
        <v>4</v>
      </c>
      <c r="G153">
        <v>2022</v>
      </c>
      <c r="H153">
        <v>13</v>
      </c>
      <c r="I153">
        <v>55</v>
      </c>
      <c r="J153">
        <v>31</v>
      </c>
      <c r="K153">
        <v>44.07</v>
      </c>
      <c r="L153">
        <v>0</v>
      </c>
      <c r="M153">
        <v>46.411000000000001</v>
      </c>
      <c r="N153">
        <v>0.57199999999999995</v>
      </c>
      <c r="P153" s="1">
        <f t="shared" si="15"/>
        <v>12.891944444444444</v>
      </c>
      <c r="Q153" s="3">
        <f t="shared" si="16"/>
        <v>0.71944444444444144</v>
      </c>
      <c r="R153" s="3">
        <f t="shared" si="17"/>
        <v>0.161944444444444</v>
      </c>
      <c r="S153" s="3">
        <f t="shared" si="21"/>
        <v>0.12689393939393945</v>
      </c>
      <c r="U153" s="1">
        <f t="shared" si="18"/>
        <v>12.786186868686871</v>
      </c>
      <c r="V153" s="3">
        <f t="shared" si="19"/>
        <v>0.12689393939394122</v>
      </c>
      <c r="W153" s="3">
        <f t="shared" si="20"/>
        <v>9.5808080808081897E-2</v>
      </c>
    </row>
    <row r="154" spans="1:23" x14ac:dyDescent="0.25">
      <c r="A154" t="s">
        <v>16</v>
      </c>
      <c r="C154">
        <v>52.0486705</v>
      </c>
      <c r="D154">
        <v>-0.57310220000000001</v>
      </c>
      <c r="E154">
        <v>4</v>
      </c>
      <c r="F154">
        <v>4</v>
      </c>
      <c r="G154">
        <v>2022</v>
      </c>
      <c r="H154">
        <v>13</v>
      </c>
      <c r="I154">
        <v>55</v>
      </c>
      <c r="J154">
        <v>31.1</v>
      </c>
      <c r="K154">
        <v>44.03</v>
      </c>
      <c r="L154">
        <v>0</v>
      </c>
      <c r="M154">
        <v>46.454000000000001</v>
      </c>
      <c r="N154">
        <v>0.56499999999999995</v>
      </c>
      <c r="P154" s="1">
        <f t="shared" si="15"/>
        <v>12.903888888888888</v>
      </c>
      <c r="Q154" s="3">
        <f t="shared" si="16"/>
        <v>0.11944444444443647</v>
      </c>
      <c r="R154" s="3">
        <f t="shared" si="17"/>
        <v>0.17999999999999972</v>
      </c>
      <c r="S154" s="3">
        <f t="shared" si="21"/>
        <v>0.13909090909090935</v>
      </c>
      <c r="U154" s="1">
        <f t="shared" si="18"/>
        <v>12.799015151515151</v>
      </c>
      <c r="V154" s="3">
        <f t="shared" si="19"/>
        <v>0.13909090909090693</v>
      </c>
      <c r="W154" s="3">
        <f t="shared" si="20"/>
        <v>0.12015610651974368</v>
      </c>
    </row>
    <row r="155" spans="1:23" x14ac:dyDescent="0.25">
      <c r="A155" t="s">
        <v>16</v>
      </c>
      <c r="C155">
        <v>52.0486814</v>
      </c>
      <c r="D155">
        <v>-0.57310729999999999</v>
      </c>
      <c r="E155">
        <v>4</v>
      </c>
      <c r="F155">
        <v>4</v>
      </c>
      <c r="G155">
        <v>2022</v>
      </c>
      <c r="H155">
        <v>13</v>
      </c>
      <c r="I155">
        <v>55</v>
      </c>
      <c r="J155">
        <v>31.2</v>
      </c>
      <c r="K155">
        <v>43.98</v>
      </c>
      <c r="L155">
        <v>0</v>
      </c>
      <c r="M155">
        <v>46.335999999999999</v>
      </c>
      <c r="N155">
        <v>0.56499999999999995</v>
      </c>
      <c r="P155" s="1">
        <f t="shared" si="15"/>
        <v>12.871111111111111</v>
      </c>
      <c r="Q155" s="3">
        <f t="shared" si="16"/>
        <v>-0.32777777777777573</v>
      </c>
      <c r="R155" s="3">
        <f t="shared" si="17"/>
        <v>6.0000000000000497E-2</v>
      </c>
      <c r="S155" s="3">
        <f t="shared" si="21"/>
        <v>0.13909090909090935</v>
      </c>
      <c r="U155" s="1">
        <f t="shared" si="18"/>
        <v>12.817651515151516</v>
      </c>
      <c r="V155" s="3">
        <f t="shared" si="19"/>
        <v>0.13909090909091049</v>
      </c>
      <c r="W155" s="3">
        <f t="shared" si="20"/>
        <v>0.13894857667585001</v>
      </c>
    </row>
    <row r="156" spans="1:23" x14ac:dyDescent="0.25">
      <c r="A156" t="s">
        <v>16</v>
      </c>
      <c r="C156">
        <v>52.048692199999998</v>
      </c>
      <c r="D156">
        <v>-0.57311239999999997</v>
      </c>
      <c r="E156">
        <v>4</v>
      </c>
      <c r="F156">
        <v>4</v>
      </c>
      <c r="G156">
        <v>2022</v>
      </c>
      <c r="H156">
        <v>13</v>
      </c>
      <c r="I156">
        <v>55</v>
      </c>
      <c r="J156">
        <v>31.3</v>
      </c>
      <c r="K156">
        <v>43.92</v>
      </c>
      <c r="L156">
        <v>0</v>
      </c>
      <c r="M156">
        <v>45.985999999999997</v>
      </c>
      <c r="N156">
        <v>0.54700000000000004</v>
      </c>
      <c r="P156" s="1">
        <f t="shared" si="15"/>
        <v>12.773888888888889</v>
      </c>
      <c r="Q156" s="3">
        <f t="shared" si="16"/>
        <v>-0.97222222222221433</v>
      </c>
      <c r="R156" s="3">
        <f t="shared" si="17"/>
        <v>0.21805555555555678</v>
      </c>
      <c r="S156" s="3">
        <f t="shared" si="21"/>
        <v>0.15325757575757606</v>
      </c>
      <c r="U156" s="1">
        <f t="shared" si="18"/>
        <v>12.835732323232323</v>
      </c>
      <c r="V156" s="3">
        <f t="shared" si="19"/>
        <v>0.15325757575757848</v>
      </c>
      <c r="W156" s="3">
        <f t="shared" si="20"/>
        <v>0.15316345270890802</v>
      </c>
    </row>
    <row r="157" spans="1:23" x14ac:dyDescent="0.25">
      <c r="A157" t="s">
        <v>16</v>
      </c>
      <c r="C157">
        <v>52.0487033</v>
      </c>
      <c r="D157">
        <v>-0.5731176</v>
      </c>
      <c r="E157">
        <v>4</v>
      </c>
      <c r="F157">
        <v>4</v>
      </c>
      <c r="G157">
        <v>2022</v>
      </c>
      <c r="H157">
        <v>13</v>
      </c>
      <c r="I157">
        <v>55</v>
      </c>
      <c r="J157">
        <v>31.4</v>
      </c>
      <c r="K157">
        <v>43.89</v>
      </c>
      <c r="L157">
        <v>0</v>
      </c>
      <c r="M157">
        <v>46.515999999999998</v>
      </c>
      <c r="N157">
        <v>0.56499999999999995</v>
      </c>
      <c r="P157" s="1">
        <f t="shared" si="15"/>
        <v>12.921111111111111</v>
      </c>
      <c r="Q157" s="3">
        <f t="shared" si="16"/>
        <v>1.4722222222222214</v>
      </c>
      <c r="R157" s="3">
        <f t="shared" si="17"/>
        <v>0.161944444444444</v>
      </c>
      <c r="S157" s="3">
        <f t="shared" si="21"/>
        <v>0.17881313131313156</v>
      </c>
      <c r="U157" s="1">
        <f t="shared" si="18"/>
        <v>12.859823232323235</v>
      </c>
      <c r="V157" s="3">
        <f t="shared" si="19"/>
        <v>0.17881313131313092</v>
      </c>
      <c r="W157" s="3">
        <f t="shared" si="20"/>
        <v>0.16213269054178187</v>
      </c>
    </row>
    <row r="158" spans="1:23" x14ac:dyDescent="0.25">
      <c r="A158" t="s">
        <v>16</v>
      </c>
      <c r="C158">
        <v>52.048714199999999</v>
      </c>
      <c r="D158">
        <v>-0.57312300000000005</v>
      </c>
      <c r="E158">
        <v>4</v>
      </c>
      <c r="F158">
        <v>4</v>
      </c>
      <c r="G158">
        <v>2022</v>
      </c>
      <c r="H158">
        <v>13</v>
      </c>
      <c r="I158">
        <v>55</v>
      </c>
      <c r="J158">
        <v>31.5</v>
      </c>
      <c r="K158">
        <v>43.86</v>
      </c>
      <c r="L158">
        <v>0</v>
      </c>
      <c r="M158">
        <v>46.051000000000002</v>
      </c>
      <c r="N158">
        <v>0.57999999999999996</v>
      </c>
      <c r="P158" s="1">
        <f t="shared" si="15"/>
        <v>12.791944444444445</v>
      </c>
      <c r="Q158" s="3">
        <f t="shared" si="16"/>
        <v>-1.2916666666666643</v>
      </c>
      <c r="R158" s="3">
        <f t="shared" si="17"/>
        <v>9.8055555555555785E-2</v>
      </c>
      <c r="S158" s="3">
        <f t="shared" si="21"/>
        <v>0.18881313131313152</v>
      </c>
      <c r="U158" s="1">
        <f t="shared" si="18"/>
        <v>12.875277777777779</v>
      </c>
      <c r="V158" s="3">
        <f t="shared" si="19"/>
        <v>0.18881313131312893</v>
      </c>
      <c r="W158" s="3">
        <f t="shared" si="20"/>
        <v>0.16489669421487607</v>
      </c>
    </row>
    <row r="159" spans="1:23" x14ac:dyDescent="0.25">
      <c r="A159" t="s">
        <v>16</v>
      </c>
      <c r="C159">
        <v>52.048725099999999</v>
      </c>
      <c r="D159">
        <v>-0.57312890000000005</v>
      </c>
      <c r="E159">
        <v>4</v>
      </c>
      <c r="F159">
        <v>4</v>
      </c>
      <c r="G159">
        <v>2022</v>
      </c>
      <c r="H159">
        <v>13</v>
      </c>
      <c r="I159">
        <v>55</v>
      </c>
      <c r="J159">
        <v>31.6</v>
      </c>
      <c r="K159">
        <v>43.89</v>
      </c>
      <c r="L159">
        <v>0</v>
      </c>
      <c r="M159">
        <v>45.975999999999999</v>
      </c>
      <c r="N159">
        <v>0.59</v>
      </c>
      <c r="P159" s="1">
        <f t="shared" si="15"/>
        <v>12.771111111111111</v>
      </c>
      <c r="Q159" s="3">
        <f t="shared" si="16"/>
        <v>-0.20833333333333925</v>
      </c>
      <c r="R159" s="3">
        <f t="shared" si="17"/>
        <v>0.20916666666666828</v>
      </c>
      <c r="S159" s="3">
        <f t="shared" si="21"/>
        <v>0.19318181818181851</v>
      </c>
      <c r="U159" s="1">
        <f t="shared" si="18"/>
        <v>12.895378787878787</v>
      </c>
      <c r="V159" s="3">
        <f t="shared" si="19"/>
        <v>0.19318181818182012</v>
      </c>
      <c r="W159" s="3">
        <f t="shared" si="20"/>
        <v>0.1631221303948576</v>
      </c>
    </row>
    <row r="160" spans="1:23" x14ac:dyDescent="0.25">
      <c r="A160" t="s">
        <v>16</v>
      </c>
      <c r="C160">
        <v>52.0487362</v>
      </c>
      <c r="D160">
        <v>-0.57313449999999999</v>
      </c>
      <c r="E160">
        <v>4</v>
      </c>
      <c r="F160">
        <v>4</v>
      </c>
      <c r="G160">
        <v>2022</v>
      </c>
      <c r="H160">
        <v>13</v>
      </c>
      <c r="I160">
        <v>55</v>
      </c>
      <c r="J160">
        <v>31.7</v>
      </c>
      <c r="K160">
        <v>43.89</v>
      </c>
      <c r="L160">
        <v>0</v>
      </c>
      <c r="M160">
        <v>46.066000000000003</v>
      </c>
      <c r="N160">
        <v>0.59</v>
      </c>
      <c r="P160" s="1">
        <f t="shared" si="15"/>
        <v>12.796111111111111</v>
      </c>
      <c r="Q160" s="3">
        <f t="shared" si="16"/>
        <v>0.25000000000000355</v>
      </c>
      <c r="R160" s="3">
        <f t="shared" si="17"/>
        <v>0.15777777777777757</v>
      </c>
      <c r="S160" s="3">
        <f t="shared" si="21"/>
        <v>0.19143939393939424</v>
      </c>
      <c r="U160" s="1">
        <f t="shared" si="18"/>
        <v>12.906742424242426</v>
      </c>
      <c r="V160" s="3">
        <f t="shared" si="19"/>
        <v>0.19143939393939213</v>
      </c>
      <c r="W160" s="3">
        <f t="shared" si="20"/>
        <v>0.15689853076216712</v>
      </c>
    </row>
    <row r="161" spans="1:23" x14ac:dyDescent="0.25">
      <c r="A161" t="s">
        <v>16</v>
      </c>
      <c r="C161">
        <v>52.048747300000002</v>
      </c>
      <c r="D161">
        <v>-0.57314019999999999</v>
      </c>
      <c r="E161">
        <v>4</v>
      </c>
      <c r="F161">
        <v>4</v>
      </c>
      <c r="G161">
        <v>2022</v>
      </c>
      <c r="H161">
        <v>13</v>
      </c>
      <c r="I161">
        <v>55</v>
      </c>
      <c r="J161">
        <v>31.8</v>
      </c>
      <c r="K161">
        <v>43.89</v>
      </c>
      <c r="L161">
        <v>0</v>
      </c>
      <c r="M161">
        <v>46.566000000000003</v>
      </c>
      <c r="N161">
        <v>0.60499999999999998</v>
      </c>
      <c r="P161" s="1">
        <f t="shared" si="15"/>
        <v>12.935</v>
      </c>
      <c r="Q161" s="3">
        <f t="shared" si="16"/>
        <v>1.3888888888888928</v>
      </c>
      <c r="R161" s="3">
        <f t="shared" si="17"/>
        <v>0.338055555555556</v>
      </c>
      <c r="S161" s="3">
        <f t="shared" si="21"/>
        <v>0.19108585858585883</v>
      </c>
      <c r="U161" s="1">
        <f t="shared" si="18"/>
        <v>12.928636363636366</v>
      </c>
      <c r="V161" s="3">
        <f t="shared" si="19"/>
        <v>0.19108585858586125</v>
      </c>
      <c r="W161" s="3">
        <f t="shared" si="20"/>
        <v>0.14876721763085354</v>
      </c>
    </row>
    <row r="162" spans="1:23" x14ac:dyDescent="0.25">
      <c r="A162" t="s">
        <v>16</v>
      </c>
      <c r="C162">
        <v>52.0487587</v>
      </c>
      <c r="D162">
        <v>-0.57314589999999999</v>
      </c>
      <c r="E162">
        <v>4</v>
      </c>
      <c r="F162">
        <v>4</v>
      </c>
      <c r="G162">
        <v>2022</v>
      </c>
      <c r="H162">
        <v>13</v>
      </c>
      <c r="I162">
        <v>55</v>
      </c>
      <c r="J162">
        <v>31.9</v>
      </c>
      <c r="K162">
        <v>43.94</v>
      </c>
      <c r="L162">
        <v>0</v>
      </c>
      <c r="M162">
        <v>46.734999999999999</v>
      </c>
      <c r="N162">
        <v>0.58699999999999997</v>
      </c>
      <c r="P162" s="1">
        <f t="shared" si="15"/>
        <v>12.981944444444444</v>
      </c>
      <c r="Q162" s="3">
        <f t="shared" si="16"/>
        <v>0.46944444444443789</v>
      </c>
      <c r="R162" s="3">
        <f t="shared" si="17"/>
        <v>0.26388888888888928</v>
      </c>
      <c r="S162" s="3">
        <f t="shared" si="21"/>
        <v>0.17118686868686889</v>
      </c>
      <c r="U162" s="1">
        <f t="shared" si="18"/>
        <v>12.966010101010101</v>
      </c>
      <c r="V162" s="3">
        <f t="shared" si="19"/>
        <v>0.17118686868686517</v>
      </c>
      <c r="W162" s="3">
        <f t="shared" si="20"/>
        <v>0.1360583103764913</v>
      </c>
    </row>
    <row r="163" spans="1:23" x14ac:dyDescent="0.25">
      <c r="A163" t="s">
        <v>16</v>
      </c>
      <c r="C163">
        <v>52.048769900000003</v>
      </c>
      <c r="D163">
        <v>-0.57315210000000005</v>
      </c>
      <c r="E163">
        <v>4</v>
      </c>
      <c r="F163">
        <v>4</v>
      </c>
      <c r="G163">
        <v>2022</v>
      </c>
      <c r="H163">
        <v>13</v>
      </c>
      <c r="I163">
        <v>55</v>
      </c>
      <c r="J163">
        <v>32</v>
      </c>
      <c r="K163">
        <v>43.99</v>
      </c>
      <c r="L163">
        <v>0</v>
      </c>
      <c r="M163">
        <v>46.764000000000003</v>
      </c>
      <c r="N163">
        <v>0.57199999999999995</v>
      </c>
      <c r="P163" s="1">
        <f t="shared" si="15"/>
        <v>12.99</v>
      </c>
      <c r="Q163" s="3">
        <f t="shared" si="16"/>
        <v>8.0555555555559266E-2</v>
      </c>
      <c r="R163" s="3">
        <f t="shared" si="17"/>
        <v>0.22805555555555479</v>
      </c>
      <c r="S163" s="3">
        <f t="shared" si="21"/>
        <v>0.14101010101010125</v>
      </c>
      <c r="U163" s="1">
        <f t="shared" si="18"/>
        <v>12.975</v>
      </c>
      <c r="V163" s="3">
        <f t="shared" si="19"/>
        <v>0.14101010101010125</v>
      </c>
      <c r="W163" s="3">
        <f t="shared" si="20"/>
        <v>0.11977043158861246</v>
      </c>
    </row>
    <row r="164" spans="1:23" x14ac:dyDescent="0.25">
      <c r="A164" t="s">
        <v>16</v>
      </c>
      <c r="C164">
        <v>52.048781200000001</v>
      </c>
      <c r="D164">
        <v>-0.57315780000000005</v>
      </c>
      <c r="E164">
        <v>4</v>
      </c>
      <c r="F164">
        <v>4</v>
      </c>
      <c r="G164">
        <v>2022</v>
      </c>
      <c r="H164">
        <v>13</v>
      </c>
      <c r="I164">
        <v>55</v>
      </c>
      <c r="J164">
        <v>32.1</v>
      </c>
      <c r="K164">
        <v>43.97</v>
      </c>
      <c r="L164">
        <v>0</v>
      </c>
      <c r="M164">
        <v>47.207000000000001</v>
      </c>
      <c r="N164">
        <v>0.56200000000000006</v>
      </c>
      <c r="P164" s="1">
        <f t="shared" si="15"/>
        <v>13.113055555555556</v>
      </c>
      <c r="Q164" s="3">
        <f t="shared" si="16"/>
        <v>1.2305555555555614</v>
      </c>
      <c r="R164" s="3">
        <f t="shared" si="17"/>
        <v>0.21000000000000085</v>
      </c>
      <c r="S164" s="3">
        <f t="shared" si="21"/>
        <v>0.10737373737373752</v>
      </c>
      <c r="U164" s="1">
        <f t="shared" si="18"/>
        <v>12.992196969696971</v>
      </c>
      <c r="V164" s="3">
        <f t="shared" si="19"/>
        <v>0.10737373737373801</v>
      </c>
      <c r="W164" s="3">
        <f t="shared" si="20"/>
        <v>9.9977043158860635E-2</v>
      </c>
    </row>
    <row r="165" spans="1:23" x14ac:dyDescent="0.25">
      <c r="A165" t="s">
        <v>16</v>
      </c>
      <c r="C165">
        <v>52.048792200000001</v>
      </c>
      <c r="D165">
        <v>-0.57316370000000005</v>
      </c>
      <c r="E165">
        <v>4</v>
      </c>
      <c r="F165">
        <v>4</v>
      </c>
      <c r="G165">
        <v>2022</v>
      </c>
      <c r="H165">
        <v>13</v>
      </c>
      <c r="I165">
        <v>55</v>
      </c>
      <c r="J165">
        <v>32.200000000000003</v>
      </c>
      <c r="K165">
        <v>43.94</v>
      </c>
      <c r="L165">
        <v>0</v>
      </c>
      <c r="M165">
        <v>46.904000000000003</v>
      </c>
      <c r="N165">
        <v>0.56499999999999995</v>
      </c>
      <c r="P165" s="1">
        <f t="shared" si="15"/>
        <v>13.028888888888888</v>
      </c>
      <c r="Q165" s="3">
        <f t="shared" si="16"/>
        <v>-0.84166666666668277</v>
      </c>
      <c r="R165" s="3">
        <f t="shared" si="17"/>
        <v>0.16083333333333272</v>
      </c>
      <c r="S165" s="3">
        <f t="shared" si="21"/>
        <v>7.0631313131313267E-2</v>
      </c>
      <c r="U165" s="1">
        <f t="shared" si="18"/>
        <v>13.009090909090908</v>
      </c>
      <c r="V165" s="3">
        <f t="shared" si="19"/>
        <v>7.0631313131311657E-2</v>
      </c>
      <c r="W165" s="3">
        <f t="shared" si="20"/>
        <v>7.7770890725435429E-2</v>
      </c>
    </row>
    <row r="166" spans="1:23" x14ac:dyDescent="0.25">
      <c r="A166" t="s">
        <v>16</v>
      </c>
      <c r="C166">
        <v>52.048803399999997</v>
      </c>
      <c r="D166">
        <v>-0.5731697</v>
      </c>
      <c r="E166">
        <v>4</v>
      </c>
      <c r="F166">
        <v>4</v>
      </c>
      <c r="G166">
        <v>2022</v>
      </c>
      <c r="H166">
        <v>13</v>
      </c>
      <c r="I166">
        <v>55</v>
      </c>
      <c r="J166">
        <v>32.299999999999997</v>
      </c>
      <c r="K166">
        <v>43.92</v>
      </c>
      <c r="L166">
        <v>0</v>
      </c>
      <c r="M166">
        <v>47.203000000000003</v>
      </c>
      <c r="N166">
        <v>0.56499999999999995</v>
      </c>
      <c r="P166" s="1">
        <f t="shared" si="15"/>
        <v>13.111944444444445</v>
      </c>
      <c r="Q166" s="3">
        <f t="shared" si="16"/>
        <v>0.83055555555556992</v>
      </c>
      <c r="R166" s="3">
        <f t="shared" si="17"/>
        <v>5.6111111111111001E-2</v>
      </c>
      <c r="S166" s="3">
        <f t="shared" si="21"/>
        <v>4.964646464646482E-2</v>
      </c>
      <c r="U166" s="1">
        <f t="shared" si="18"/>
        <v>13.026818181818184</v>
      </c>
      <c r="V166" s="3">
        <f t="shared" si="19"/>
        <v>4.9646464646460942E-2</v>
      </c>
      <c r="W166" s="3">
        <f t="shared" si="20"/>
        <v>5.3475665748392132E-2</v>
      </c>
    </row>
    <row r="167" spans="1:23" x14ac:dyDescent="0.25">
      <c r="A167" t="s">
        <v>16</v>
      </c>
      <c r="C167">
        <v>52.048814499999999</v>
      </c>
      <c r="D167">
        <v>-0.57317589999999996</v>
      </c>
      <c r="E167">
        <v>4</v>
      </c>
      <c r="F167">
        <v>4</v>
      </c>
      <c r="G167">
        <v>2022</v>
      </c>
      <c r="H167">
        <v>13</v>
      </c>
      <c r="I167">
        <v>55</v>
      </c>
      <c r="J167">
        <v>32.4</v>
      </c>
      <c r="K167">
        <v>43.89</v>
      </c>
      <c r="L167">
        <v>0</v>
      </c>
      <c r="M167">
        <v>47.466000000000001</v>
      </c>
      <c r="N167">
        <v>0.57599999999999996</v>
      </c>
      <c r="P167" s="1">
        <f t="shared" si="15"/>
        <v>13.185</v>
      </c>
      <c r="Q167" s="3">
        <f t="shared" si="16"/>
        <v>0.73055555555555429</v>
      </c>
      <c r="R167" s="3">
        <f t="shared" si="17"/>
        <v>-8.3333333333257542E-4</v>
      </c>
      <c r="S167" s="3">
        <f t="shared" si="21"/>
        <v>1.3459595959596045E-2</v>
      </c>
      <c r="U167" s="1">
        <f t="shared" si="18"/>
        <v>13.0310101010101</v>
      </c>
      <c r="V167" s="3">
        <f t="shared" si="19"/>
        <v>1.3459595959593784E-2</v>
      </c>
      <c r="W167" s="3">
        <f t="shared" si="20"/>
        <v>2.7995867768594127E-2</v>
      </c>
    </row>
    <row r="168" spans="1:23" x14ac:dyDescent="0.25">
      <c r="A168" t="s">
        <v>16</v>
      </c>
      <c r="C168">
        <v>52.048825399999998</v>
      </c>
      <c r="D168">
        <v>-0.57318250000000004</v>
      </c>
      <c r="E168">
        <v>4</v>
      </c>
      <c r="F168">
        <v>4</v>
      </c>
      <c r="G168">
        <v>2022</v>
      </c>
      <c r="H168">
        <v>13</v>
      </c>
      <c r="I168">
        <v>55</v>
      </c>
      <c r="J168">
        <v>32.5</v>
      </c>
      <c r="K168">
        <v>43.9</v>
      </c>
      <c r="L168">
        <v>0</v>
      </c>
      <c r="M168">
        <v>46.872</v>
      </c>
      <c r="N168">
        <v>0.60799999999999998</v>
      </c>
      <c r="P168" s="1">
        <f t="shared" si="15"/>
        <v>13.02</v>
      </c>
      <c r="Q168" s="3">
        <f t="shared" si="16"/>
        <v>-1.6500000000000092</v>
      </c>
      <c r="R168" s="3">
        <f t="shared" si="17"/>
        <v>-0.16999999999999993</v>
      </c>
      <c r="S168" s="3">
        <f t="shared" si="21"/>
        <v>-3.5353535353524734E-4</v>
      </c>
      <c r="U168" s="1">
        <f t="shared" si="18"/>
        <v>13.01628787878788</v>
      </c>
      <c r="V168" s="3">
        <f t="shared" si="19"/>
        <v>-3.5353535353621623E-4</v>
      </c>
      <c r="W168" s="3">
        <f t="shared" si="20"/>
        <v>5.8287419651045528E-3</v>
      </c>
    </row>
    <row r="169" spans="1:23" x14ac:dyDescent="0.25">
      <c r="A169" t="s">
        <v>16</v>
      </c>
      <c r="C169">
        <v>52.048836299999998</v>
      </c>
      <c r="D169">
        <v>-0.5731889</v>
      </c>
      <c r="E169">
        <v>4</v>
      </c>
      <c r="F169">
        <v>4</v>
      </c>
      <c r="G169">
        <v>2022</v>
      </c>
      <c r="H169">
        <v>13</v>
      </c>
      <c r="I169">
        <v>55</v>
      </c>
      <c r="J169">
        <v>32.6</v>
      </c>
      <c r="K169">
        <v>43.89</v>
      </c>
      <c r="L169">
        <v>0</v>
      </c>
      <c r="M169">
        <v>46.731999999999999</v>
      </c>
      <c r="N169">
        <v>0.64800000000000002</v>
      </c>
      <c r="P169" s="1">
        <f t="shared" si="15"/>
        <v>12.981111111111112</v>
      </c>
      <c r="Q169" s="3">
        <f t="shared" si="16"/>
        <v>-0.38888888888887863</v>
      </c>
      <c r="R169" s="3">
        <f t="shared" si="17"/>
        <v>-0.27194444444444521</v>
      </c>
      <c r="S169" s="3">
        <f t="shared" si="21"/>
        <v>-2.8914141414141333E-2</v>
      </c>
      <c r="U169" s="1">
        <f t="shared" si="18"/>
        <v>13.002752525252525</v>
      </c>
      <c r="V169" s="3">
        <f t="shared" si="19"/>
        <v>-2.891414141414117E-2</v>
      </c>
      <c r="W169" s="3">
        <f t="shared" si="20"/>
        <v>-1.083562901744854E-2</v>
      </c>
    </row>
    <row r="170" spans="1:23" x14ac:dyDescent="0.25">
      <c r="A170" t="s">
        <v>16</v>
      </c>
      <c r="C170">
        <v>52.048847199999997</v>
      </c>
      <c r="D170">
        <v>-0.57319529999999996</v>
      </c>
      <c r="E170">
        <v>4</v>
      </c>
      <c r="F170">
        <v>4</v>
      </c>
      <c r="G170">
        <v>2022</v>
      </c>
      <c r="H170">
        <v>13</v>
      </c>
      <c r="I170">
        <v>55</v>
      </c>
      <c r="J170">
        <v>32.700000000000003</v>
      </c>
      <c r="K170">
        <v>43.88</v>
      </c>
      <c r="L170">
        <v>0</v>
      </c>
      <c r="M170">
        <v>46.645000000000003</v>
      </c>
      <c r="N170">
        <v>0.67700000000000005</v>
      </c>
      <c r="P170" s="1">
        <f t="shared" si="15"/>
        <v>12.956944444444444</v>
      </c>
      <c r="Q170" s="3">
        <f t="shared" si="16"/>
        <v>-0.2416666666666778</v>
      </c>
      <c r="R170" s="3">
        <f t="shared" si="17"/>
        <v>-0.19499999999999851</v>
      </c>
      <c r="S170" s="3">
        <f t="shared" si="21"/>
        <v>-5.1085858585858575E-2</v>
      </c>
      <c r="U170" s="1">
        <f t="shared" si="18"/>
        <v>12.977373737373737</v>
      </c>
      <c r="V170" s="3">
        <f t="shared" si="19"/>
        <v>-5.1085858585857125E-2</v>
      </c>
      <c r="W170" s="3">
        <f t="shared" si="20"/>
        <v>-1.960743801653031E-2</v>
      </c>
    </row>
    <row r="171" spans="1:23" x14ac:dyDescent="0.25">
      <c r="A171" t="s">
        <v>16</v>
      </c>
      <c r="C171">
        <v>52.048858199999998</v>
      </c>
      <c r="D171">
        <v>-0.57320179999999998</v>
      </c>
      <c r="E171">
        <v>4</v>
      </c>
      <c r="F171">
        <v>4</v>
      </c>
      <c r="G171">
        <v>2022</v>
      </c>
      <c r="H171">
        <v>13</v>
      </c>
      <c r="I171">
        <v>55</v>
      </c>
      <c r="J171">
        <v>32.799999999999997</v>
      </c>
      <c r="K171">
        <v>43.88</v>
      </c>
      <c r="L171">
        <v>0</v>
      </c>
      <c r="M171">
        <v>46.768000000000001</v>
      </c>
      <c r="N171">
        <v>0.68</v>
      </c>
      <c r="P171" s="1">
        <f t="shared" si="15"/>
        <v>12.991111111111111</v>
      </c>
      <c r="Q171" s="3">
        <f t="shared" si="16"/>
        <v>0.34166666666667567</v>
      </c>
      <c r="R171" s="3">
        <f t="shared" si="17"/>
        <v>-7.3055555555555429E-2</v>
      </c>
      <c r="S171" s="3">
        <f t="shared" si="21"/>
        <v>-7.5808080808080713E-2</v>
      </c>
      <c r="U171" s="1">
        <f t="shared" si="18"/>
        <v>12.978282828282827</v>
      </c>
      <c r="V171" s="3">
        <f t="shared" si="19"/>
        <v>-7.58080808080841E-2</v>
      </c>
      <c r="W171" s="3">
        <f t="shared" si="20"/>
        <v>-2.2442607897154524E-2</v>
      </c>
    </row>
    <row r="172" spans="1:23" x14ac:dyDescent="0.25">
      <c r="A172" t="s">
        <v>16</v>
      </c>
      <c r="C172">
        <v>52.048869199999999</v>
      </c>
      <c r="D172">
        <v>-0.57320850000000001</v>
      </c>
      <c r="E172">
        <v>4</v>
      </c>
      <c r="F172">
        <v>4</v>
      </c>
      <c r="G172">
        <v>2022</v>
      </c>
      <c r="H172">
        <v>13</v>
      </c>
      <c r="I172">
        <v>55</v>
      </c>
      <c r="J172">
        <v>32.9</v>
      </c>
      <c r="K172">
        <v>43.94</v>
      </c>
      <c r="L172">
        <v>0</v>
      </c>
      <c r="M172">
        <v>46.731999999999999</v>
      </c>
      <c r="N172">
        <v>0.60099999999999998</v>
      </c>
      <c r="P172" s="1">
        <f t="shared" si="15"/>
        <v>12.981111111111112</v>
      </c>
      <c r="Q172" s="3">
        <f t="shared" si="16"/>
        <v>-9.9999999999997868E-2</v>
      </c>
      <c r="R172" s="3">
        <f t="shared" si="17"/>
        <v>-6.0000000000000497E-2</v>
      </c>
      <c r="S172" s="3">
        <f t="shared" si="21"/>
        <v>-8.9191919191919086E-2</v>
      </c>
      <c r="U172" s="1">
        <f t="shared" si="18"/>
        <v>12.979469696969694</v>
      </c>
      <c r="V172" s="3">
        <f t="shared" si="19"/>
        <v>-8.9191919191916824E-2</v>
      </c>
      <c r="W172" s="3">
        <f t="shared" si="20"/>
        <v>-2.1170798898072232E-2</v>
      </c>
    </row>
    <row r="173" spans="1:23" x14ac:dyDescent="0.25">
      <c r="A173" t="s">
        <v>16</v>
      </c>
      <c r="C173">
        <v>52.048879999999997</v>
      </c>
      <c r="D173">
        <v>-0.57321529999999998</v>
      </c>
      <c r="E173">
        <v>4</v>
      </c>
      <c r="F173">
        <v>4</v>
      </c>
      <c r="G173">
        <v>2022</v>
      </c>
      <c r="H173">
        <v>13</v>
      </c>
      <c r="I173">
        <v>55</v>
      </c>
      <c r="J173">
        <v>33</v>
      </c>
      <c r="K173">
        <v>43.97</v>
      </c>
      <c r="L173">
        <v>0</v>
      </c>
      <c r="M173">
        <v>46.152000000000001</v>
      </c>
      <c r="N173">
        <v>0.58699999999999997</v>
      </c>
      <c r="P173" s="1">
        <f t="shared" si="15"/>
        <v>12.82</v>
      </c>
      <c r="Q173" s="3">
        <f t="shared" si="16"/>
        <v>-1.6111111111111143</v>
      </c>
      <c r="R173" s="3">
        <f t="shared" si="17"/>
        <v>0.11194444444444507</v>
      </c>
      <c r="S173" s="3">
        <f t="shared" si="21"/>
        <v>-7.265151515151512E-2</v>
      </c>
      <c r="U173" s="1">
        <f t="shared" si="18"/>
        <v>12.974646464646463</v>
      </c>
      <c r="V173" s="3">
        <f t="shared" si="19"/>
        <v>-7.265151515152013E-2</v>
      </c>
      <c r="W173" s="3">
        <f t="shared" si="20"/>
        <v>-1.4311294765840608E-2</v>
      </c>
    </row>
    <row r="174" spans="1:23" x14ac:dyDescent="0.25">
      <c r="A174" t="s">
        <v>16</v>
      </c>
      <c r="C174">
        <v>52.048890999999998</v>
      </c>
      <c r="D174">
        <v>-0.57322229999999996</v>
      </c>
      <c r="E174">
        <v>4</v>
      </c>
      <c r="F174">
        <v>4</v>
      </c>
      <c r="G174">
        <v>2022</v>
      </c>
      <c r="H174">
        <v>13</v>
      </c>
      <c r="I174">
        <v>55</v>
      </c>
      <c r="J174">
        <v>33.1</v>
      </c>
      <c r="K174">
        <v>44.05</v>
      </c>
      <c r="L174">
        <v>0</v>
      </c>
      <c r="M174">
        <v>46.228000000000002</v>
      </c>
      <c r="N174">
        <v>0.57999999999999996</v>
      </c>
      <c r="P174" s="1">
        <f t="shared" si="15"/>
        <v>12.841111111111111</v>
      </c>
      <c r="Q174" s="3">
        <f t="shared" si="16"/>
        <v>0.21111111111110858</v>
      </c>
      <c r="R174" s="3">
        <f t="shared" si="17"/>
        <v>-8.6111111111112137E-2</v>
      </c>
      <c r="S174" s="3">
        <f t="shared" si="21"/>
        <v>-4.229797979797971E-2</v>
      </c>
      <c r="U174" s="1">
        <f t="shared" si="18"/>
        <v>12.96328282828283</v>
      </c>
      <c r="V174" s="3">
        <f t="shared" si="19"/>
        <v>-4.2297979797982777E-2</v>
      </c>
      <c r="W174" s="3">
        <f t="shared" si="20"/>
        <v>-5.741505968779234E-3</v>
      </c>
    </row>
    <row r="175" spans="1:23" x14ac:dyDescent="0.25">
      <c r="A175" t="s">
        <v>16</v>
      </c>
      <c r="C175">
        <v>52.048901899999997</v>
      </c>
      <c r="D175">
        <v>-0.57322890000000004</v>
      </c>
      <c r="E175">
        <v>4</v>
      </c>
      <c r="F175">
        <v>4</v>
      </c>
      <c r="G175">
        <v>2022</v>
      </c>
      <c r="H175">
        <v>13</v>
      </c>
      <c r="I175">
        <v>55</v>
      </c>
      <c r="J175">
        <v>33.200000000000003</v>
      </c>
      <c r="K175">
        <v>44.1</v>
      </c>
      <c r="L175">
        <v>0</v>
      </c>
      <c r="M175">
        <v>46.201999999999998</v>
      </c>
      <c r="N175">
        <v>0.56499999999999995</v>
      </c>
      <c r="P175" s="1">
        <f t="shared" si="15"/>
        <v>12.83388888888889</v>
      </c>
      <c r="Q175" s="3">
        <f t="shared" si="16"/>
        <v>-7.2222222222215748E-2</v>
      </c>
      <c r="R175" s="3">
        <f t="shared" si="17"/>
        <v>-3.3888888888888857E-2</v>
      </c>
      <c r="S175" s="3">
        <f t="shared" si="21"/>
        <v>1.0883838383838551E-2</v>
      </c>
      <c r="U175" s="1">
        <f t="shared" si="18"/>
        <v>12.958005050505051</v>
      </c>
      <c r="V175" s="3">
        <f t="shared" si="19"/>
        <v>1.0883838383838551E-2</v>
      </c>
      <c r="W175" s="3">
        <f t="shared" si="20"/>
        <v>6.7630853994483757E-3</v>
      </c>
    </row>
    <row r="176" spans="1:23" x14ac:dyDescent="0.25">
      <c r="A176" t="s">
        <v>16</v>
      </c>
      <c r="C176">
        <v>52.048913200000001</v>
      </c>
      <c r="D176">
        <v>-0.5732353</v>
      </c>
      <c r="E176">
        <v>4</v>
      </c>
      <c r="F176">
        <v>4</v>
      </c>
      <c r="G176">
        <v>2022</v>
      </c>
      <c r="H176">
        <v>13</v>
      </c>
      <c r="I176">
        <v>55</v>
      </c>
      <c r="J176">
        <v>33.299999999999997</v>
      </c>
      <c r="K176">
        <v>44.15</v>
      </c>
      <c r="L176">
        <v>0</v>
      </c>
      <c r="M176">
        <v>46.94</v>
      </c>
      <c r="N176">
        <v>0.55800000000000005</v>
      </c>
      <c r="P176" s="1">
        <f t="shared" si="15"/>
        <v>13.03888888888889</v>
      </c>
      <c r="Q176" s="3">
        <f t="shared" si="16"/>
        <v>2.0500000000000007</v>
      </c>
      <c r="R176" s="3">
        <f t="shared" si="17"/>
        <v>-0.11111111111111072</v>
      </c>
      <c r="S176" s="3">
        <f t="shared" si="21"/>
        <v>3.9444444444444476E-2</v>
      </c>
      <c r="U176" s="1">
        <f t="shared" si="18"/>
        <v>12.9510101010101</v>
      </c>
      <c r="V176" s="3">
        <f t="shared" si="19"/>
        <v>3.9444444444445281E-2</v>
      </c>
      <c r="W176" s="3">
        <f t="shared" si="20"/>
        <v>2.4926538108355475E-2</v>
      </c>
    </row>
    <row r="177" spans="1:23" x14ac:dyDescent="0.25">
      <c r="A177" t="s">
        <v>16</v>
      </c>
      <c r="C177">
        <v>52.048924499999998</v>
      </c>
      <c r="D177">
        <v>-0.57324140000000001</v>
      </c>
      <c r="E177">
        <v>4</v>
      </c>
      <c r="F177">
        <v>4</v>
      </c>
      <c r="G177">
        <v>2022</v>
      </c>
      <c r="H177">
        <v>13</v>
      </c>
      <c r="I177">
        <v>55</v>
      </c>
      <c r="J177">
        <v>33.4</v>
      </c>
      <c r="K177">
        <v>44.17</v>
      </c>
      <c r="L177">
        <v>0</v>
      </c>
      <c r="M177">
        <v>47.25</v>
      </c>
      <c r="N177">
        <v>0.55800000000000005</v>
      </c>
      <c r="P177" s="1">
        <f t="shared" si="15"/>
        <v>13.125</v>
      </c>
      <c r="Q177" s="3">
        <f t="shared" si="16"/>
        <v>0.86111111111110361</v>
      </c>
      <c r="R177" s="3">
        <f t="shared" si="17"/>
        <v>-9.1111111111111143E-2</v>
      </c>
      <c r="S177" s="3">
        <f t="shared" si="21"/>
        <v>6.3636363636363727E-2</v>
      </c>
      <c r="U177" s="1">
        <f t="shared" si="18"/>
        <v>12.941818181818183</v>
      </c>
      <c r="V177" s="3">
        <f t="shared" si="19"/>
        <v>6.3636363636366156E-2</v>
      </c>
      <c r="W177" s="3">
        <f t="shared" si="20"/>
        <v>4.9942607897152609E-2</v>
      </c>
    </row>
    <row r="178" spans="1:23" x14ac:dyDescent="0.25">
      <c r="A178" t="s">
        <v>16</v>
      </c>
      <c r="C178">
        <v>52.048935700000001</v>
      </c>
      <c r="D178">
        <v>-0.57324770000000003</v>
      </c>
      <c r="E178">
        <v>4</v>
      </c>
      <c r="F178">
        <v>4</v>
      </c>
      <c r="G178">
        <v>2022</v>
      </c>
      <c r="H178">
        <v>13</v>
      </c>
      <c r="I178">
        <v>55</v>
      </c>
      <c r="J178">
        <v>33.5</v>
      </c>
      <c r="K178">
        <v>44.17</v>
      </c>
      <c r="L178">
        <v>0</v>
      </c>
      <c r="M178">
        <v>47.274999999999999</v>
      </c>
      <c r="N178">
        <v>0.54</v>
      </c>
      <c r="P178" s="1">
        <f t="shared" si="15"/>
        <v>13.131944444444445</v>
      </c>
      <c r="Q178" s="3">
        <f t="shared" si="16"/>
        <v>6.9444444444446418E-2</v>
      </c>
      <c r="R178" s="3">
        <f t="shared" si="17"/>
        <v>0.181111111111111</v>
      </c>
      <c r="S178" s="3">
        <f t="shared" si="21"/>
        <v>8.8914141414141501E-2</v>
      </c>
      <c r="U178" s="1">
        <f t="shared" si="18"/>
        <v>12.94363636363636</v>
      </c>
      <c r="V178" s="3">
        <f t="shared" si="19"/>
        <v>8.8914141414141667E-2</v>
      </c>
      <c r="W178" s="3">
        <f t="shared" si="20"/>
        <v>7.9191919191918647E-2</v>
      </c>
    </row>
    <row r="179" spans="1:23" x14ac:dyDescent="0.25">
      <c r="A179" t="s">
        <v>16</v>
      </c>
      <c r="C179">
        <v>52.048946200000003</v>
      </c>
      <c r="D179">
        <v>-0.57325400000000004</v>
      </c>
      <c r="E179">
        <v>4</v>
      </c>
      <c r="F179">
        <v>4</v>
      </c>
      <c r="G179">
        <v>2022</v>
      </c>
      <c r="H179">
        <v>13</v>
      </c>
      <c r="I179">
        <v>55</v>
      </c>
      <c r="J179">
        <v>33.6</v>
      </c>
      <c r="K179">
        <v>44.11</v>
      </c>
      <c r="L179">
        <v>0</v>
      </c>
      <c r="M179">
        <v>46.421999999999997</v>
      </c>
      <c r="N179">
        <v>0.53300000000000003</v>
      </c>
      <c r="P179" s="1">
        <f t="shared" si="15"/>
        <v>12.895</v>
      </c>
      <c r="Q179" s="3">
        <f t="shared" si="16"/>
        <v>-2.3694444444444507</v>
      </c>
      <c r="R179" s="3">
        <f t="shared" si="17"/>
        <v>0.16388888888888964</v>
      </c>
      <c r="S179" s="3">
        <f t="shared" si="21"/>
        <v>9.3914141414141478E-2</v>
      </c>
      <c r="U179" s="1">
        <f t="shared" si="18"/>
        <v>12.960454545454542</v>
      </c>
      <c r="V179" s="3">
        <f t="shared" si="19"/>
        <v>9.3914141414138896E-2</v>
      </c>
      <c r="W179" s="3">
        <f t="shared" si="20"/>
        <v>0.10518365472910948</v>
      </c>
    </row>
    <row r="180" spans="1:23" x14ac:dyDescent="0.25">
      <c r="A180" t="s">
        <v>16</v>
      </c>
      <c r="C180">
        <v>52.048957000000001</v>
      </c>
      <c r="D180">
        <v>-0.5732604</v>
      </c>
      <c r="E180">
        <v>4</v>
      </c>
      <c r="F180">
        <v>4</v>
      </c>
      <c r="G180">
        <v>2022</v>
      </c>
      <c r="H180">
        <v>13</v>
      </c>
      <c r="I180">
        <v>55</v>
      </c>
      <c r="J180">
        <v>33.700000000000003</v>
      </c>
      <c r="K180">
        <v>44.08</v>
      </c>
      <c r="L180">
        <v>0</v>
      </c>
      <c r="M180">
        <v>46.523000000000003</v>
      </c>
      <c r="N180">
        <v>0.52900000000000003</v>
      </c>
      <c r="P180" s="1">
        <f t="shared" si="15"/>
        <v>12.923055555555555</v>
      </c>
      <c r="Q180" s="3">
        <f t="shared" si="16"/>
        <v>0.280555555555555</v>
      </c>
      <c r="R180" s="3">
        <f t="shared" si="17"/>
        <v>0.31305555555555564</v>
      </c>
      <c r="S180" s="3">
        <f t="shared" si="21"/>
        <v>0.10863636363636382</v>
      </c>
      <c r="U180" s="1">
        <f t="shared" si="18"/>
        <v>12.988257575757576</v>
      </c>
      <c r="V180" s="3">
        <f t="shared" si="19"/>
        <v>0.10863636363636253</v>
      </c>
      <c r="W180" s="3">
        <f t="shared" si="20"/>
        <v>0.12342516069788849</v>
      </c>
    </row>
    <row r="181" spans="1:23" x14ac:dyDescent="0.25">
      <c r="A181" t="s">
        <v>16</v>
      </c>
      <c r="C181">
        <v>52.048967400000002</v>
      </c>
      <c r="D181">
        <v>-0.57326650000000001</v>
      </c>
      <c r="E181">
        <v>4</v>
      </c>
      <c r="F181">
        <v>4</v>
      </c>
      <c r="G181">
        <v>2022</v>
      </c>
      <c r="H181">
        <v>13</v>
      </c>
      <c r="I181">
        <v>55</v>
      </c>
      <c r="J181">
        <v>33.799999999999997</v>
      </c>
      <c r="K181">
        <v>43.97</v>
      </c>
      <c r="L181">
        <v>0</v>
      </c>
      <c r="M181">
        <v>46.368000000000002</v>
      </c>
      <c r="N181">
        <v>0.54</v>
      </c>
      <c r="P181" s="1">
        <f t="shared" si="15"/>
        <v>12.88</v>
      </c>
      <c r="Q181" s="3">
        <f t="shared" si="16"/>
        <v>-0.43055555555554292</v>
      </c>
      <c r="R181" s="3">
        <f t="shared" si="17"/>
        <v>0.11916666666666664</v>
      </c>
      <c r="S181" s="3">
        <f t="shared" si="21"/>
        <v>0.1487121212121213</v>
      </c>
      <c r="U181" s="1">
        <f t="shared" si="18"/>
        <v>13.017727272727273</v>
      </c>
      <c r="V181" s="3">
        <f t="shared" si="19"/>
        <v>0.14871212121212096</v>
      </c>
      <c r="W181" s="3">
        <f t="shared" si="20"/>
        <v>0.13147612488521626</v>
      </c>
    </row>
    <row r="182" spans="1:23" x14ac:dyDescent="0.25">
      <c r="A182" t="s">
        <v>16</v>
      </c>
      <c r="C182">
        <v>52.048978300000002</v>
      </c>
      <c r="D182">
        <v>-0.57327249999999996</v>
      </c>
      <c r="E182">
        <v>4</v>
      </c>
      <c r="F182">
        <v>4</v>
      </c>
      <c r="G182">
        <v>2022</v>
      </c>
      <c r="H182">
        <v>13</v>
      </c>
      <c r="I182">
        <v>55</v>
      </c>
      <c r="J182">
        <v>33.9</v>
      </c>
      <c r="K182">
        <v>43.94</v>
      </c>
      <c r="L182">
        <v>0</v>
      </c>
      <c r="M182">
        <v>46.404000000000003</v>
      </c>
      <c r="N182">
        <v>0.54700000000000004</v>
      </c>
      <c r="P182" s="1">
        <f t="shared" si="15"/>
        <v>12.89</v>
      </c>
      <c r="Q182" s="3">
        <f t="shared" si="16"/>
        <v>9.9999999999997868E-2</v>
      </c>
      <c r="R182" s="3">
        <f t="shared" si="17"/>
        <v>0.19305555555555642</v>
      </c>
      <c r="S182" s="3">
        <f t="shared" si="21"/>
        <v>0.19936868686868678</v>
      </c>
      <c r="U182" s="1">
        <f t="shared" si="18"/>
        <v>13.04310606060606</v>
      </c>
      <c r="V182" s="3">
        <f t="shared" si="19"/>
        <v>0.19936868686868436</v>
      </c>
      <c r="W182" s="3">
        <f t="shared" si="20"/>
        <v>0.13258264462809938</v>
      </c>
    </row>
    <row r="183" spans="1:23" x14ac:dyDescent="0.25">
      <c r="A183" t="s">
        <v>16</v>
      </c>
      <c r="C183">
        <v>52.048989200000001</v>
      </c>
      <c r="D183">
        <v>-0.57327819999999996</v>
      </c>
      <c r="E183">
        <v>4</v>
      </c>
      <c r="F183">
        <v>4</v>
      </c>
      <c r="G183">
        <v>2022</v>
      </c>
      <c r="H183">
        <v>13</v>
      </c>
      <c r="I183">
        <v>55</v>
      </c>
      <c r="J183">
        <v>34</v>
      </c>
      <c r="K183">
        <v>43.87</v>
      </c>
      <c r="L183">
        <v>0</v>
      </c>
      <c r="M183">
        <v>46.804000000000002</v>
      </c>
      <c r="N183">
        <v>0.57199999999999995</v>
      </c>
      <c r="P183" s="1">
        <f t="shared" si="15"/>
        <v>13.001111111111111</v>
      </c>
      <c r="Q183" s="3">
        <f t="shared" si="16"/>
        <v>1.1111111111111072</v>
      </c>
      <c r="R183" s="3">
        <f t="shared" si="17"/>
        <v>0.218055555555555</v>
      </c>
      <c r="S183" s="3">
        <f t="shared" si="21"/>
        <v>0.23255050505050498</v>
      </c>
      <c r="U183" s="1">
        <f t="shared" si="18"/>
        <v>13.063560606060605</v>
      </c>
      <c r="V183" s="3">
        <f t="shared" si="19"/>
        <v>0.23255050505050967</v>
      </c>
      <c r="W183" s="3">
        <f t="shared" si="20"/>
        <v>0.1258356290174473</v>
      </c>
    </row>
    <row r="184" spans="1:23" x14ac:dyDescent="0.25">
      <c r="A184" t="s">
        <v>16</v>
      </c>
      <c r="C184">
        <v>52.049000300000003</v>
      </c>
      <c r="D184">
        <v>-0.57328380000000001</v>
      </c>
      <c r="E184">
        <v>4</v>
      </c>
      <c r="F184">
        <v>4</v>
      </c>
      <c r="G184">
        <v>2022</v>
      </c>
      <c r="H184">
        <v>13</v>
      </c>
      <c r="I184">
        <v>55</v>
      </c>
      <c r="J184">
        <v>34.1</v>
      </c>
      <c r="K184">
        <v>43.85</v>
      </c>
      <c r="L184">
        <v>0</v>
      </c>
      <c r="M184">
        <v>46.817999999999998</v>
      </c>
      <c r="N184">
        <v>0.61899999999999999</v>
      </c>
      <c r="P184" s="1">
        <f t="shared" si="15"/>
        <v>13.005000000000001</v>
      </c>
      <c r="Q184" s="3">
        <f t="shared" si="16"/>
        <v>3.8888888888894968E-2</v>
      </c>
      <c r="R184" s="3">
        <f t="shared" si="17"/>
        <v>0.16694444444444478</v>
      </c>
      <c r="S184" s="3">
        <f t="shared" si="21"/>
        <v>0.21325757575757559</v>
      </c>
      <c r="U184" s="1">
        <f t="shared" si="18"/>
        <v>13.057196969696969</v>
      </c>
      <c r="V184" s="3">
        <f t="shared" si="19"/>
        <v>0.21325757575757898</v>
      </c>
      <c r="W184" s="3">
        <f t="shared" si="20"/>
        <v>0.11268365472910945</v>
      </c>
    </row>
    <row r="185" spans="1:23" x14ac:dyDescent="0.25">
      <c r="A185" t="s">
        <v>16</v>
      </c>
      <c r="C185">
        <v>52.0490116</v>
      </c>
      <c r="D185">
        <v>-0.57328950000000001</v>
      </c>
      <c r="E185">
        <v>4</v>
      </c>
      <c r="F185">
        <v>4</v>
      </c>
      <c r="G185">
        <v>2022</v>
      </c>
      <c r="H185">
        <v>13</v>
      </c>
      <c r="I185">
        <v>55</v>
      </c>
      <c r="J185">
        <v>34.200000000000003</v>
      </c>
      <c r="K185">
        <v>43.84</v>
      </c>
      <c r="L185">
        <v>0</v>
      </c>
      <c r="M185">
        <v>47.329000000000001</v>
      </c>
      <c r="N185">
        <v>0.63</v>
      </c>
      <c r="P185" s="1">
        <f t="shared" si="15"/>
        <v>13.146944444444445</v>
      </c>
      <c r="Q185" s="3">
        <f t="shared" si="16"/>
        <v>1.4194444444444443</v>
      </c>
      <c r="R185" s="3">
        <f t="shared" si="17"/>
        <v>7.5833333333333641E-2</v>
      </c>
      <c r="S185" s="3">
        <f t="shared" si="21"/>
        <v>0.1583585858585855</v>
      </c>
      <c r="U185" s="1">
        <f t="shared" si="18"/>
        <v>13.066641414141413</v>
      </c>
      <c r="V185" s="3">
        <f t="shared" si="19"/>
        <v>0.15835858585858631</v>
      </c>
      <c r="W185" s="3">
        <f t="shared" si="20"/>
        <v>9.4763544536272129E-2</v>
      </c>
    </row>
    <row r="186" spans="1:23" x14ac:dyDescent="0.25">
      <c r="A186" t="s">
        <v>16</v>
      </c>
      <c r="C186">
        <v>52.049022899999997</v>
      </c>
      <c r="D186">
        <v>-0.573295</v>
      </c>
      <c r="E186">
        <v>4</v>
      </c>
      <c r="F186">
        <v>4</v>
      </c>
      <c r="G186">
        <v>2022</v>
      </c>
      <c r="H186">
        <v>13</v>
      </c>
      <c r="I186">
        <v>55</v>
      </c>
      <c r="J186">
        <v>34.299999999999997</v>
      </c>
      <c r="K186">
        <v>43.82</v>
      </c>
      <c r="L186">
        <v>0</v>
      </c>
      <c r="M186">
        <v>47.369</v>
      </c>
      <c r="N186">
        <v>0.61199999999999999</v>
      </c>
      <c r="P186" s="1">
        <f t="shared" si="15"/>
        <v>13.158055555555556</v>
      </c>
      <c r="Q186" s="3">
        <f t="shared" si="16"/>
        <v>0.11111111111111072</v>
      </c>
      <c r="R186" s="3">
        <f t="shared" si="17"/>
        <v>0.40694444444444322</v>
      </c>
      <c r="S186" s="3">
        <f t="shared" si="21"/>
        <v>9.9444444444444002E-2</v>
      </c>
      <c r="U186" s="1">
        <f t="shared" si="18"/>
        <v>13.099722222222221</v>
      </c>
      <c r="V186" s="3">
        <f t="shared" si="19"/>
        <v>9.9444444444444002E-2</v>
      </c>
      <c r="W186" s="3">
        <f t="shared" si="20"/>
        <v>6.8069329660238959E-2</v>
      </c>
    </row>
    <row r="187" spans="1:23" x14ac:dyDescent="0.25">
      <c r="A187" t="s">
        <v>16</v>
      </c>
      <c r="C187">
        <v>52.049034300000002</v>
      </c>
      <c r="D187">
        <v>-0.57330060000000005</v>
      </c>
      <c r="E187">
        <v>4</v>
      </c>
      <c r="F187">
        <v>4</v>
      </c>
      <c r="G187">
        <v>2022</v>
      </c>
      <c r="H187">
        <v>13</v>
      </c>
      <c r="I187">
        <v>55</v>
      </c>
      <c r="J187">
        <v>34.4</v>
      </c>
      <c r="K187">
        <v>43.78</v>
      </c>
      <c r="L187">
        <v>0</v>
      </c>
      <c r="M187">
        <v>47.945</v>
      </c>
      <c r="N187">
        <v>0.63</v>
      </c>
      <c r="P187" s="1">
        <f t="shared" si="15"/>
        <v>13.318055555555556</v>
      </c>
      <c r="Q187" s="3">
        <f t="shared" si="16"/>
        <v>1.6000000000000014</v>
      </c>
      <c r="R187" s="3">
        <f t="shared" si="17"/>
        <v>0.44611111111110979</v>
      </c>
      <c r="S187" s="3">
        <f t="shared" si="21"/>
        <v>5.1616161616161123E-2</v>
      </c>
      <c r="U187" s="1">
        <f t="shared" si="18"/>
        <v>13.141186868686868</v>
      </c>
      <c r="V187" s="3">
        <f t="shared" si="19"/>
        <v>5.1616161616159673E-2</v>
      </c>
      <c r="W187" s="3">
        <f t="shared" si="20"/>
        <v>2.6161616161616375E-2</v>
      </c>
    </row>
    <row r="188" spans="1:23" x14ac:dyDescent="0.25">
      <c r="A188" t="s">
        <v>16</v>
      </c>
      <c r="C188">
        <v>52.049045700000001</v>
      </c>
      <c r="D188">
        <v>-0.57330680000000001</v>
      </c>
      <c r="E188">
        <v>4</v>
      </c>
      <c r="F188">
        <v>4</v>
      </c>
      <c r="G188">
        <v>2022</v>
      </c>
      <c r="H188">
        <v>13</v>
      </c>
      <c r="I188">
        <v>55</v>
      </c>
      <c r="J188">
        <v>34.5</v>
      </c>
      <c r="K188">
        <v>43.78</v>
      </c>
      <c r="L188">
        <v>0</v>
      </c>
      <c r="M188">
        <v>48.06</v>
      </c>
      <c r="N188">
        <v>0.67</v>
      </c>
      <c r="P188" s="1">
        <f t="shared" si="15"/>
        <v>13.35</v>
      </c>
      <c r="Q188" s="3">
        <f t="shared" si="16"/>
        <v>0.31944444444443221</v>
      </c>
      <c r="R188" s="3">
        <f t="shared" si="17"/>
        <v>0.27388888888888907</v>
      </c>
      <c r="S188" s="3">
        <f t="shared" si="21"/>
        <v>-1.0580808080808685E-2</v>
      </c>
      <c r="U188" s="1">
        <f t="shared" si="18"/>
        <v>13.17618686868687</v>
      </c>
      <c r="V188" s="3">
        <f t="shared" si="19"/>
        <v>-1.0580808080806747E-2</v>
      </c>
      <c r="W188" s="3">
        <f t="shared" si="20"/>
        <v>-3.2607897153351544E-2</v>
      </c>
    </row>
    <row r="189" spans="1:23" x14ac:dyDescent="0.25">
      <c r="A189" t="s">
        <v>16</v>
      </c>
      <c r="C189">
        <v>52.049057099999999</v>
      </c>
      <c r="D189">
        <v>-0.57331200000000004</v>
      </c>
      <c r="E189">
        <v>4</v>
      </c>
      <c r="F189">
        <v>4</v>
      </c>
      <c r="G189">
        <v>2022</v>
      </c>
      <c r="H189">
        <v>13</v>
      </c>
      <c r="I189">
        <v>55</v>
      </c>
      <c r="J189">
        <v>34.6</v>
      </c>
      <c r="K189">
        <v>43.85</v>
      </c>
      <c r="L189">
        <v>0</v>
      </c>
      <c r="M189">
        <v>47.023000000000003</v>
      </c>
      <c r="N189">
        <v>0.67</v>
      </c>
      <c r="P189" s="1">
        <f t="shared" si="15"/>
        <v>13.061944444444444</v>
      </c>
      <c r="Q189" s="3">
        <f t="shared" si="16"/>
        <v>-2.8805555555555529</v>
      </c>
      <c r="R189" s="3">
        <f t="shared" si="17"/>
        <v>-3.1111111111112422E-2</v>
      </c>
      <c r="S189" s="3">
        <f t="shared" si="21"/>
        <v>-5.5757575757576235E-2</v>
      </c>
      <c r="U189" s="1">
        <f t="shared" si="18"/>
        <v>13.173712121212121</v>
      </c>
      <c r="V189" s="3">
        <f t="shared" si="19"/>
        <v>-5.5757575757574784E-2</v>
      </c>
      <c r="W189" s="3">
        <f t="shared" si="20"/>
        <v>-0.10257346189164419</v>
      </c>
    </row>
    <row r="190" spans="1:23" x14ac:dyDescent="0.25">
      <c r="A190" t="s">
        <v>16</v>
      </c>
      <c r="C190">
        <v>52.049068699999999</v>
      </c>
      <c r="D190">
        <v>-0.57331600000000005</v>
      </c>
      <c r="E190">
        <v>4</v>
      </c>
      <c r="F190">
        <v>4</v>
      </c>
      <c r="G190">
        <v>2022</v>
      </c>
      <c r="H190">
        <v>13</v>
      </c>
      <c r="I190">
        <v>55</v>
      </c>
      <c r="J190">
        <v>34.700000000000003</v>
      </c>
      <c r="K190">
        <v>43.87</v>
      </c>
      <c r="L190">
        <v>0</v>
      </c>
      <c r="M190">
        <v>46.795999999999999</v>
      </c>
      <c r="N190">
        <v>0.67300000000000004</v>
      </c>
      <c r="P190" s="1">
        <f t="shared" si="15"/>
        <v>12.998888888888889</v>
      </c>
      <c r="Q190" s="3">
        <f t="shared" si="16"/>
        <v>-0.63055555555555642</v>
      </c>
      <c r="R190" s="3">
        <f t="shared" si="17"/>
        <v>-0.44000000000000128</v>
      </c>
      <c r="S190" s="3">
        <f t="shared" si="21"/>
        <v>-0.10320707070707126</v>
      </c>
      <c r="U190" s="1">
        <f t="shared" si="18"/>
        <v>13.146616161616162</v>
      </c>
      <c r="V190" s="3">
        <f t="shared" si="19"/>
        <v>-0.10320707070707158</v>
      </c>
      <c r="W190" s="3">
        <f t="shared" si="20"/>
        <v>-0.17448576675849511</v>
      </c>
    </row>
    <row r="191" spans="1:23" x14ac:dyDescent="0.25">
      <c r="A191" t="s">
        <v>16</v>
      </c>
      <c r="C191">
        <v>52.049080699999998</v>
      </c>
      <c r="D191">
        <v>-0.57331960000000004</v>
      </c>
      <c r="E191">
        <v>4</v>
      </c>
      <c r="F191">
        <v>4</v>
      </c>
      <c r="G191">
        <v>2022</v>
      </c>
      <c r="H191">
        <v>13</v>
      </c>
      <c r="I191">
        <v>55</v>
      </c>
      <c r="J191">
        <v>34.799999999999997</v>
      </c>
      <c r="K191">
        <v>43.86</v>
      </c>
      <c r="L191">
        <v>0</v>
      </c>
      <c r="M191">
        <v>47.832999999999998</v>
      </c>
      <c r="N191">
        <v>0.66200000000000003</v>
      </c>
      <c r="P191" s="1">
        <f t="shared" si="15"/>
        <v>13.286944444444444</v>
      </c>
      <c r="Q191" s="3">
        <f t="shared" si="16"/>
        <v>2.8805555555555529</v>
      </c>
      <c r="R191" s="3">
        <f t="shared" si="17"/>
        <v>-0.33500000000000085</v>
      </c>
      <c r="S191" s="3">
        <f t="shared" si="21"/>
        <v>-0.1850000000000005</v>
      </c>
      <c r="U191" s="1">
        <f t="shared" si="18"/>
        <v>13.117171717171717</v>
      </c>
      <c r="V191" s="3">
        <f t="shared" si="19"/>
        <v>-0.18500000000000227</v>
      </c>
      <c r="W191" s="3">
        <f t="shared" si="20"/>
        <v>-0.24508494031221401</v>
      </c>
    </row>
    <row r="192" spans="1:23" x14ac:dyDescent="0.25">
      <c r="A192" t="s">
        <v>16</v>
      </c>
      <c r="C192">
        <v>52.049092299999998</v>
      </c>
      <c r="D192">
        <v>-0.57332260000000002</v>
      </c>
      <c r="E192">
        <v>4</v>
      </c>
      <c r="F192">
        <v>4</v>
      </c>
      <c r="G192">
        <v>2022</v>
      </c>
      <c r="H192">
        <v>13</v>
      </c>
      <c r="I192">
        <v>55</v>
      </c>
      <c r="J192">
        <v>34.9</v>
      </c>
      <c r="K192">
        <v>43.79</v>
      </c>
      <c r="L192">
        <v>0</v>
      </c>
      <c r="M192">
        <v>48.01</v>
      </c>
      <c r="N192">
        <v>0.66200000000000003</v>
      </c>
      <c r="P192" s="1">
        <f t="shared" si="15"/>
        <v>13.33611111111111</v>
      </c>
      <c r="Q192" s="3">
        <f t="shared" si="16"/>
        <v>0.49166666666666359</v>
      </c>
      <c r="R192" s="3">
        <f t="shared" si="17"/>
        <v>-0.406944444444445</v>
      </c>
      <c r="S192" s="3">
        <f t="shared" si="21"/>
        <v>-0.31227272727272765</v>
      </c>
      <c r="U192" s="1">
        <f t="shared" si="18"/>
        <v>13.09472222222222</v>
      </c>
      <c r="V192" s="3">
        <f t="shared" si="19"/>
        <v>-0.31227272727272748</v>
      </c>
      <c r="W192" s="3">
        <f t="shared" si="20"/>
        <v>-0.31640266299357284</v>
      </c>
    </row>
    <row r="193" spans="1:23" x14ac:dyDescent="0.25">
      <c r="A193" t="s">
        <v>16</v>
      </c>
      <c r="C193">
        <v>52.049104</v>
      </c>
      <c r="D193">
        <v>-0.57332590000000005</v>
      </c>
      <c r="E193">
        <v>4</v>
      </c>
      <c r="F193">
        <v>4</v>
      </c>
      <c r="G193">
        <v>2022</v>
      </c>
      <c r="H193">
        <v>13</v>
      </c>
      <c r="I193">
        <v>55</v>
      </c>
      <c r="J193">
        <v>35</v>
      </c>
      <c r="K193">
        <v>43.77</v>
      </c>
      <c r="L193">
        <v>0</v>
      </c>
      <c r="M193">
        <v>47.79</v>
      </c>
      <c r="N193">
        <v>0.68400000000000005</v>
      </c>
      <c r="P193" s="1">
        <f t="shared" si="15"/>
        <v>13.275</v>
      </c>
      <c r="Q193" s="3">
        <f t="shared" si="16"/>
        <v>-0.61111111111110006</v>
      </c>
      <c r="R193" s="3">
        <f t="shared" si="17"/>
        <v>-0.4911111111111115</v>
      </c>
      <c r="S193" s="3">
        <f t="shared" si="21"/>
        <v>-0.44709595959595982</v>
      </c>
      <c r="U193" s="1">
        <f t="shared" si="18"/>
        <v>13.052979797979798</v>
      </c>
      <c r="V193" s="3">
        <f t="shared" si="19"/>
        <v>-0.44709595959596271</v>
      </c>
      <c r="W193" s="3">
        <f t="shared" si="20"/>
        <v>-0.38671028466483082</v>
      </c>
    </row>
    <row r="194" spans="1:23" x14ac:dyDescent="0.25">
      <c r="A194" t="s">
        <v>16</v>
      </c>
      <c r="C194">
        <v>52.049115499999999</v>
      </c>
      <c r="D194">
        <v>-0.57332959999999999</v>
      </c>
      <c r="E194">
        <v>4</v>
      </c>
      <c r="F194">
        <v>4</v>
      </c>
      <c r="G194">
        <v>2022</v>
      </c>
      <c r="H194">
        <v>13</v>
      </c>
      <c r="I194">
        <v>55</v>
      </c>
      <c r="J194">
        <v>35.1</v>
      </c>
      <c r="K194">
        <v>43.84</v>
      </c>
      <c r="L194">
        <v>0</v>
      </c>
      <c r="M194">
        <v>46.706000000000003</v>
      </c>
      <c r="N194">
        <v>0.67700000000000005</v>
      </c>
      <c r="P194" s="1">
        <f t="shared" si="15"/>
        <v>12.973888888888888</v>
      </c>
      <c r="Q194" s="3">
        <f t="shared" si="16"/>
        <v>-3.01111111111112</v>
      </c>
      <c r="R194" s="3">
        <f t="shared" si="17"/>
        <v>-0.27888888888888808</v>
      </c>
      <c r="S194" s="3">
        <f t="shared" si="21"/>
        <v>-0.53707070707070725</v>
      </c>
      <c r="U194" s="1">
        <f t="shared" si="18"/>
        <v>13.001439393939394</v>
      </c>
      <c r="V194" s="3">
        <f t="shared" si="19"/>
        <v>-0.53707070707070947</v>
      </c>
      <c r="W194" s="3">
        <f t="shared" si="20"/>
        <v>-0.45371900826446371</v>
      </c>
    </row>
    <row r="195" spans="1:23" x14ac:dyDescent="0.25">
      <c r="A195" t="s">
        <v>16</v>
      </c>
      <c r="C195">
        <v>52.049126800000003</v>
      </c>
      <c r="D195">
        <v>-0.57333350000000005</v>
      </c>
      <c r="E195">
        <v>4</v>
      </c>
      <c r="F195">
        <v>4</v>
      </c>
      <c r="G195">
        <v>2022</v>
      </c>
      <c r="H195">
        <v>13</v>
      </c>
      <c r="I195">
        <v>55</v>
      </c>
      <c r="J195">
        <v>35.200000000000003</v>
      </c>
      <c r="K195">
        <v>43.91</v>
      </c>
      <c r="L195">
        <v>0</v>
      </c>
      <c r="M195">
        <v>45.744999999999997</v>
      </c>
      <c r="N195">
        <v>0.68400000000000005</v>
      </c>
      <c r="P195" s="1">
        <f t="shared" ref="P195:P258" si="22">M195*1000/3600</f>
        <v>12.706944444444444</v>
      </c>
      <c r="Q195" s="3">
        <f t="shared" si="16"/>
        <v>-2.6694444444444443</v>
      </c>
      <c r="R195" s="3">
        <f t="shared" si="17"/>
        <v>-0.35500000000000043</v>
      </c>
      <c r="S195" s="3">
        <f t="shared" si="21"/>
        <v>-0.57777777777777783</v>
      </c>
      <c r="U195" s="1">
        <f t="shared" si="18"/>
        <v>12.963434343434342</v>
      </c>
      <c r="V195" s="3">
        <f t="shared" si="19"/>
        <v>-0.57777777777778105</v>
      </c>
      <c r="W195" s="3">
        <f t="shared" si="20"/>
        <v>-0.52030762167125888</v>
      </c>
    </row>
    <row r="196" spans="1:23" x14ac:dyDescent="0.25">
      <c r="A196" t="s">
        <v>16</v>
      </c>
      <c r="C196">
        <v>52.049138800000001</v>
      </c>
      <c r="D196">
        <v>-0.5733374</v>
      </c>
      <c r="E196">
        <v>4</v>
      </c>
      <c r="F196">
        <v>4</v>
      </c>
      <c r="G196">
        <v>2022</v>
      </c>
      <c r="H196">
        <v>13</v>
      </c>
      <c r="I196">
        <v>55</v>
      </c>
      <c r="J196">
        <v>35.299999999999997</v>
      </c>
      <c r="K196">
        <v>44.08</v>
      </c>
      <c r="L196">
        <v>0</v>
      </c>
      <c r="M196">
        <v>46.162999999999997</v>
      </c>
      <c r="N196">
        <v>0.65500000000000003</v>
      </c>
      <c r="P196" s="1">
        <f t="shared" si="22"/>
        <v>12.823055555555555</v>
      </c>
      <c r="Q196" s="3">
        <f t="shared" si="16"/>
        <v>1.161111111111115</v>
      </c>
      <c r="R196" s="3">
        <f t="shared" si="17"/>
        <v>-0.823888888888888</v>
      </c>
      <c r="S196" s="3">
        <f t="shared" si="21"/>
        <v>-0.61823232323232313</v>
      </c>
      <c r="U196" s="1">
        <f t="shared" si="18"/>
        <v>12.914722222222219</v>
      </c>
      <c r="V196" s="3">
        <f t="shared" si="19"/>
        <v>-0.61823232323232169</v>
      </c>
      <c r="W196" s="3">
        <f t="shared" si="20"/>
        <v>-0.58398760330578581</v>
      </c>
    </row>
    <row r="197" spans="1:23" x14ac:dyDescent="0.25">
      <c r="A197" t="s">
        <v>16</v>
      </c>
      <c r="C197">
        <v>52.049150699999998</v>
      </c>
      <c r="D197">
        <v>-0.57334030000000002</v>
      </c>
      <c r="E197">
        <v>4</v>
      </c>
      <c r="F197">
        <v>4</v>
      </c>
      <c r="G197">
        <v>2022</v>
      </c>
      <c r="H197">
        <v>13</v>
      </c>
      <c r="I197">
        <v>55</v>
      </c>
      <c r="J197">
        <v>35.4</v>
      </c>
      <c r="K197">
        <v>44.16</v>
      </c>
      <c r="L197">
        <v>0</v>
      </c>
      <c r="M197">
        <v>46.48</v>
      </c>
      <c r="N197">
        <v>0.64400000000000002</v>
      </c>
      <c r="P197" s="1">
        <f t="shared" si="22"/>
        <v>12.911111111111111</v>
      </c>
      <c r="Q197" s="3">
        <f t="shared" ref="Q197:Q260" si="23">10*($P197-$P196)</f>
        <v>0.88055555555555998</v>
      </c>
      <c r="R197" s="3">
        <f t="shared" si="17"/>
        <v>-0.99305555555555536</v>
      </c>
      <c r="S197" s="3">
        <f t="shared" si="21"/>
        <v>-0.68505050505050491</v>
      </c>
      <c r="U197" s="1">
        <f t="shared" si="18"/>
        <v>12.82891414141414</v>
      </c>
      <c r="V197" s="3">
        <f t="shared" si="19"/>
        <v>-0.68505050505050313</v>
      </c>
      <c r="W197" s="3">
        <f t="shared" si="20"/>
        <v>-0.63657943067034006</v>
      </c>
    </row>
    <row r="198" spans="1:23" x14ac:dyDescent="0.25">
      <c r="A198" t="s">
        <v>16</v>
      </c>
      <c r="C198">
        <v>52.0491624</v>
      </c>
      <c r="D198">
        <v>-0.57334390000000002</v>
      </c>
      <c r="E198">
        <v>4</v>
      </c>
      <c r="F198">
        <v>4</v>
      </c>
      <c r="G198">
        <v>2022</v>
      </c>
      <c r="H198">
        <v>13</v>
      </c>
      <c r="I198">
        <v>55</v>
      </c>
      <c r="J198">
        <v>35.5</v>
      </c>
      <c r="K198">
        <v>44.23</v>
      </c>
      <c r="L198">
        <v>0</v>
      </c>
      <c r="M198">
        <v>46.292000000000002</v>
      </c>
      <c r="N198">
        <v>0.64100000000000001</v>
      </c>
      <c r="P198" s="1">
        <f t="shared" si="22"/>
        <v>12.858888888888888</v>
      </c>
      <c r="Q198" s="3">
        <f t="shared" si="23"/>
        <v>-0.5222222222222328</v>
      </c>
      <c r="R198" s="3">
        <f t="shared" si="17"/>
        <v>-1.036944444444444</v>
      </c>
      <c r="S198" s="3">
        <f t="shared" si="21"/>
        <v>-0.7217676767676765</v>
      </c>
      <c r="U198" s="1">
        <f t="shared" si="18"/>
        <v>12.729090909090907</v>
      </c>
      <c r="V198" s="3">
        <f t="shared" si="19"/>
        <v>-0.72176767676767817</v>
      </c>
      <c r="W198" s="3">
        <f t="shared" si="20"/>
        <v>-0.67278236914600564</v>
      </c>
    </row>
    <row r="199" spans="1:23" x14ac:dyDescent="0.25">
      <c r="A199" t="s">
        <v>16</v>
      </c>
      <c r="C199">
        <v>52.049173799999998</v>
      </c>
      <c r="D199">
        <v>-0.57334790000000002</v>
      </c>
      <c r="E199">
        <v>4</v>
      </c>
      <c r="F199">
        <v>4</v>
      </c>
      <c r="G199">
        <v>2022</v>
      </c>
      <c r="H199">
        <v>13</v>
      </c>
      <c r="I199">
        <v>55</v>
      </c>
      <c r="J199">
        <v>35.6</v>
      </c>
      <c r="K199">
        <v>44.29</v>
      </c>
      <c r="L199">
        <v>0</v>
      </c>
      <c r="M199">
        <v>46.018999999999998</v>
      </c>
      <c r="N199">
        <v>0.64800000000000002</v>
      </c>
      <c r="P199" s="1">
        <f t="shared" si="22"/>
        <v>12.783055555555556</v>
      </c>
      <c r="Q199" s="3">
        <f t="shared" si="23"/>
        <v>-0.75833333333331865</v>
      </c>
      <c r="R199" s="3">
        <f t="shared" si="17"/>
        <v>-0.71583333333333243</v>
      </c>
      <c r="S199" s="3">
        <f t="shared" si="21"/>
        <v>-0.7476767676767675</v>
      </c>
      <c r="U199" s="1">
        <f t="shared" si="18"/>
        <v>12.636641414141412</v>
      </c>
      <c r="V199" s="3">
        <f t="shared" si="19"/>
        <v>-0.74767676767676861</v>
      </c>
      <c r="W199" s="3">
        <f t="shared" si="20"/>
        <v>-0.69172865013774076</v>
      </c>
    </row>
    <row r="200" spans="1:23" x14ac:dyDescent="0.25">
      <c r="A200" t="s">
        <v>16</v>
      </c>
      <c r="C200">
        <v>52.0491849</v>
      </c>
      <c r="D200">
        <v>-0.57335199999999997</v>
      </c>
      <c r="E200">
        <v>4</v>
      </c>
      <c r="F200">
        <v>4</v>
      </c>
      <c r="G200">
        <v>2022</v>
      </c>
      <c r="H200">
        <v>13</v>
      </c>
      <c r="I200">
        <v>55</v>
      </c>
      <c r="J200">
        <v>35.700000000000003</v>
      </c>
      <c r="K200">
        <v>44.32</v>
      </c>
      <c r="L200">
        <v>0</v>
      </c>
      <c r="M200">
        <v>45.518000000000001</v>
      </c>
      <c r="N200">
        <v>0.65200000000000002</v>
      </c>
      <c r="P200" s="1">
        <f t="shared" si="22"/>
        <v>12.643888888888888</v>
      </c>
      <c r="Q200" s="3">
        <f t="shared" si="23"/>
        <v>-1.3916666666666799</v>
      </c>
      <c r="R200" s="3">
        <f t="shared" si="17"/>
        <v>-0.47888888888888914</v>
      </c>
      <c r="S200" s="3">
        <f t="shared" si="21"/>
        <v>-0.78823232323232306</v>
      </c>
      <c r="U200" s="1">
        <f t="shared" si="18"/>
        <v>12.568838383838381</v>
      </c>
      <c r="V200" s="3">
        <f t="shared" si="19"/>
        <v>-0.78823232323232162</v>
      </c>
      <c r="W200" s="3">
        <f t="shared" si="20"/>
        <v>-0.69972910927456333</v>
      </c>
    </row>
    <row r="201" spans="1:23" x14ac:dyDescent="0.25">
      <c r="A201" t="s">
        <v>16</v>
      </c>
      <c r="C201">
        <v>52.049195900000001</v>
      </c>
      <c r="D201">
        <v>-0.57335590000000003</v>
      </c>
      <c r="E201">
        <v>4</v>
      </c>
      <c r="F201">
        <v>4</v>
      </c>
      <c r="G201">
        <v>2022</v>
      </c>
      <c r="H201">
        <v>13</v>
      </c>
      <c r="I201">
        <v>55</v>
      </c>
      <c r="J201">
        <v>35.799999999999997</v>
      </c>
      <c r="K201">
        <v>44.38</v>
      </c>
      <c r="L201">
        <v>0</v>
      </c>
      <c r="M201">
        <v>44.866999999999997</v>
      </c>
      <c r="N201">
        <v>0.63700000000000001</v>
      </c>
      <c r="P201" s="1">
        <f t="shared" si="22"/>
        <v>12.463055555555556</v>
      </c>
      <c r="Q201" s="3">
        <f t="shared" si="23"/>
        <v>-1.8083333333333229</v>
      </c>
      <c r="R201" s="3">
        <f t="shared" ref="R201:R264" si="24">($P206-$P196)</f>
        <v>-0.88499999999999979</v>
      </c>
      <c r="S201" s="3">
        <f t="shared" si="21"/>
        <v>-0.80368686868686856</v>
      </c>
      <c r="U201" s="1">
        <f t="shared" ref="U201:U264" si="25">AVERAGE(P196:P206)</f>
        <v>12.498939393939395</v>
      </c>
      <c r="V201" s="3">
        <f t="shared" ref="V201:V264" si="26">($U206-$U196)</f>
        <v>-0.80368686868686723</v>
      </c>
      <c r="W201" s="3">
        <f t="shared" si="20"/>
        <v>-0.69996326905417761</v>
      </c>
    </row>
    <row r="202" spans="1:23" x14ac:dyDescent="0.25">
      <c r="A202" t="s">
        <v>16</v>
      </c>
      <c r="C202">
        <v>52.049206699999999</v>
      </c>
      <c r="D202">
        <v>-0.57335919999999996</v>
      </c>
      <c r="E202">
        <v>4</v>
      </c>
      <c r="F202">
        <v>4</v>
      </c>
      <c r="G202">
        <v>2022</v>
      </c>
      <c r="H202">
        <v>13</v>
      </c>
      <c r="I202">
        <v>55</v>
      </c>
      <c r="J202">
        <v>35.9</v>
      </c>
      <c r="K202">
        <v>44.37</v>
      </c>
      <c r="L202">
        <v>0</v>
      </c>
      <c r="M202">
        <v>44.435000000000002</v>
      </c>
      <c r="N202">
        <v>0.60099999999999998</v>
      </c>
      <c r="P202" s="1">
        <f t="shared" si="22"/>
        <v>12.343055555555555</v>
      </c>
      <c r="Q202" s="3">
        <f t="shared" si="23"/>
        <v>-1.2000000000000099</v>
      </c>
      <c r="R202" s="3">
        <f t="shared" si="24"/>
        <v>-1.0700000000000003</v>
      </c>
      <c r="S202" s="3">
        <f t="shared" si="21"/>
        <v>-0.76351010101010097</v>
      </c>
      <c r="U202" s="1">
        <f t="shared" si="25"/>
        <v>12.409671717171717</v>
      </c>
      <c r="V202" s="3">
        <f t="shared" si="26"/>
        <v>-0.76351010101009997</v>
      </c>
      <c r="W202" s="3">
        <f t="shared" si="20"/>
        <v>-0.68947887970615218</v>
      </c>
    </row>
    <row r="203" spans="1:23" x14ac:dyDescent="0.25">
      <c r="A203" t="s">
        <v>16</v>
      </c>
      <c r="C203">
        <v>52.049217400000003</v>
      </c>
      <c r="D203">
        <v>-0.57336279999999995</v>
      </c>
      <c r="E203">
        <v>4</v>
      </c>
      <c r="F203">
        <v>4</v>
      </c>
      <c r="G203">
        <v>2022</v>
      </c>
      <c r="H203">
        <v>13</v>
      </c>
      <c r="I203">
        <v>55</v>
      </c>
      <c r="J203">
        <v>36</v>
      </c>
      <c r="K203">
        <v>44.42</v>
      </c>
      <c r="L203">
        <v>0</v>
      </c>
      <c r="M203">
        <v>44.057000000000002</v>
      </c>
      <c r="N203">
        <v>0.59399999999999997</v>
      </c>
      <c r="P203" s="1">
        <f t="shared" si="22"/>
        <v>12.238055555555556</v>
      </c>
      <c r="Q203" s="3">
        <f t="shared" si="23"/>
        <v>-1.0499999999999865</v>
      </c>
      <c r="R203" s="3">
        <f t="shared" si="24"/>
        <v>-0.81083333333333307</v>
      </c>
      <c r="S203" s="3">
        <f t="shared" si="21"/>
        <v>-0.71050505050505042</v>
      </c>
      <c r="U203" s="1">
        <f t="shared" si="25"/>
        <v>12.33121212121212</v>
      </c>
      <c r="V203" s="3">
        <f t="shared" si="26"/>
        <v>-0.71050505050504853</v>
      </c>
      <c r="W203" s="3">
        <f t="shared" si="20"/>
        <v>-0.66683884297520646</v>
      </c>
    </row>
    <row r="204" spans="1:23" x14ac:dyDescent="0.25">
      <c r="A204" t="s">
        <v>16</v>
      </c>
      <c r="C204">
        <v>52.049228200000002</v>
      </c>
      <c r="D204">
        <v>-0.57336589999999998</v>
      </c>
      <c r="E204">
        <v>4</v>
      </c>
      <c r="F204">
        <v>4</v>
      </c>
      <c r="G204">
        <v>2022</v>
      </c>
      <c r="H204">
        <v>13</v>
      </c>
      <c r="I204">
        <v>55</v>
      </c>
      <c r="J204">
        <v>36.1</v>
      </c>
      <c r="K204">
        <v>44.41</v>
      </c>
      <c r="L204">
        <v>0</v>
      </c>
      <c r="M204">
        <v>44.128999999999998</v>
      </c>
      <c r="N204">
        <v>0.61899999999999999</v>
      </c>
      <c r="P204" s="1">
        <f t="shared" si="22"/>
        <v>12.258055555555556</v>
      </c>
      <c r="Q204" s="3">
        <f t="shared" si="23"/>
        <v>0.19999999999999574</v>
      </c>
      <c r="R204" s="3">
        <f t="shared" si="24"/>
        <v>-0.77611111111111164</v>
      </c>
      <c r="S204" s="3">
        <f t="shared" si="21"/>
        <v>-0.65550505050505059</v>
      </c>
      <c r="U204" s="1">
        <f t="shared" si="25"/>
        <v>12.253762626262626</v>
      </c>
      <c r="V204" s="3">
        <f t="shared" si="26"/>
        <v>-0.65550505050504881</v>
      </c>
      <c r="W204" s="3">
        <f t="shared" si="20"/>
        <v>-0.6363567493112946</v>
      </c>
    </row>
    <row r="205" spans="1:23" x14ac:dyDescent="0.25">
      <c r="A205" t="s">
        <v>16</v>
      </c>
      <c r="C205">
        <v>52.049239</v>
      </c>
      <c r="D205">
        <v>-0.57336889999999996</v>
      </c>
      <c r="E205">
        <v>4</v>
      </c>
      <c r="F205">
        <v>4</v>
      </c>
      <c r="G205">
        <v>2022</v>
      </c>
      <c r="H205">
        <v>13</v>
      </c>
      <c r="I205">
        <v>55</v>
      </c>
      <c r="J205">
        <v>36.200000000000003</v>
      </c>
      <c r="K205">
        <v>44.43</v>
      </c>
      <c r="L205">
        <v>0</v>
      </c>
      <c r="M205">
        <v>44.021000000000001</v>
      </c>
      <c r="N205">
        <v>0.60799999999999998</v>
      </c>
      <c r="P205" s="1">
        <f t="shared" si="22"/>
        <v>12.228055555555555</v>
      </c>
      <c r="Q205" s="3">
        <f t="shared" si="23"/>
        <v>-0.30000000000001137</v>
      </c>
      <c r="R205" s="3">
        <f t="shared" si="24"/>
        <v>-0.72499999999999964</v>
      </c>
      <c r="S205" s="3">
        <f t="shared" si="21"/>
        <v>-0.62507575757575762</v>
      </c>
      <c r="U205" s="1">
        <f t="shared" si="25"/>
        <v>12.17520202020202</v>
      </c>
      <c r="V205" s="3">
        <f t="shared" si="26"/>
        <v>-0.62507575757575751</v>
      </c>
      <c r="W205" s="3">
        <f t="shared" ref="W205:W268" si="27">AVERAGE(V200:V210)</f>
        <v>-0.59814508723599613</v>
      </c>
    </row>
    <row r="206" spans="1:23" x14ac:dyDescent="0.25">
      <c r="A206" t="s">
        <v>16</v>
      </c>
      <c r="C206">
        <v>52.049249500000002</v>
      </c>
      <c r="D206">
        <v>-0.57337179999999999</v>
      </c>
      <c r="E206">
        <v>4</v>
      </c>
      <c r="F206">
        <v>4</v>
      </c>
      <c r="G206">
        <v>2022</v>
      </c>
      <c r="H206">
        <v>13</v>
      </c>
      <c r="I206">
        <v>55</v>
      </c>
      <c r="J206">
        <v>36.299999999999997</v>
      </c>
      <c r="K206">
        <v>44.45</v>
      </c>
      <c r="L206">
        <v>0</v>
      </c>
      <c r="M206">
        <v>42.976999999999997</v>
      </c>
      <c r="N206">
        <v>0.56499999999999995</v>
      </c>
      <c r="P206" s="1">
        <f t="shared" si="22"/>
        <v>11.938055555555556</v>
      </c>
      <c r="Q206" s="3">
        <f t="shared" si="23"/>
        <v>-2.8999999999999915</v>
      </c>
      <c r="R206" s="3">
        <f t="shared" si="24"/>
        <v>-0.52500000000000036</v>
      </c>
      <c r="S206" s="3">
        <f t="shared" si="21"/>
        <v>-0.58035353535353551</v>
      </c>
      <c r="U206" s="1">
        <f t="shared" si="25"/>
        <v>12.111035353535351</v>
      </c>
      <c r="V206" s="3">
        <f t="shared" si="26"/>
        <v>-0.58035353535353806</v>
      </c>
      <c r="W206" s="3">
        <f t="shared" si="27"/>
        <v>-0.55260330578512362</v>
      </c>
    </row>
    <row r="207" spans="1:23" x14ac:dyDescent="0.25">
      <c r="A207" t="s">
        <v>16</v>
      </c>
      <c r="C207">
        <v>52.049259999999997</v>
      </c>
      <c r="D207">
        <v>-0.57337419999999995</v>
      </c>
      <c r="E207">
        <v>4</v>
      </c>
      <c r="F207">
        <v>4</v>
      </c>
      <c r="G207">
        <v>2022</v>
      </c>
      <c r="H207">
        <v>13</v>
      </c>
      <c r="I207">
        <v>55</v>
      </c>
      <c r="J207">
        <v>36.4</v>
      </c>
      <c r="K207">
        <v>44.45</v>
      </c>
      <c r="L207">
        <v>0</v>
      </c>
      <c r="M207">
        <v>42.628</v>
      </c>
      <c r="N207">
        <v>0.55100000000000005</v>
      </c>
      <c r="P207" s="1">
        <f t="shared" si="22"/>
        <v>11.841111111111111</v>
      </c>
      <c r="Q207" s="3">
        <f t="shared" si="23"/>
        <v>-0.969444444444445</v>
      </c>
      <c r="R207" s="3">
        <f t="shared" si="24"/>
        <v>-0.38194444444444464</v>
      </c>
      <c r="S207" s="3">
        <f t="shared" si="21"/>
        <v>-0.50290404040404058</v>
      </c>
      <c r="U207" s="1">
        <f t="shared" si="25"/>
        <v>12.06540404040404</v>
      </c>
      <c r="V207" s="3">
        <f t="shared" si="26"/>
        <v>-0.50290404040404191</v>
      </c>
      <c r="W207" s="3">
        <f t="shared" si="27"/>
        <v>-0.50511248852157919</v>
      </c>
    </row>
    <row r="208" spans="1:23" x14ac:dyDescent="0.25">
      <c r="A208" t="s">
        <v>16</v>
      </c>
      <c r="C208">
        <v>52.0492706</v>
      </c>
      <c r="D208">
        <v>-0.57337649999999996</v>
      </c>
      <c r="E208">
        <v>4</v>
      </c>
      <c r="F208">
        <v>4</v>
      </c>
      <c r="G208">
        <v>2022</v>
      </c>
      <c r="H208">
        <v>13</v>
      </c>
      <c r="I208">
        <v>55</v>
      </c>
      <c r="J208">
        <v>36.5</v>
      </c>
      <c r="K208">
        <v>44.42</v>
      </c>
      <c r="L208">
        <v>0</v>
      </c>
      <c r="M208">
        <v>43.372999999999998</v>
      </c>
      <c r="N208">
        <v>0.55100000000000005</v>
      </c>
      <c r="P208" s="1">
        <f t="shared" si="22"/>
        <v>12.048055555555555</v>
      </c>
      <c r="Q208" s="3">
        <f t="shared" si="23"/>
        <v>2.0694444444444393</v>
      </c>
      <c r="R208" s="3">
        <f t="shared" si="24"/>
        <v>-0.41000000000000014</v>
      </c>
      <c r="S208" s="3">
        <f t="shared" si="21"/>
        <v>-0.43601010101010118</v>
      </c>
      <c r="U208" s="1">
        <f t="shared" si="25"/>
        <v>12.018585858585858</v>
      </c>
      <c r="V208" s="3">
        <f t="shared" si="26"/>
        <v>-0.43601010101010118</v>
      </c>
      <c r="W208" s="3">
        <f t="shared" si="27"/>
        <v>-0.46250688705234144</v>
      </c>
    </row>
    <row r="209" spans="1:23" x14ac:dyDescent="0.25">
      <c r="A209" t="s">
        <v>16</v>
      </c>
      <c r="C209">
        <v>52.049281299999997</v>
      </c>
      <c r="D209">
        <v>-0.57337830000000001</v>
      </c>
      <c r="E209">
        <v>4</v>
      </c>
      <c r="F209">
        <v>4</v>
      </c>
      <c r="G209">
        <v>2022</v>
      </c>
      <c r="H209">
        <v>13</v>
      </c>
      <c r="I209">
        <v>55</v>
      </c>
      <c r="J209">
        <v>36.6</v>
      </c>
      <c r="K209">
        <v>44.4</v>
      </c>
      <c r="L209">
        <v>0</v>
      </c>
      <c r="M209">
        <v>43.225000000000001</v>
      </c>
      <c r="N209">
        <v>0.56899999999999995</v>
      </c>
      <c r="P209" s="1">
        <f t="shared" si="22"/>
        <v>12.006944444444445</v>
      </c>
      <c r="Q209" s="3">
        <f t="shared" si="23"/>
        <v>-0.41111111111110432</v>
      </c>
      <c r="R209" s="3">
        <f t="shared" si="24"/>
        <v>-0.43194444444444535</v>
      </c>
      <c r="S209" s="3">
        <f t="shared" si="21"/>
        <v>-0.38646464646464662</v>
      </c>
      <c r="U209" s="1">
        <f t="shared" si="25"/>
        <v>11.981136363636363</v>
      </c>
      <c r="V209" s="3">
        <f t="shared" si="26"/>
        <v>-0.38646464646464729</v>
      </c>
      <c r="W209" s="3">
        <f t="shared" si="27"/>
        <v>-0.42577823691460054</v>
      </c>
    </row>
    <row r="210" spans="1:23" x14ac:dyDescent="0.25">
      <c r="A210" t="s">
        <v>16</v>
      </c>
      <c r="C210">
        <v>52.0492919</v>
      </c>
      <c r="D210">
        <v>-0.5733798</v>
      </c>
      <c r="E210">
        <v>4</v>
      </c>
      <c r="F210">
        <v>4</v>
      </c>
      <c r="G210">
        <v>2022</v>
      </c>
      <c r="H210">
        <v>13</v>
      </c>
      <c r="I210">
        <v>55</v>
      </c>
      <c r="J210">
        <v>36.700000000000003</v>
      </c>
      <c r="K210">
        <v>44.41</v>
      </c>
      <c r="L210">
        <v>0</v>
      </c>
      <c r="M210">
        <v>42.908000000000001</v>
      </c>
      <c r="N210">
        <v>0.56499999999999995</v>
      </c>
      <c r="P210" s="1">
        <f t="shared" si="22"/>
        <v>11.918888888888889</v>
      </c>
      <c r="Q210" s="3">
        <f t="shared" si="23"/>
        <v>-0.88055555555555998</v>
      </c>
      <c r="R210" s="3">
        <f t="shared" si="24"/>
        <v>-0.38111111111111029</v>
      </c>
      <c r="S210" s="3">
        <f t="shared" si="21"/>
        <v>-0.32734848484848489</v>
      </c>
      <c r="U210" s="1">
        <f t="shared" si="25"/>
        <v>11.943762626262624</v>
      </c>
      <c r="V210" s="3">
        <f t="shared" si="26"/>
        <v>-0.32734848484848555</v>
      </c>
      <c r="W210" s="3">
        <f t="shared" si="27"/>
        <v>-0.39629706152433397</v>
      </c>
    </row>
    <row r="211" spans="1:23" x14ac:dyDescent="0.25">
      <c r="A211" t="s">
        <v>16</v>
      </c>
      <c r="C211">
        <v>52.049302400000002</v>
      </c>
      <c r="D211">
        <v>-0.57338069999999997</v>
      </c>
      <c r="E211">
        <v>4</v>
      </c>
      <c r="F211">
        <v>4</v>
      </c>
      <c r="G211">
        <v>2022</v>
      </c>
      <c r="H211">
        <v>13</v>
      </c>
      <c r="I211">
        <v>55</v>
      </c>
      <c r="J211">
        <v>36.799999999999997</v>
      </c>
      <c r="K211">
        <v>44.36</v>
      </c>
      <c r="L211">
        <v>0</v>
      </c>
      <c r="M211">
        <v>42.976999999999997</v>
      </c>
      <c r="N211">
        <v>0.57199999999999995</v>
      </c>
      <c r="P211" s="1">
        <f t="shared" si="22"/>
        <v>11.938055555555556</v>
      </c>
      <c r="Q211" s="3">
        <f t="shared" si="23"/>
        <v>0.19166666666666998</v>
      </c>
      <c r="R211" s="3">
        <f t="shared" si="24"/>
        <v>1.3055555555554932E-2</v>
      </c>
      <c r="S211" s="3">
        <f t="shared" ref="S211:S274" si="28">AVERAGE(R206:R216)</f>
        <v>-0.28727272727272746</v>
      </c>
      <c r="U211" s="1">
        <f t="shared" si="25"/>
        <v>11.918585858585857</v>
      </c>
      <c r="V211" s="3">
        <f t="shared" si="26"/>
        <v>-0.28727272727272357</v>
      </c>
      <c r="W211" s="3">
        <f t="shared" si="27"/>
        <v>-0.37344123048668459</v>
      </c>
    </row>
    <row r="212" spans="1:23" x14ac:dyDescent="0.25">
      <c r="A212" t="s">
        <v>16</v>
      </c>
      <c r="C212">
        <v>52.049313099999999</v>
      </c>
      <c r="D212">
        <v>-0.57338169999999999</v>
      </c>
      <c r="E212">
        <v>4</v>
      </c>
      <c r="F212">
        <v>4</v>
      </c>
      <c r="G212">
        <v>2022</v>
      </c>
      <c r="H212">
        <v>13</v>
      </c>
      <c r="I212">
        <v>55</v>
      </c>
      <c r="J212">
        <v>36.9</v>
      </c>
      <c r="K212">
        <v>44.35</v>
      </c>
      <c r="L212">
        <v>0</v>
      </c>
      <c r="M212">
        <v>43.06</v>
      </c>
      <c r="N212">
        <v>0.57599999999999996</v>
      </c>
      <c r="P212" s="1">
        <f t="shared" si="22"/>
        <v>11.96111111111111</v>
      </c>
      <c r="Q212" s="3">
        <f t="shared" si="23"/>
        <v>0.23055555555554719</v>
      </c>
      <c r="R212" s="3">
        <f t="shared" si="24"/>
        <v>-3.3055555555556282E-2</v>
      </c>
      <c r="S212" s="3">
        <f t="shared" si="28"/>
        <v>-0.28128787878787892</v>
      </c>
      <c r="U212" s="1">
        <f t="shared" si="25"/>
        <v>11.906767676767675</v>
      </c>
      <c r="V212" s="3">
        <f t="shared" si="26"/>
        <v>-0.28128787878787875</v>
      </c>
      <c r="W212" s="3">
        <f t="shared" si="27"/>
        <v>-0.35923094582185411</v>
      </c>
    </row>
    <row r="213" spans="1:23" x14ac:dyDescent="0.25">
      <c r="A213" t="s">
        <v>16</v>
      </c>
      <c r="C213">
        <v>52.049323700000002</v>
      </c>
      <c r="D213">
        <v>-0.57338230000000001</v>
      </c>
      <c r="E213">
        <v>4</v>
      </c>
      <c r="F213">
        <v>4</v>
      </c>
      <c r="G213">
        <v>2022</v>
      </c>
      <c r="H213">
        <v>13</v>
      </c>
      <c r="I213">
        <v>55</v>
      </c>
      <c r="J213">
        <v>37</v>
      </c>
      <c r="K213">
        <v>44.37</v>
      </c>
      <c r="L213">
        <v>0</v>
      </c>
      <c r="M213">
        <v>42.581000000000003</v>
      </c>
      <c r="N213">
        <v>0.58299999999999996</v>
      </c>
      <c r="P213" s="1">
        <f t="shared" si="22"/>
        <v>11.828055555555556</v>
      </c>
      <c r="Q213" s="3">
        <f t="shared" si="23"/>
        <v>-1.3305555555555415</v>
      </c>
      <c r="R213" s="3">
        <f t="shared" si="24"/>
        <v>-0.3341666666666665</v>
      </c>
      <c r="S213" s="3">
        <f t="shared" si="28"/>
        <v>-0.29484848484848508</v>
      </c>
      <c r="U213" s="1">
        <f t="shared" si="25"/>
        <v>11.895202020202019</v>
      </c>
      <c r="V213" s="3">
        <f t="shared" si="26"/>
        <v>-0.29484848484848492</v>
      </c>
      <c r="W213" s="3">
        <f t="shared" si="27"/>
        <v>-0.35608585858585734</v>
      </c>
    </row>
    <row r="214" spans="1:23" x14ac:dyDescent="0.25">
      <c r="A214" t="s">
        <v>16</v>
      </c>
      <c r="C214">
        <v>52.049334199999997</v>
      </c>
      <c r="D214">
        <v>-0.57338250000000002</v>
      </c>
      <c r="E214">
        <v>4</v>
      </c>
      <c r="F214">
        <v>4</v>
      </c>
      <c r="G214">
        <v>2022</v>
      </c>
      <c r="H214">
        <v>13</v>
      </c>
      <c r="I214">
        <v>55</v>
      </c>
      <c r="J214">
        <v>37.1</v>
      </c>
      <c r="K214">
        <v>44.34</v>
      </c>
      <c r="L214">
        <v>0</v>
      </c>
      <c r="M214">
        <v>42.573999999999998</v>
      </c>
      <c r="N214">
        <v>0.58699999999999997</v>
      </c>
      <c r="P214" s="1">
        <f t="shared" si="22"/>
        <v>11.826111111111111</v>
      </c>
      <c r="Q214" s="3">
        <f t="shared" si="23"/>
        <v>-1.9444444444456366E-2</v>
      </c>
      <c r="R214" s="3">
        <f t="shared" si="24"/>
        <v>-0.26583333333333314</v>
      </c>
      <c r="S214" s="3">
        <f t="shared" si="28"/>
        <v>-0.3064898989898992</v>
      </c>
      <c r="U214" s="1">
        <f t="shared" si="25"/>
        <v>11.867297979797979</v>
      </c>
      <c r="V214" s="3">
        <f t="shared" si="26"/>
        <v>-0.30648989898989853</v>
      </c>
      <c r="W214" s="3">
        <f t="shared" si="27"/>
        <v>-0.36157483930211048</v>
      </c>
    </row>
    <row r="215" spans="1:23" x14ac:dyDescent="0.25">
      <c r="A215" t="s">
        <v>16</v>
      </c>
      <c r="C215">
        <v>52.0493448</v>
      </c>
      <c r="D215">
        <v>-0.57338210000000001</v>
      </c>
      <c r="E215">
        <v>4</v>
      </c>
      <c r="F215">
        <v>4</v>
      </c>
      <c r="G215">
        <v>2022</v>
      </c>
      <c r="H215">
        <v>13</v>
      </c>
      <c r="I215">
        <v>55</v>
      </c>
      <c r="J215">
        <v>37.200000000000003</v>
      </c>
      <c r="K215">
        <v>44.33</v>
      </c>
      <c r="L215">
        <v>0</v>
      </c>
      <c r="M215">
        <v>42.649000000000001</v>
      </c>
      <c r="N215">
        <v>0.59799999999999998</v>
      </c>
      <c r="P215" s="1">
        <f t="shared" si="22"/>
        <v>11.846944444444444</v>
      </c>
      <c r="Q215" s="3">
        <f t="shared" si="23"/>
        <v>0.20833333333333925</v>
      </c>
      <c r="R215" s="3">
        <f t="shared" si="24"/>
        <v>-0.12583333333333258</v>
      </c>
      <c r="S215" s="3">
        <f t="shared" si="28"/>
        <v>-0.33121212121212129</v>
      </c>
      <c r="U215" s="1">
        <f t="shared" si="25"/>
        <v>11.847853535353535</v>
      </c>
      <c r="V215" s="3">
        <f t="shared" si="26"/>
        <v>-0.33121212121211663</v>
      </c>
      <c r="W215" s="3">
        <f t="shared" si="27"/>
        <v>-0.37554407713498428</v>
      </c>
    </row>
    <row r="216" spans="1:23" x14ac:dyDescent="0.25">
      <c r="A216" t="s">
        <v>16</v>
      </c>
      <c r="C216">
        <v>52.049355599999998</v>
      </c>
      <c r="D216">
        <v>-0.57338140000000004</v>
      </c>
      <c r="E216">
        <v>4</v>
      </c>
      <c r="F216">
        <v>4</v>
      </c>
      <c r="G216">
        <v>2022</v>
      </c>
      <c r="H216">
        <v>13</v>
      </c>
      <c r="I216">
        <v>55</v>
      </c>
      <c r="J216">
        <v>37.299999999999997</v>
      </c>
      <c r="K216">
        <v>44.32</v>
      </c>
      <c r="L216">
        <v>0</v>
      </c>
      <c r="M216">
        <v>43.024000000000001</v>
      </c>
      <c r="N216">
        <v>0.61599999999999999</v>
      </c>
      <c r="P216" s="1">
        <f t="shared" si="22"/>
        <v>11.951111111111111</v>
      </c>
      <c r="Q216" s="3">
        <f t="shared" si="23"/>
        <v>1.0416666666666607</v>
      </c>
      <c r="R216" s="3">
        <f t="shared" si="24"/>
        <v>-0.28416666666666757</v>
      </c>
      <c r="S216" s="3">
        <f t="shared" si="28"/>
        <v>-0.37366161616161636</v>
      </c>
      <c r="U216" s="1">
        <f t="shared" si="25"/>
        <v>11.823762626262628</v>
      </c>
      <c r="V216" s="3">
        <f t="shared" si="26"/>
        <v>-0.37366161616161442</v>
      </c>
      <c r="W216" s="3">
        <f t="shared" si="27"/>
        <v>-0.40019283746556283</v>
      </c>
    </row>
    <row r="217" spans="1:23" x14ac:dyDescent="0.25">
      <c r="A217" t="s">
        <v>16</v>
      </c>
      <c r="C217">
        <v>52.049365899999998</v>
      </c>
      <c r="D217">
        <v>-0.57338040000000001</v>
      </c>
      <c r="E217">
        <v>4</v>
      </c>
      <c r="F217">
        <v>4</v>
      </c>
      <c r="G217">
        <v>2022</v>
      </c>
      <c r="H217">
        <v>13</v>
      </c>
      <c r="I217">
        <v>55</v>
      </c>
      <c r="J217">
        <v>37.4</v>
      </c>
      <c r="K217">
        <v>44.26</v>
      </c>
      <c r="L217">
        <v>0</v>
      </c>
      <c r="M217">
        <v>42.509</v>
      </c>
      <c r="N217">
        <v>0.63700000000000001</v>
      </c>
      <c r="P217" s="1">
        <f t="shared" si="22"/>
        <v>11.808055555555555</v>
      </c>
      <c r="Q217" s="3">
        <f t="shared" si="23"/>
        <v>-1.4305555555555571</v>
      </c>
      <c r="R217" s="3">
        <f t="shared" si="24"/>
        <v>-0.4591666666666665</v>
      </c>
      <c r="S217" s="3">
        <f t="shared" si="28"/>
        <v>-0.42404040404040411</v>
      </c>
      <c r="U217" s="1">
        <f t="shared" si="25"/>
        <v>11.784116161616161</v>
      </c>
      <c r="V217" s="3">
        <f t="shared" si="26"/>
        <v>-0.42404040404040266</v>
      </c>
      <c r="W217" s="3">
        <f t="shared" si="27"/>
        <v>-0.43187098255279915</v>
      </c>
    </row>
    <row r="218" spans="1:23" x14ac:dyDescent="0.25">
      <c r="A218" t="s">
        <v>16</v>
      </c>
      <c r="C218">
        <v>52.049376199999998</v>
      </c>
      <c r="D218">
        <v>-0.57337879999999997</v>
      </c>
      <c r="E218">
        <v>4</v>
      </c>
      <c r="F218">
        <v>4</v>
      </c>
      <c r="G218">
        <v>2022</v>
      </c>
      <c r="H218">
        <v>13</v>
      </c>
      <c r="I218">
        <v>55</v>
      </c>
      <c r="J218">
        <v>37.5</v>
      </c>
      <c r="K218">
        <v>44.24</v>
      </c>
      <c r="L218">
        <v>0</v>
      </c>
      <c r="M218">
        <v>42.17</v>
      </c>
      <c r="N218">
        <v>0.63400000000000001</v>
      </c>
      <c r="P218" s="1">
        <f t="shared" si="22"/>
        <v>11.713888888888889</v>
      </c>
      <c r="Q218" s="3">
        <f t="shared" si="23"/>
        <v>-0.94166666666666288</v>
      </c>
      <c r="R218" s="3">
        <f t="shared" si="24"/>
        <v>-0.53111111111111242</v>
      </c>
      <c r="S218" s="3">
        <f t="shared" si="28"/>
        <v>-0.46830808080808078</v>
      </c>
      <c r="U218" s="1">
        <f t="shared" si="25"/>
        <v>11.723737373737373</v>
      </c>
      <c r="V218" s="3">
        <f t="shared" si="26"/>
        <v>-0.46830808080807707</v>
      </c>
      <c r="W218" s="3">
        <f t="shared" si="27"/>
        <v>-0.46473599632690371</v>
      </c>
    </row>
    <row r="219" spans="1:23" x14ac:dyDescent="0.25">
      <c r="A219" t="s">
        <v>16</v>
      </c>
      <c r="C219">
        <v>52.049386599999998</v>
      </c>
      <c r="D219">
        <v>-0.57337709999999997</v>
      </c>
      <c r="E219">
        <v>4</v>
      </c>
      <c r="F219">
        <v>4</v>
      </c>
      <c r="G219">
        <v>2022</v>
      </c>
      <c r="H219">
        <v>13</v>
      </c>
      <c r="I219">
        <v>55</v>
      </c>
      <c r="J219">
        <v>37.6</v>
      </c>
      <c r="K219">
        <v>44.2</v>
      </c>
      <c r="L219">
        <v>0</v>
      </c>
      <c r="M219">
        <v>42.268000000000001</v>
      </c>
      <c r="N219">
        <v>0.61599999999999999</v>
      </c>
      <c r="P219" s="1">
        <f t="shared" si="22"/>
        <v>11.741111111111111</v>
      </c>
      <c r="Q219" s="3">
        <f t="shared" si="23"/>
        <v>0.27222222222222925</v>
      </c>
      <c r="R219" s="3">
        <f t="shared" si="24"/>
        <v>-0.53805555555555529</v>
      </c>
      <c r="S219" s="3">
        <f t="shared" si="28"/>
        <v>-0.49638888888888888</v>
      </c>
      <c r="U219" s="1">
        <f t="shared" si="25"/>
        <v>11.674646464646464</v>
      </c>
      <c r="V219" s="3">
        <f t="shared" si="26"/>
        <v>-0.49638888888888566</v>
      </c>
      <c r="W219" s="3">
        <f t="shared" si="27"/>
        <v>-0.49780532598714217</v>
      </c>
    </row>
    <row r="220" spans="1:23" x14ac:dyDescent="0.25">
      <c r="A220" t="s">
        <v>16</v>
      </c>
      <c r="C220">
        <v>52.049396899999998</v>
      </c>
      <c r="D220">
        <v>-0.57337490000000002</v>
      </c>
      <c r="E220">
        <v>4</v>
      </c>
      <c r="F220">
        <v>4</v>
      </c>
      <c r="G220">
        <v>2022</v>
      </c>
      <c r="H220">
        <v>13</v>
      </c>
      <c r="I220">
        <v>55</v>
      </c>
      <c r="J220">
        <v>37.700000000000003</v>
      </c>
      <c r="K220">
        <v>44.12</v>
      </c>
      <c r="L220">
        <v>0</v>
      </c>
      <c r="M220">
        <v>42.454999999999998</v>
      </c>
      <c r="N220">
        <v>0.623</v>
      </c>
      <c r="P220" s="1">
        <f t="shared" si="22"/>
        <v>11.793055555555556</v>
      </c>
      <c r="Q220" s="3">
        <f t="shared" si="23"/>
        <v>0.51944444444444571</v>
      </c>
      <c r="R220" s="3">
        <f t="shared" si="24"/>
        <v>-0.70388888888888879</v>
      </c>
      <c r="S220" s="3">
        <f t="shared" si="28"/>
        <v>-0.54012626262626273</v>
      </c>
      <c r="U220" s="1">
        <f t="shared" si="25"/>
        <v>11.612550505050507</v>
      </c>
      <c r="V220" s="3">
        <f t="shared" si="26"/>
        <v>-0.54012626262625929</v>
      </c>
      <c r="W220" s="3">
        <f t="shared" si="27"/>
        <v>-0.53009641873278068</v>
      </c>
    </row>
    <row r="221" spans="1:23" x14ac:dyDescent="0.25">
      <c r="A221" t="s">
        <v>16</v>
      </c>
      <c r="C221">
        <v>52.049407199999997</v>
      </c>
      <c r="D221">
        <v>-0.57337260000000001</v>
      </c>
      <c r="E221">
        <v>4</v>
      </c>
      <c r="F221">
        <v>4</v>
      </c>
      <c r="G221">
        <v>2022</v>
      </c>
      <c r="H221">
        <v>13</v>
      </c>
      <c r="I221">
        <v>55</v>
      </c>
      <c r="J221">
        <v>37.799999999999997</v>
      </c>
      <c r="K221">
        <v>44.1</v>
      </c>
      <c r="L221">
        <v>0</v>
      </c>
      <c r="M221">
        <v>41.954000000000001</v>
      </c>
      <c r="N221">
        <v>0.60799999999999998</v>
      </c>
      <c r="P221" s="1">
        <f t="shared" si="22"/>
        <v>11.653888888888888</v>
      </c>
      <c r="Q221" s="3">
        <f t="shared" si="23"/>
        <v>-1.3916666666666799</v>
      </c>
      <c r="R221" s="3">
        <f t="shared" si="24"/>
        <v>-0.84805555555555578</v>
      </c>
      <c r="S221" s="3">
        <f t="shared" si="28"/>
        <v>-0.59848484848484851</v>
      </c>
      <c r="U221" s="1">
        <f t="shared" si="25"/>
        <v>11.544924242424242</v>
      </c>
      <c r="V221" s="3">
        <f t="shared" si="26"/>
        <v>-0.59848484848484951</v>
      </c>
      <c r="W221" s="3">
        <f t="shared" si="27"/>
        <v>-0.55853076216712472</v>
      </c>
    </row>
    <row r="222" spans="1:23" x14ac:dyDescent="0.25">
      <c r="A222" t="s">
        <v>16</v>
      </c>
      <c r="C222">
        <v>52.049417300000002</v>
      </c>
      <c r="D222">
        <v>-0.57337009999999999</v>
      </c>
      <c r="E222">
        <v>4</v>
      </c>
      <c r="F222">
        <v>4</v>
      </c>
      <c r="G222">
        <v>2022</v>
      </c>
      <c r="H222">
        <v>13</v>
      </c>
      <c r="I222">
        <v>55</v>
      </c>
      <c r="J222">
        <v>37.9</v>
      </c>
      <c r="K222">
        <v>44.1</v>
      </c>
      <c r="L222">
        <v>0</v>
      </c>
      <c r="M222">
        <v>41.406999999999996</v>
      </c>
      <c r="N222">
        <v>0.58699999999999997</v>
      </c>
      <c r="P222" s="1">
        <f t="shared" si="22"/>
        <v>11.501944444444444</v>
      </c>
      <c r="Q222" s="3">
        <f t="shared" si="23"/>
        <v>-1.5194444444444422</v>
      </c>
      <c r="R222" s="3">
        <f t="shared" si="24"/>
        <v>-0.54111111111111043</v>
      </c>
      <c r="S222" s="3">
        <f t="shared" si="28"/>
        <v>-0.6357323232323232</v>
      </c>
      <c r="U222" s="1">
        <f t="shared" si="25"/>
        <v>11.482727272727272</v>
      </c>
      <c r="V222" s="3">
        <f t="shared" si="26"/>
        <v>-0.63573232323232354</v>
      </c>
      <c r="W222" s="3">
        <f t="shared" si="27"/>
        <v>-0.58305555555555455</v>
      </c>
    </row>
    <row r="223" spans="1:23" x14ac:dyDescent="0.25">
      <c r="A223" t="s">
        <v>16</v>
      </c>
      <c r="C223">
        <v>52.049427199999997</v>
      </c>
      <c r="D223">
        <v>-0.57336690000000001</v>
      </c>
      <c r="E223">
        <v>4</v>
      </c>
      <c r="F223">
        <v>4</v>
      </c>
      <c r="G223">
        <v>2022</v>
      </c>
      <c r="H223">
        <v>13</v>
      </c>
      <c r="I223">
        <v>55</v>
      </c>
      <c r="J223">
        <v>38</v>
      </c>
      <c r="K223">
        <v>44.11</v>
      </c>
      <c r="L223">
        <v>0</v>
      </c>
      <c r="M223">
        <v>40.668999999999997</v>
      </c>
      <c r="N223">
        <v>0.57999999999999996</v>
      </c>
      <c r="P223" s="1">
        <f t="shared" si="22"/>
        <v>11.296944444444444</v>
      </c>
      <c r="Q223" s="3">
        <f t="shared" si="23"/>
        <v>-2.0500000000000007</v>
      </c>
      <c r="R223" s="3">
        <f t="shared" si="24"/>
        <v>-0.51999999999999957</v>
      </c>
      <c r="S223" s="3">
        <f t="shared" si="28"/>
        <v>-0.64280303030303021</v>
      </c>
      <c r="U223" s="1">
        <f t="shared" si="25"/>
        <v>11.426893939393942</v>
      </c>
      <c r="V223" s="3">
        <f t="shared" si="26"/>
        <v>-0.64280303030302832</v>
      </c>
      <c r="W223" s="3">
        <f t="shared" si="27"/>
        <v>-0.60383379247015556</v>
      </c>
    </row>
    <row r="224" spans="1:23" x14ac:dyDescent="0.25">
      <c r="A224" t="s">
        <v>16</v>
      </c>
      <c r="C224">
        <v>52.0494372</v>
      </c>
      <c r="D224">
        <v>-0.57336319999999996</v>
      </c>
      <c r="E224">
        <v>4</v>
      </c>
      <c r="F224">
        <v>4</v>
      </c>
      <c r="G224">
        <v>2022</v>
      </c>
      <c r="H224">
        <v>13</v>
      </c>
      <c r="I224">
        <v>55</v>
      </c>
      <c r="J224">
        <v>38.1</v>
      </c>
      <c r="K224">
        <v>44.15</v>
      </c>
      <c r="L224">
        <v>0</v>
      </c>
      <c r="M224">
        <v>40.637</v>
      </c>
      <c r="N224">
        <v>0.60499999999999998</v>
      </c>
      <c r="P224" s="1">
        <f t="shared" si="22"/>
        <v>11.288055555555555</v>
      </c>
      <c r="Q224" s="3">
        <f t="shared" si="23"/>
        <v>-8.888888888888502E-2</v>
      </c>
      <c r="R224" s="3">
        <f t="shared" si="24"/>
        <v>-0.64305555555555571</v>
      </c>
      <c r="S224" s="3">
        <f t="shared" si="28"/>
        <v>-0.65861111111111093</v>
      </c>
      <c r="U224" s="1">
        <f t="shared" si="25"/>
        <v>11.370909090909093</v>
      </c>
      <c r="V224" s="3">
        <f t="shared" si="26"/>
        <v>-0.65861111111110837</v>
      </c>
      <c r="W224" s="3">
        <f t="shared" si="27"/>
        <v>-0.62082874196510573</v>
      </c>
    </row>
    <row r="225" spans="1:23" x14ac:dyDescent="0.25">
      <c r="A225" t="s">
        <v>16</v>
      </c>
      <c r="C225">
        <v>52.0494469</v>
      </c>
      <c r="D225">
        <v>-0.57335930000000002</v>
      </c>
      <c r="E225">
        <v>4</v>
      </c>
      <c r="F225">
        <v>4</v>
      </c>
      <c r="G225">
        <v>2022</v>
      </c>
      <c r="H225">
        <v>13</v>
      </c>
      <c r="I225">
        <v>55</v>
      </c>
      <c r="J225">
        <v>38.200000000000003</v>
      </c>
      <c r="K225">
        <v>44.15</v>
      </c>
      <c r="L225">
        <v>0</v>
      </c>
      <c r="M225">
        <v>40.115000000000002</v>
      </c>
      <c r="N225">
        <v>0.60499999999999998</v>
      </c>
      <c r="P225" s="1">
        <f t="shared" si="22"/>
        <v>11.143055555555556</v>
      </c>
      <c r="Q225" s="3">
        <f t="shared" si="23"/>
        <v>-1.4499999999999957</v>
      </c>
      <c r="R225" s="3">
        <f t="shared" si="24"/>
        <v>-0.74694444444444485</v>
      </c>
      <c r="S225" s="3">
        <f t="shared" si="28"/>
        <v>-0.66169191919191905</v>
      </c>
      <c r="U225" s="1">
        <f t="shared" si="25"/>
        <v>11.307727272727275</v>
      </c>
      <c r="V225" s="3">
        <f t="shared" si="26"/>
        <v>-0.66169191919192194</v>
      </c>
      <c r="W225" s="3">
        <f t="shared" si="27"/>
        <v>-0.63468549127640117</v>
      </c>
    </row>
    <row r="226" spans="1:23" x14ac:dyDescent="0.25">
      <c r="A226" t="s">
        <v>16</v>
      </c>
      <c r="C226">
        <v>52.049456900000003</v>
      </c>
      <c r="D226">
        <v>-0.5733549</v>
      </c>
      <c r="E226">
        <v>4</v>
      </c>
      <c r="F226">
        <v>4</v>
      </c>
      <c r="G226">
        <v>2022</v>
      </c>
      <c r="H226">
        <v>13</v>
      </c>
      <c r="I226">
        <v>55</v>
      </c>
      <c r="J226">
        <v>38.299999999999997</v>
      </c>
      <c r="K226">
        <v>44.24</v>
      </c>
      <c r="L226">
        <v>0</v>
      </c>
      <c r="M226">
        <v>39.970999999999997</v>
      </c>
      <c r="N226">
        <v>0.60099999999999998</v>
      </c>
      <c r="P226" s="1">
        <f t="shared" si="22"/>
        <v>11.103055555555555</v>
      </c>
      <c r="Q226" s="3">
        <f t="shared" si="23"/>
        <v>-0.40000000000000924</v>
      </c>
      <c r="R226" s="3">
        <f t="shared" si="24"/>
        <v>-0.767777777777777</v>
      </c>
      <c r="S226" s="3">
        <f t="shared" si="28"/>
        <v>-0.64398989898989878</v>
      </c>
      <c r="U226" s="1">
        <f t="shared" si="25"/>
        <v>11.225277777777778</v>
      </c>
      <c r="V226" s="3">
        <f t="shared" si="26"/>
        <v>-0.64398989898990067</v>
      </c>
      <c r="W226" s="3">
        <f t="shared" si="27"/>
        <v>-0.64180670339761359</v>
      </c>
    </row>
    <row r="227" spans="1:23" x14ac:dyDescent="0.25">
      <c r="A227" t="s">
        <v>16</v>
      </c>
      <c r="C227">
        <v>52.0494664</v>
      </c>
      <c r="D227">
        <v>-0.573349</v>
      </c>
      <c r="E227">
        <v>4</v>
      </c>
      <c r="F227">
        <v>4</v>
      </c>
      <c r="G227">
        <v>2022</v>
      </c>
      <c r="H227">
        <v>13</v>
      </c>
      <c r="I227">
        <v>55</v>
      </c>
      <c r="J227">
        <v>38.4</v>
      </c>
      <c r="K227">
        <v>44.23</v>
      </c>
      <c r="L227">
        <v>0</v>
      </c>
      <c r="M227">
        <v>40.561</v>
      </c>
      <c r="N227">
        <v>0.59399999999999997</v>
      </c>
      <c r="P227" s="1">
        <f t="shared" si="22"/>
        <v>11.266944444444444</v>
      </c>
      <c r="Q227" s="3">
        <f t="shared" si="23"/>
        <v>1.6388888888888964</v>
      </c>
      <c r="R227" s="3">
        <f t="shared" si="24"/>
        <v>-0.693888888888889</v>
      </c>
      <c r="S227" s="3">
        <f t="shared" si="28"/>
        <v>-0.64343434343434314</v>
      </c>
      <c r="U227" s="1">
        <f t="shared" si="25"/>
        <v>11.148383838383838</v>
      </c>
      <c r="V227" s="3">
        <f t="shared" si="26"/>
        <v>-0.64343434343434325</v>
      </c>
      <c r="W227" s="3">
        <f t="shared" si="27"/>
        <v>-0.64078971533517082</v>
      </c>
    </row>
    <row r="228" spans="1:23" x14ac:dyDescent="0.25">
      <c r="A228" t="s">
        <v>16</v>
      </c>
      <c r="C228">
        <v>52.049475800000003</v>
      </c>
      <c r="D228">
        <v>-0.57334339999999995</v>
      </c>
      <c r="E228">
        <v>4</v>
      </c>
      <c r="F228">
        <v>4</v>
      </c>
      <c r="G228">
        <v>2022</v>
      </c>
      <c r="H228">
        <v>13</v>
      </c>
      <c r="I228">
        <v>55</v>
      </c>
      <c r="J228">
        <v>38.5</v>
      </c>
      <c r="K228">
        <v>44.22</v>
      </c>
      <c r="L228">
        <v>0</v>
      </c>
      <c r="M228">
        <v>40.298000000000002</v>
      </c>
      <c r="N228">
        <v>0.60499999999999998</v>
      </c>
      <c r="P228" s="1">
        <f t="shared" si="22"/>
        <v>11.193888888888889</v>
      </c>
      <c r="Q228" s="3">
        <f t="shared" si="23"/>
        <v>-0.73055555555555429</v>
      </c>
      <c r="R228" s="3">
        <f t="shared" si="24"/>
        <v>-0.536944444444444</v>
      </c>
      <c r="S228" s="3">
        <f t="shared" si="28"/>
        <v>-0.65260101010100979</v>
      </c>
      <c r="U228" s="1">
        <f t="shared" si="25"/>
        <v>11.080934343434345</v>
      </c>
      <c r="V228" s="3">
        <f t="shared" si="26"/>
        <v>-0.65260101010101401</v>
      </c>
      <c r="W228" s="3">
        <f t="shared" si="27"/>
        <v>-0.63454545454545541</v>
      </c>
    </row>
    <row r="229" spans="1:23" x14ac:dyDescent="0.25">
      <c r="A229" t="s">
        <v>16</v>
      </c>
      <c r="C229">
        <v>52.049484999999997</v>
      </c>
      <c r="D229">
        <v>-0.57333780000000001</v>
      </c>
      <c r="E229">
        <v>4</v>
      </c>
      <c r="F229">
        <v>4</v>
      </c>
      <c r="G229">
        <v>2022</v>
      </c>
      <c r="H229">
        <v>13</v>
      </c>
      <c r="I229">
        <v>55</v>
      </c>
      <c r="J229">
        <v>38.6</v>
      </c>
      <c r="K229">
        <v>44.21</v>
      </c>
      <c r="L229">
        <v>0</v>
      </c>
      <c r="M229">
        <v>39.953000000000003</v>
      </c>
      <c r="N229">
        <v>0.60799999999999998</v>
      </c>
      <c r="P229" s="1">
        <f t="shared" si="22"/>
        <v>11.098055555555556</v>
      </c>
      <c r="Q229" s="3">
        <f t="shared" si="23"/>
        <v>-0.95833333333333215</v>
      </c>
      <c r="R229" s="3">
        <f t="shared" si="24"/>
        <v>-0.70500000000000007</v>
      </c>
      <c r="S229" s="3">
        <f t="shared" si="28"/>
        <v>-0.65525252525252498</v>
      </c>
      <c r="U229" s="1">
        <f t="shared" si="25"/>
        <v>11.016035353535356</v>
      </c>
      <c r="V229" s="3">
        <f t="shared" si="26"/>
        <v>-0.65525252525252853</v>
      </c>
      <c r="W229" s="3">
        <f t="shared" si="27"/>
        <v>-0.62446969696969812</v>
      </c>
    </row>
    <row r="230" spans="1:23" x14ac:dyDescent="0.25">
      <c r="A230" t="s">
        <v>16</v>
      </c>
      <c r="C230">
        <v>52.049494199999998</v>
      </c>
      <c r="D230">
        <v>-0.57333149999999999</v>
      </c>
      <c r="E230">
        <v>4</v>
      </c>
      <c r="F230">
        <v>4</v>
      </c>
      <c r="G230">
        <v>2022</v>
      </c>
      <c r="H230">
        <v>13</v>
      </c>
      <c r="I230">
        <v>55</v>
      </c>
      <c r="J230">
        <v>38.700000000000003</v>
      </c>
      <c r="K230">
        <v>44.23</v>
      </c>
      <c r="L230">
        <v>0</v>
      </c>
      <c r="M230">
        <v>39.765999999999998</v>
      </c>
      <c r="N230">
        <v>0.59</v>
      </c>
      <c r="P230" s="1">
        <f t="shared" si="22"/>
        <v>11.046111111111111</v>
      </c>
      <c r="Q230" s="3">
        <f t="shared" si="23"/>
        <v>-0.51944444444444571</v>
      </c>
      <c r="R230" s="3">
        <f t="shared" si="24"/>
        <v>-0.57194444444444414</v>
      </c>
      <c r="S230" s="3">
        <f t="shared" si="28"/>
        <v>-0.64881313131313112</v>
      </c>
      <c r="U230" s="1">
        <f t="shared" si="25"/>
        <v>10.950858585858585</v>
      </c>
      <c r="V230" s="3">
        <f t="shared" si="26"/>
        <v>-0.64881313131313512</v>
      </c>
      <c r="W230" s="3">
        <f t="shared" si="27"/>
        <v>-0.60936179981634642</v>
      </c>
    </row>
    <row r="231" spans="1:23" x14ac:dyDescent="0.25">
      <c r="A231" t="s">
        <v>16</v>
      </c>
      <c r="C231">
        <v>52.049502799999999</v>
      </c>
      <c r="D231">
        <v>-0.57332479999999997</v>
      </c>
      <c r="E231">
        <v>4</v>
      </c>
      <c r="F231">
        <v>4</v>
      </c>
      <c r="G231">
        <v>2022</v>
      </c>
      <c r="H231">
        <v>13</v>
      </c>
      <c r="I231">
        <v>55</v>
      </c>
      <c r="J231">
        <v>38.799999999999997</v>
      </c>
      <c r="K231">
        <v>44.18</v>
      </c>
      <c r="L231">
        <v>0</v>
      </c>
      <c r="M231">
        <v>39.19</v>
      </c>
      <c r="N231">
        <v>0.57199999999999995</v>
      </c>
      <c r="P231" s="1">
        <f t="shared" si="22"/>
        <v>10.886111111111111</v>
      </c>
      <c r="Q231" s="3">
        <f t="shared" si="23"/>
        <v>-1.6000000000000014</v>
      </c>
      <c r="R231" s="3">
        <f t="shared" si="24"/>
        <v>-0.50916666666666544</v>
      </c>
      <c r="S231" s="3">
        <f t="shared" si="28"/>
        <v>-0.61845959595959565</v>
      </c>
      <c r="U231" s="1">
        <f t="shared" si="25"/>
        <v>10.900934343434342</v>
      </c>
      <c r="V231" s="3">
        <f t="shared" si="26"/>
        <v>-0.61845959595959599</v>
      </c>
      <c r="W231" s="3">
        <f t="shared" si="27"/>
        <v>-0.59150137741046926</v>
      </c>
    </row>
    <row r="232" spans="1:23" x14ac:dyDescent="0.25">
      <c r="A232" t="s">
        <v>16</v>
      </c>
      <c r="C232">
        <v>52.049511699999996</v>
      </c>
      <c r="D232">
        <v>-0.57331799999999999</v>
      </c>
      <c r="E232">
        <v>4</v>
      </c>
      <c r="F232">
        <v>4</v>
      </c>
      <c r="G232">
        <v>2022</v>
      </c>
      <c r="H232">
        <v>13</v>
      </c>
      <c r="I232">
        <v>55</v>
      </c>
      <c r="J232">
        <v>38.9</v>
      </c>
      <c r="K232">
        <v>44.2</v>
      </c>
      <c r="L232">
        <v>0</v>
      </c>
      <c r="M232">
        <v>38.908999999999999</v>
      </c>
      <c r="N232">
        <v>0.56899999999999995</v>
      </c>
      <c r="P232" s="1">
        <f t="shared" si="22"/>
        <v>10.808055555555555</v>
      </c>
      <c r="Q232" s="3">
        <f t="shared" si="23"/>
        <v>-0.78055555555556211</v>
      </c>
      <c r="R232" s="3">
        <f t="shared" si="24"/>
        <v>-0.84194444444444372</v>
      </c>
      <c r="S232" s="3">
        <f t="shared" si="28"/>
        <v>-0.58729797979797949</v>
      </c>
      <c r="U232" s="1">
        <f t="shared" si="25"/>
        <v>10.839292929292929</v>
      </c>
      <c r="V232" s="3">
        <f t="shared" si="26"/>
        <v>-0.58729797979797915</v>
      </c>
      <c r="W232" s="3">
        <f t="shared" si="27"/>
        <v>-0.57172865013774188</v>
      </c>
    </row>
    <row r="233" spans="1:23" x14ac:dyDescent="0.25">
      <c r="A233" t="s">
        <v>16</v>
      </c>
      <c r="C233">
        <v>52.049520100000002</v>
      </c>
      <c r="D233">
        <v>-0.5733104</v>
      </c>
      <c r="E233">
        <v>4</v>
      </c>
      <c r="F233">
        <v>4</v>
      </c>
      <c r="G233">
        <v>2022</v>
      </c>
      <c r="H233">
        <v>13</v>
      </c>
      <c r="I233">
        <v>55</v>
      </c>
      <c r="J233">
        <v>39</v>
      </c>
      <c r="K233">
        <v>44.2</v>
      </c>
      <c r="L233">
        <v>0</v>
      </c>
      <c r="M233">
        <v>38.735999999999997</v>
      </c>
      <c r="N233">
        <v>0.57599999999999996</v>
      </c>
      <c r="P233" s="1">
        <f t="shared" si="22"/>
        <v>10.76</v>
      </c>
      <c r="Q233" s="3">
        <f t="shared" si="23"/>
        <v>-0.48055555555555074</v>
      </c>
      <c r="R233" s="3">
        <f t="shared" si="24"/>
        <v>-0.64194444444444443</v>
      </c>
      <c r="S233" s="3">
        <f t="shared" si="28"/>
        <v>-0.56704545454545408</v>
      </c>
      <c r="U233" s="1">
        <f t="shared" si="25"/>
        <v>10.774292929292928</v>
      </c>
      <c r="V233" s="3">
        <f t="shared" si="26"/>
        <v>-0.56704545454545396</v>
      </c>
      <c r="W233" s="3">
        <f t="shared" si="27"/>
        <v>-0.54785812672176382</v>
      </c>
    </row>
    <row r="234" spans="1:23" x14ac:dyDescent="0.25">
      <c r="A234" t="s">
        <v>16</v>
      </c>
      <c r="C234">
        <v>52.049528299999999</v>
      </c>
      <c r="D234">
        <v>-0.57330270000000005</v>
      </c>
      <c r="E234">
        <v>4</v>
      </c>
      <c r="F234">
        <v>4</v>
      </c>
      <c r="G234">
        <v>2022</v>
      </c>
      <c r="H234">
        <v>13</v>
      </c>
      <c r="I234">
        <v>55</v>
      </c>
      <c r="J234">
        <v>39.1</v>
      </c>
      <c r="K234">
        <v>44.2</v>
      </c>
      <c r="L234">
        <v>0</v>
      </c>
      <c r="M234">
        <v>38.098999999999997</v>
      </c>
      <c r="N234">
        <v>0.57599999999999996</v>
      </c>
      <c r="P234" s="1">
        <f t="shared" si="22"/>
        <v>10.583055555555555</v>
      </c>
      <c r="Q234" s="3">
        <f t="shared" si="23"/>
        <v>-1.7694444444444457</v>
      </c>
      <c r="R234" s="3">
        <f t="shared" si="24"/>
        <v>-0.54916666666666636</v>
      </c>
      <c r="S234" s="3">
        <f t="shared" si="28"/>
        <v>-0.53196969696969665</v>
      </c>
      <c r="U234" s="1">
        <f t="shared" si="25"/>
        <v>10.715656565656564</v>
      </c>
      <c r="V234" s="3">
        <f t="shared" si="26"/>
        <v>-0.53196969696969809</v>
      </c>
      <c r="W234" s="3">
        <f t="shared" si="27"/>
        <v>-0.52008034894398558</v>
      </c>
    </row>
    <row r="235" spans="1:23" x14ac:dyDescent="0.25">
      <c r="A235" t="s">
        <v>16</v>
      </c>
      <c r="C235">
        <v>52.049536400000001</v>
      </c>
      <c r="D235">
        <v>-0.57329450000000004</v>
      </c>
      <c r="E235">
        <v>4</v>
      </c>
      <c r="F235">
        <v>4</v>
      </c>
      <c r="G235">
        <v>2022</v>
      </c>
      <c r="H235">
        <v>13</v>
      </c>
      <c r="I235">
        <v>55</v>
      </c>
      <c r="J235">
        <v>39.200000000000003</v>
      </c>
      <c r="K235">
        <v>44.2</v>
      </c>
      <c r="L235">
        <v>0</v>
      </c>
      <c r="M235">
        <v>38.055999999999997</v>
      </c>
      <c r="N235">
        <v>0.57599999999999996</v>
      </c>
      <c r="P235" s="1">
        <f t="shared" si="22"/>
        <v>10.571111111111112</v>
      </c>
      <c r="Q235" s="3">
        <f t="shared" si="23"/>
        <v>-0.11944444444443647</v>
      </c>
      <c r="R235" s="3">
        <f t="shared" si="24"/>
        <v>-0.57222222222222285</v>
      </c>
      <c r="S235" s="3">
        <f t="shared" si="28"/>
        <v>-0.49242424242424204</v>
      </c>
      <c r="U235" s="1">
        <f t="shared" si="25"/>
        <v>10.65891414141414</v>
      </c>
      <c r="V235" s="3">
        <f t="shared" si="26"/>
        <v>-0.49242424242424043</v>
      </c>
      <c r="W235" s="3">
        <f t="shared" si="27"/>
        <v>-0.48943985307621674</v>
      </c>
    </row>
    <row r="236" spans="1:23" x14ac:dyDescent="0.25">
      <c r="A236" t="s">
        <v>16</v>
      </c>
      <c r="C236">
        <v>52.049544099999999</v>
      </c>
      <c r="D236">
        <v>-0.57328559999999995</v>
      </c>
      <c r="E236">
        <v>4</v>
      </c>
      <c r="F236">
        <v>4</v>
      </c>
      <c r="G236">
        <v>2022</v>
      </c>
      <c r="H236">
        <v>13</v>
      </c>
      <c r="I236">
        <v>55</v>
      </c>
      <c r="J236">
        <v>39.299999999999997</v>
      </c>
      <c r="K236">
        <v>44.18</v>
      </c>
      <c r="L236">
        <v>0</v>
      </c>
      <c r="M236">
        <v>38.137999999999998</v>
      </c>
      <c r="N236">
        <v>0.59399999999999997</v>
      </c>
      <c r="P236" s="1">
        <f t="shared" si="22"/>
        <v>10.593888888888889</v>
      </c>
      <c r="Q236" s="3">
        <f t="shared" si="23"/>
        <v>0.22777777777777786</v>
      </c>
      <c r="R236" s="3">
        <f t="shared" si="24"/>
        <v>-0.41305555555555529</v>
      </c>
      <c r="S236" s="3">
        <f t="shared" si="28"/>
        <v>-0.46522727272727238</v>
      </c>
      <c r="U236" s="1">
        <f t="shared" si="25"/>
        <v>10.606818181818182</v>
      </c>
      <c r="V236" s="3">
        <f t="shared" si="26"/>
        <v>-0.46522727272727238</v>
      </c>
      <c r="W236" s="3">
        <f t="shared" si="27"/>
        <v>-0.45739898989898964</v>
      </c>
    </row>
    <row r="237" spans="1:23" x14ac:dyDescent="0.25">
      <c r="A237" t="s">
        <v>16</v>
      </c>
      <c r="C237">
        <v>52.049551700000002</v>
      </c>
      <c r="D237">
        <v>-0.57327660000000003</v>
      </c>
      <c r="E237">
        <v>4</v>
      </c>
      <c r="F237">
        <v>4</v>
      </c>
      <c r="G237">
        <v>2022</v>
      </c>
      <c r="H237">
        <v>13</v>
      </c>
      <c r="I237">
        <v>55</v>
      </c>
      <c r="J237">
        <v>39.4</v>
      </c>
      <c r="K237">
        <v>44.2</v>
      </c>
      <c r="L237">
        <v>0</v>
      </c>
      <c r="M237">
        <v>37.53</v>
      </c>
      <c r="N237">
        <v>0.57599999999999996</v>
      </c>
      <c r="P237" s="1">
        <f t="shared" si="22"/>
        <v>10.425000000000001</v>
      </c>
      <c r="Q237" s="3">
        <f t="shared" si="23"/>
        <v>-1.6888888888888864</v>
      </c>
      <c r="R237" s="3">
        <f t="shared" si="24"/>
        <v>-0.42499999999999893</v>
      </c>
      <c r="S237" s="3">
        <f t="shared" si="28"/>
        <v>-0.42648989898989886</v>
      </c>
      <c r="U237" s="1">
        <f t="shared" si="25"/>
        <v>10.561085858585859</v>
      </c>
      <c r="V237" s="3">
        <f t="shared" si="26"/>
        <v>-0.42648989898989953</v>
      </c>
      <c r="W237" s="3">
        <f t="shared" si="27"/>
        <v>-0.42681129476583995</v>
      </c>
    </row>
    <row r="238" spans="1:23" x14ac:dyDescent="0.25">
      <c r="A238" t="s">
        <v>16</v>
      </c>
      <c r="C238">
        <v>52.049559100000003</v>
      </c>
      <c r="D238">
        <v>-0.57326699999999997</v>
      </c>
      <c r="E238">
        <v>4</v>
      </c>
      <c r="F238">
        <v>4</v>
      </c>
      <c r="G238">
        <v>2022</v>
      </c>
      <c r="H238">
        <v>13</v>
      </c>
      <c r="I238">
        <v>55</v>
      </c>
      <c r="J238">
        <v>39.5</v>
      </c>
      <c r="K238">
        <v>44.17</v>
      </c>
      <c r="L238">
        <v>0</v>
      </c>
      <c r="M238">
        <v>37.987000000000002</v>
      </c>
      <c r="N238">
        <v>0.57199999999999995</v>
      </c>
      <c r="P238" s="1">
        <f t="shared" si="22"/>
        <v>10.551944444444445</v>
      </c>
      <c r="Q238" s="3">
        <f t="shared" si="23"/>
        <v>1.2694444444444386</v>
      </c>
      <c r="R238" s="3">
        <f t="shared" si="24"/>
        <v>-0.47111111111111015</v>
      </c>
      <c r="S238" s="3">
        <f t="shared" si="28"/>
        <v>-0.38085858585858579</v>
      </c>
      <c r="U238" s="1">
        <f t="shared" si="25"/>
        <v>10.513888888888891</v>
      </c>
      <c r="V238" s="3">
        <f t="shared" si="26"/>
        <v>-0.38085858585858468</v>
      </c>
      <c r="W238" s="3">
        <f t="shared" si="27"/>
        <v>-0.3972956841138659</v>
      </c>
    </row>
    <row r="239" spans="1:23" x14ac:dyDescent="0.25">
      <c r="A239" t="s">
        <v>16</v>
      </c>
      <c r="C239">
        <v>52.049566200000001</v>
      </c>
      <c r="D239">
        <v>-0.57325669999999995</v>
      </c>
      <c r="E239">
        <v>4</v>
      </c>
      <c r="F239">
        <v>4</v>
      </c>
      <c r="G239">
        <v>2022</v>
      </c>
      <c r="H239">
        <v>13</v>
      </c>
      <c r="I239">
        <v>55</v>
      </c>
      <c r="J239">
        <v>39.6</v>
      </c>
      <c r="K239">
        <v>44.17</v>
      </c>
      <c r="L239">
        <v>0</v>
      </c>
      <c r="M239">
        <v>37.975999999999999</v>
      </c>
      <c r="N239">
        <v>0.57199999999999995</v>
      </c>
      <c r="P239" s="1">
        <f t="shared" si="22"/>
        <v>10.548888888888889</v>
      </c>
      <c r="Q239" s="3">
        <f t="shared" si="23"/>
        <v>-3.055555555555145E-2</v>
      </c>
      <c r="R239" s="3">
        <f t="shared" si="24"/>
        <v>-0.15111111111111164</v>
      </c>
      <c r="S239" s="3">
        <f t="shared" si="28"/>
        <v>-0.3470454545454546</v>
      </c>
      <c r="U239" s="1">
        <f t="shared" si="25"/>
        <v>10.484065656565658</v>
      </c>
      <c r="V239" s="3">
        <f t="shared" si="26"/>
        <v>-0.34704545454545332</v>
      </c>
      <c r="W239" s="3">
        <f t="shared" si="27"/>
        <v>-0.37022268135904518</v>
      </c>
    </row>
    <row r="240" spans="1:23" x14ac:dyDescent="0.25">
      <c r="A240" t="s">
        <v>16</v>
      </c>
      <c r="C240">
        <v>52.049572900000001</v>
      </c>
      <c r="D240">
        <v>-0.57324620000000004</v>
      </c>
      <c r="E240">
        <v>4</v>
      </c>
      <c r="F240">
        <v>4</v>
      </c>
      <c r="G240">
        <v>2022</v>
      </c>
      <c r="H240">
        <v>13</v>
      </c>
      <c r="I240">
        <v>55</v>
      </c>
      <c r="J240">
        <v>39.700000000000003</v>
      </c>
      <c r="K240">
        <v>44.15</v>
      </c>
      <c r="L240">
        <v>0</v>
      </c>
      <c r="M240">
        <v>37.706000000000003</v>
      </c>
      <c r="N240">
        <v>0.59</v>
      </c>
      <c r="P240" s="1">
        <f t="shared" si="22"/>
        <v>10.473888888888888</v>
      </c>
      <c r="Q240" s="3">
        <f t="shared" si="23"/>
        <v>-0.75000000000001066</v>
      </c>
      <c r="R240" s="3">
        <f t="shared" si="24"/>
        <v>-0.26999999999999957</v>
      </c>
      <c r="S240" s="3">
        <f t="shared" si="28"/>
        <v>-0.31820707070707077</v>
      </c>
      <c r="U240" s="1">
        <f t="shared" si="25"/>
        <v>10.458434343434345</v>
      </c>
      <c r="V240" s="3">
        <f t="shared" si="26"/>
        <v>-0.31820707070707144</v>
      </c>
      <c r="W240" s="3">
        <f t="shared" si="27"/>
        <v>-0.34772727272727283</v>
      </c>
    </row>
    <row r="241" spans="1:23" x14ac:dyDescent="0.25">
      <c r="A241" t="s">
        <v>16</v>
      </c>
      <c r="C241">
        <v>52.0495795</v>
      </c>
      <c r="D241">
        <v>-0.5732353</v>
      </c>
      <c r="E241">
        <v>4</v>
      </c>
      <c r="F241">
        <v>4</v>
      </c>
      <c r="G241">
        <v>2022</v>
      </c>
      <c r="H241">
        <v>13</v>
      </c>
      <c r="I241">
        <v>55</v>
      </c>
      <c r="J241">
        <v>39.799999999999997</v>
      </c>
      <c r="K241">
        <v>44.16</v>
      </c>
      <c r="L241">
        <v>0</v>
      </c>
      <c r="M241">
        <v>37.703000000000003</v>
      </c>
      <c r="N241">
        <v>0.59799999999999998</v>
      </c>
      <c r="P241" s="1">
        <f t="shared" si="22"/>
        <v>10.473055555555556</v>
      </c>
      <c r="Q241" s="3">
        <f t="shared" si="23"/>
        <v>-8.3333333333257542E-3</v>
      </c>
      <c r="R241" s="3">
        <f t="shared" si="24"/>
        <v>-0.27277777777777779</v>
      </c>
      <c r="S241" s="3">
        <f t="shared" si="28"/>
        <v>-0.29636363636363633</v>
      </c>
      <c r="U241" s="1">
        <f t="shared" si="25"/>
        <v>10.435707070707069</v>
      </c>
      <c r="V241" s="3">
        <f t="shared" si="26"/>
        <v>-0.29636363636363683</v>
      </c>
      <c r="W241" s="3">
        <f t="shared" si="27"/>
        <v>-0.33254591368227743</v>
      </c>
    </row>
    <row r="242" spans="1:23" x14ac:dyDescent="0.25">
      <c r="A242" t="s">
        <v>16</v>
      </c>
      <c r="C242">
        <v>52.0495856</v>
      </c>
      <c r="D242">
        <v>-0.57322410000000001</v>
      </c>
      <c r="E242">
        <v>4</v>
      </c>
      <c r="F242">
        <v>4</v>
      </c>
      <c r="G242">
        <v>2022</v>
      </c>
      <c r="H242">
        <v>13</v>
      </c>
      <c r="I242">
        <v>55</v>
      </c>
      <c r="J242">
        <v>39.9</v>
      </c>
      <c r="K242">
        <v>44.15</v>
      </c>
      <c r="L242">
        <v>0</v>
      </c>
      <c r="M242">
        <v>37.378999999999998</v>
      </c>
      <c r="N242">
        <v>0.57199999999999995</v>
      </c>
      <c r="P242" s="1">
        <f t="shared" si="22"/>
        <v>10.383055555555556</v>
      </c>
      <c r="Q242" s="3">
        <f t="shared" si="23"/>
        <v>-0.89999999999999858</v>
      </c>
      <c r="R242" s="3">
        <f t="shared" si="24"/>
        <v>-8.3055555555556992E-2</v>
      </c>
      <c r="S242" s="3">
        <f t="shared" si="28"/>
        <v>-0.28199494949494958</v>
      </c>
      <c r="U242" s="1">
        <f t="shared" si="25"/>
        <v>10.41280303030303</v>
      </c>
      <c r="V242" s="3">
        <f t="shared" si="26"/>
        <v>-0.28199494949494941</v>
      </c>
      <c r="W242" s="3">
        <f t="shared" si="27"/>
        <v>-0.32411845730027572</v>
      </c>
    </row>
    <row r="243" spans="1:23" x14ac:dyDescent="0.25">
      <c r="A243" t="s">
        <v>16</v>
      </c>
      <c r="C243">
        <v>52.049591399999997</v>
      </c>
      <c r="D243">
        <v>-0.57321279999999997</v>
      </c>
      <c r="E243">
        <v>4</v>
      </c>
      <c r="F243">
        <v>4</v>
      </c>
      <c r="G243">
        <v>2022</v>
      </c>
      <c r="H243">
        <v>13</v>
      </c>
      <c r="I243">
        <v>55</v>
      </c>
      <c r="J243">
        <v>40</v>
      </c>
      <c r="K243">
        <v>44.12</v>
      </c>
      <c r="L243">
        <v>0</v>
      </c>
      <c r="M243">
        <v>37.04</v>
      </c>
      <c r="N243">
        <v>0.56200000000000006</v>
      </c>
      <c r="P243" s="1">
        <f t="shared" si="22"/>
        <v>10.28888888888889</v>
      </c>
      <c r="Q243" s="3">
        <f t="shared" si="23"/>
        <v>-0.94166666666666288</v>
      </c>
      <c r="R243" s="3">
        <f t="shared" si="24"/>
        <v>-0.33999999999999986</v>
      </c>
      <c r="S243" s="3">
        <f t="shared" si="28"/>
        <v>-0.26262626262626282</v>
      </c>
      <c r="U243" s="1">
        <f t="shared" si="25"/>
        <v>10.393434343434343</v>
      </c>
      <c r="V243" s="3">
        <f t="shared" si="26"/>
        <v>-0.26262626262626476</v>
      </c>
      <c r="W243" s="3">
        <f t="shared" si="27"/>
        <v>-0.32483930211202955</v>
      </c>
    </row>
    <row r="244" spans="1:23" x14ac:dyDescent="0.25">
      <c r="A244" t="s">
        <v>16</v>
      </c>
      <c r="C244">
        <v>52.049597300000002</v>
      </c>
      <c r="D244">
        <v>-0.57320090000000001</v>
      </c>
      <c r="E244">
        <v>4</v>
      </c>
      <c r="F244">
        <v>4</v>
      </c>
      <c r="G244">
        <v>2022</v>
      </c>
      <c r="H244">
        <v>13</v>
      </c>
      <c r="I244">
        <v>55</v>
      </c>
      <c r="J244">
        <v>40.1</v>
      </c>
      <c r="K244">
        <v>44.12</v>
      </c>
      <c r="L244">
        <v>0</v>
      </c>
      <c r="M244">
        <v>37.555</v>
      </c>
      <c r="N244">
        <v>0.58299999999999996</v>
      </c>
      <c r="P244" s="1">
        <f t="shared" si="22"/>
        <v>10.431944444444444</v>
      </c>
      <c r="Q244" s="3">
        <f t="shared" si="23"/>
        <v>1.4305555555555394</v>
      </c>
      <c r="R244" s="3">
        <f t="shared" si="24"/>
        <v>-0.27000000000000135</v>
      </c>
      <c r="S244" s="3">
        <f t="shared" si="28"/>
        <v>-0.26924242424242451</v>
      </c>
      <c r="U244" s="1">
        <f t="shared" si="25"/>
        <v>10.368611111111111</v>
      </c>
      <c r="V244" s="3">
        <f t="shared" si="26"/>
        <v>-0.26924242424242628</v>
      </c>
      <c r="W244" s="3">
        <f t="shared" si="27"/>
        <v>-0.33179063360881567</v>
      </c>
    </row>
    <row r="245" spans="1:23" x14ac:dyDescent="0.25">
      <c r="A245" t="s">
        <v>16</v>
      </c>
      <c r="C245">
        <v>52.0496026</v>
      </c>
      <c r="D245">
        <v>-0.57318880000000005</v>
      </c>
      <c r="E245">
        <v>4</v>
      </c>
      <c r="F245">
        <v>4</v>
      </c>
      <c r="G245">
        <v>2022</v>
      </c>
      <c r="H245">
        <v>13</v>
      </c>
      <c r="I245">
        <v>55</v>
      </c>
      <c r="J245">
        <v>40.200000000000003</v>
      </c>
      <c r="K245">
        <v>44.11</v>
      </c>
      <c r="L245">
        <v>0</v>
      </c>
      <c r="M245">
        <v>37.084000000000003</v>
      </c>
      <c r="N245">
        <v>0.57599999999999996</v>
      </c>
      <c r="P245" s="1">
        <f t="shared" si="22"/>
        <v>10.301111111111112</v>
      </c>
      <c r="Q245" s="3">
        <f t="shared" si="23"/>
        <v>-1.3083333333333158</v>
      </c>
      <c r="R245" s="3">
        <f t="shared" si="24"/>
        <v>-0.23194444444444429</v>
      </c>
      <c r="S245" s="3">
        <f t="shared" si="28"/>
        <v>-0.28452020202020234</v>
      </c>
      <c r="U245" s="1">
        <f t="shared" si="25"/>
        <v>10.340707070707069</v>
      </c>
      <c r="V245" s="3">
        <f t="shared" si="26"/>
        <v>-0.28452020202020201</v>
      </c>
      <c r="W245" s="3">
        <f t="shared" si="27"/>
        <v>-0.34640955004591378</v>
      </c>
    </row>
    <row r="246" spans="1:23" x14ac:dyDescent="0.25">
      <c r="A246" t="s">
        <v>16</v>
      </c>
      <c r="C246">
        <v>52.049607600000002</v>
      </c>
      <c r="D246">
        <v>-0.57317629999999997</v>
      </c>
      <c r="E246">
        <v>4</v>
      </c>
      <c r="F246">
        <v>4</v>
      </c>
      <c r="G246">
        <v>2022</v>
      </c>
      <c r="H246">
        <v>13</v>
      </c>
      <c r="I246">
        <v>55</v>
      </c>
      <c r="J246">
        <v>40.299999999999997</v>
      </c>
      <c r="K246">
        <v>44.09</v>
      </c>
      <c r="L246">
        <v>0</v>
      </c>
      <c r="M246">
        <v>37.155999999999999</v>
      </c>
      <c r="N246">
        <v>0.58699999999999997</v>
      </c>
      <c r="P246" s="1">
        <f t="shared" si="22"/>
        <v>10.321111111111112</v>
      </c>
      <c r="Q246" s="3">
        <f t="shared" si="23"/>
        <v>0.19999999999999574</v>
      </c>
      <c r="R246" s="3">
        <f t="shared" si="24"/>
        <v>-0.33194444444444393</v>
      </c>
      <c r="S246" s="3">
        <f t="shared" si="28"/>
        <v>-0.32542929292929335</v>
      </c>
      <c r="U246" s="1">
        <f t="shared" si="25"/>
        <v>10.310454545454546</v>
      </c>
      <c r="V246" s="3">
        <f t="shared" si="26"/>
        <v>-0.32542929292929124</v>
      </c>
      <c r="W246" s="3">
        <f t="shared" si="27"/>
        <v>-0.36746097337006423</v>
      </c>
    </row>
    <row r="247" spans="1:23" x14ac:dyDescent="0.25">
      <c r="A247" t="s">
        <v>16</v>
      </c>
      <c r="C247">
        <v>52.049612000000003</v>
      </c>
      <c r="D247">
        <v>-0.57316350000000005</v>
      </c>
      <c r="E247">
        <v>4</v>
      </c>
      <c r="F247">
        <v>4</v>
      </c>
      <c r="G247">
        <v>2022</v>
      </c>
      <c r="H247">
        <v>13</v>
      </c>
      <c r="I247">
        <v>55</v>
      </c>
      <c r="J247">
        <v>40.4</v>
      </c>
      <c r="K247">
        <v>43.98</v>
      </c>
      <c r="L247">
        <v>0</v>
      </c>
      <c r="M247">
        <v>37.231000000000002</v>
      </c>
      <c r="N247">
        <v>0.58299999999999996</v>
      </c>
      <c r="P247" s="1">
        <f t="shared" si="22"/>
        <v>10.341944444444444</v>
      </c>
      <c r="Q247" s="3">
        <f t="shared" si="23"/>
        <v>0.20833333333332149</v>
      </c>
      <c r="R247" s="3">
        <f t="shared" si="24"/>
        <v>-0.25500000000000078</v>
      </c>
      <c r="S247" s="3">
        <f t="shared" si="28"/>
        <v>-0.37252525252525276</v>
      </c>
      <c r="U247" s="1">
        <f t="shared" si="25"/>
        <v>10.279090909090909</v>
      </c>
      <c r="V247" s="3">
        <f t="shared" si="26"/>
        <v>-0.37252525252525359</v>
      </c>
      <c r="W247" s="3">
        <f t="shared" si="27"/>
        <v>-0.39418503213957751</v>
      </c>
    </row>
    <row r="248" spans="1:23" x14ac:dyDescent="0.25">
      <c r="A248" t="s">
        <v>16</v>
      </c>
      <c r="C248">
        <v>52.049616700000001</v>
      </c>
      <c r="D248">
        <v>-0.57315090000000002</v>
      </c>
      <c r="E248">
        <v>4</v>
      </c>
      <c r="F248">
        <v>4</v>
      </c>
      <c r="G248">
        <v>2022</v>
      </c>
      <c r="H248">
        <v>13</v>
      </c>
      <c r="I248">
        <v>55</v>
      </c>
      <c r="J248">
        <v>40.5</v>
      </c>
      <c r="K248">
        <v>43.97</v>
      </c>
      <c r="L248">
        <v>0</v>
      </c>
      <c r="M248">
        <v>36.762999999999998</v>
      </c>
      <c r="N248">
        <v>0.57999999999999996</v>
      </c>
      <c r="P248" s="1">
        <f t="shared" si="22"/>
        <v>10.211944444444445</v>
      </c>
      <c r="Q248" s="3">
        <f t="shared" si="23"/>
        <v>-1.2999999999999901</v>
      </c>
      <c r="R248" s="3">
        <f t="shared" si="24"/>
        <v>-0.21194444444444471</v>
      </c>
      <c r="S248" s="3">
        <f t="shared" si="28"/>
        <v>-0.43441919191919209</v>
      </c>
      <c r="U248" s="1">
        <f t="shared" si="25"/>
        <v>10.251262626262626</v>
      </c>
      <c r="V248" s="3">
        <f t="shared" si="26"/>
        <v>-0.43441919191919176</v>
      </c>
      <c r="W248" s="3">
        <f t="shared" si="27"/>
        <v>-0.42769513314967855</v>
      </c>
    </row>
    <row r="249" spans="1:23" x14ac:dyDescent="0.25">
      <c r="A249" t="s">
        <v>16</v>
      </c>
      <c r="C249">
        <v>52.049620900000001</v>
      </c>
      <c r="D249">
        <v>-0.57313780000000003</v>
      </c>
      <c r="E249">
        <v>4</v>
      </c>
      <c r="F249">
        <v>4</v>
      </c>
      <c r="G249">
        <v>2022</v>
      </c>
      <c r="H249">
        <v>13</v>
      </c>
      <c r="I249">
        <v>55</v>
      </c>
      <c r="J249">
        <v>40.6</v>
      </c>
      <c r="K249">
        <v>43.92</v>
      </c>
      <c r="L249">
        <v>0</v>
      </c>
      <c r="M249">
        <v>37.003999999999998</v>
      </c>
      <c r="N249">
        <v>0.53300000000000003</v>
      </c>
      <c r="P249" s="1">
        <f t="shared" si="22"/>
        <v>10.278888888888888</v>
      </c>
      <c r="Q249" s="3">
        <f t="shared" si="23"/>
        <v>0.66944444444443363</v>
      </c>
      <c r="R249" s="3">
        <f t="shared" si="24"/>
        <v>-0.54388888888888864</v>
      </c>
      <c r="S249" s="3">
        <f t="shared" si="28"/>
        <v>-0.45732323232323241</v>
      </c>
      <c r="U249" s="1">
        <f t="shared" si="25"/>
        <v>10.214823232323232</v>
      </c>
      <c r="V249" s="3">
        <f t="shared" si="26"/>
        <v>-0.45732323232323147</v>
      </c>
      <c r="W249" s="3">
        <f t="shared" si="27"/>
        <v>-0.46811524334251575</v>
      </c>
    </row>
    <row r="250" spans="1:23" x14ac:dyDescent="0.25">
      <c r="A250" t="s">
        <v>16</v>
      </c>
      <c r="C250">
        <v>52.049624899999998</v>
      </c>
      <c r="D250">
        <v>-0.57312459999999998</v>
      </c>
      <c r="E250">
        <v>4</v>
      </c>
      <c r="F250">
        <v>4</v>
      </c>
      <c r="G250">
        <v>2022</v>
      </c>
      <c r="H250">
        <v>13</v>
      </c>
      <c r="I250">
        <v>55</v>
      </c>
      <c r="J250">
        <v>40.700000000000003</v>
      </c>
      <c r="K250">
        <v>43.84</v>
      </c>
      <c r="L250">
        <v>0</v>
      </c>
      <c r="M250">
        <v>36.871000000000002</v>
      </c>
      <c r="N250">
        <v>0.53300000000000003</v>
      </c>
      <c r="P250" s="1">
        <f t="shared" si="22"/>
        <v>10.241944444444444</v>
      </c>
      <c r="Q250" s="3">
        <f t="shared" si="23"/>
        <v>-0.36944444444444002</v>
      </c>
      <c r="R250" s="3">
        <f t="shared" si="24"/>
        <v>-0.31916666666666771</v>
      </c>
      <c r="S250" s="3">
        <f t="shared" si="28"/>
        <v>-0.50785353535353539</v>
      </c>
      <c r="U250" s="1">
        <f t="shared" si="25"/>
        <v>10.173914141414143</v>
      </c>
      <c r="V250" s="3">
        <f t="shared" si="26"/>
        <v>-0.50785353535353295</v>
      </c>
      <c r="W250" s="3">
        <f t="shared" si="27"/>
        <v>-0.50890036730945776</v>
      </c>
    </row>
    <row r="251" spans="1:23" x14ac:dyDescent="0.25">
      <c r="A251" t="s">
        <v>16</v>
      </c>
      <c r="C251">
        <v>52.0496287</v>
      </c>
      <c r="D251">
        <v>-0.57311140000000005</v>
      </c>
      <c r="E251">
        <v>4</v>
      </c>
      <c r="F251">
        <v>4</v>
      </c>
      <c r="G251">
        <v>2022</v>
      </c>
      <c r="H251">
        <v>13</v>
      </c>
      <c r="I251">
        <v>55</v>
      </c>
      <c r="J251">
        <v>40.799999999999997</v>
      </c>
      <c r="K251">
        <v>43.8</v>
      </c>
      <c r="L251">
        <v>0</v>
      </c>
      <c r="M251">
        <v>36.508000000000003</v>
      </c>
      <c r="N251">
        <v>0.52600000000000002</v>
      </c>
      <c r="P251" s="1">
        <f t="shared" si="22"/>
        <v>10.141111111111112</v>
      </c>
      <c r="Q251" s="3">
        <f t="shared" si="23"/>
        <v>-1.0083333333333222</v>
      </c>
      <c r="R251" s="3">
        <f t="shared" si="24"/>
        <v>-0.72000000000000064</v>
      </c>
      <c r="S251" s="3">
        <f t="shared" si="28"/>
        <v>-0.54977272727272741</v>
      </c>
      <c r="U251" s="1">
        <f t="shared" si="25"/>
        <v>10.110277777777778</v>
      </c>
      <c r="V251" s="3">
        <f t="shared" si="26"/>
        <v>-0.54977272727272641</v>
      </c>
      <c r="W251" s="3">
        <f t="shared" si="27"/>
        <v>-0.55179981634527064</v>
      </c>
    </row>
    <row r="252" spans="1:23" x14ac:dyDescent="0.25">
      <c r="A252" t="s">
        <v>16</v>
      </c>
      <c r="C252">
        <v>52.049631900000001</v>
      </c>
      <c r="D252">
        <v>-0.57309779999999999</v>
      </c>
      <c r="E252">
        <v>4</v>
      </c>
      <c r="F252">
        <v>4</v>
      </c>
      <c r="G252">
        <v>2022</v>
      </c>
      <c r="H252">
        <v>13</v>
      </c>
      <c r="I252">
        <v>55</v>
      </c>
      <c r="J252">
        <v>40.9</v>
      </c>
      <c r="K252">
        <v>43.75</v>
      </c>
      <c r="L252">
        <v>0</v>
      </c>
      <c r="M252">
        <v>36.460999999999999</v>
      </c>
      <c r="N252">
        <v>0.52200000000000002</v>
      </c>
      <c r="P252" s="1">
        <f t="shared" si="22"/>
        <v>10.128055555555555</v>
      </c>
      <c r="Q252" s="3">
        <f t="shared" si="23"/>
        <v>-0.13055555555556708</v>
      </c>
      <c r="R252" s="3">
        <f t="shared" si="24"/>
        <v>-0.79083333333333172</v>
      </c>
      <c r="S252" s="3">
        <f t="shared" si="28"/>
        <v>-0.59032828282828298</v>
      </c>
      <c r="U252" s="1">
        <f t="shared" si="25"/>
        <v>10.040277777777776</v>
      </c>
      <c r="V252" s="3">
        <f t="shared" si="26"/>
        <v>-0.59032828282828298</v>
      </c>
      <c r="W252" s="3">
        <f t="shared" si="27"/>
        <v>-0.5909067952249768</v>
      </c>
    </row>
    <row r="253" spans="1:23" x14ac:dyDescent="0.25">
      <c r="A253" t="s">
        <v>16</v>
      </c>
      <c r="C253">
        <v>52.049635100000003</v>
      </c>
      <c r="D253">
        <v>-0.57308429999999999</v>
      </c>
      <c r="E253">
        <v>4</v>
      </c>
      <c r="F253">
        <v>4</v>
      </c>
      <c r="G253">
        <v>2022</v>
      </c>
      <c r="H253">
        <v>13</v>
      </c>
      <c r="I253">
        <v>55</v>
      </c>
      <c r="J253">
        <v>41</v>
      </c>
      <c r="K253">
        <v>43.74</v>
      </c>
      <c r="L253">
        <v>0</v>
      </c>
      <c r="M253">
        <v>36.277000000000001</v>
      </c>
      <c r="N253">
        <v>0.51500000000000001</v>
      </c>
      <c r="P253" s="1">
        <f t="shared" si="22"/>
        <v>10.076944444444445</v>
      </c>
      <c r="Q253" s="3">
        <f t="shared" si="23"/>
        <v>-0.51111111111110219</v>
      </c>
      <c r="R253" s="3">
        <f t="shared" si="24"/>
        <v>-0.76388888888888928</v>
      </c>
      <c r="S253" s="3">
        <f t="shared" si="28"/>
        <v>-0.65060606060606074</v>
      </c>
      <c r="U253" s="1">
        <f t="shared" si="25"/>
        <v>9.9590151515151515</v>
      </c>
      <c r="V253" s="3">
        <f t="shared" si="26"/>
        <v>-0.65060606060606041</v>
      </c>
      <c r="W253" s="3">
        <f t="shared" si="27"/>
        <v>-0.62210514233241476</v>
      </c>
    </row>
    <row r="254" spans="1:23" x14ac:dyDescent="0.25">
      <c r="A254" t="s">
        <v>16</v>
      </c>
      <c r="C254">
        <v>52.049638100000003</v>
      </c>
      <c r="D254">
        <v>-0.57307090000000005</v>
      </c>
      <c r="E254">
        <v>4</v>
      </c>
      <c r="F254">
        <v>4</v>
      </c>
      <c r="G254">
        <v>2022</v>
      </c>
      <c r="H254">
        <v>13</v>
      </c>
      <c r="I254">
        <v>55</v>
      </c>
      <c r="J254">
        <v>41.1</v>
      </c>
      <c r="K254">
        <v>43.75</v>
      </c>
      <c r="L254">
        <v>0</v>
      </c>
      <c r="M254">
        <v>35.597000000000001</v>
      </c>
      <c r="N254">
        <v>0.51100000000000001</v>
      </c>
      <c r="P254" s="1">
        <f t="shared" si="22"/>
        <v>9.8880555555555549</v>
      </c>
      <c r="Q254" s="3">
        <f t="shared" si="23"/>
        <v>-1.8888888888888999</v>
      </c>
      <c r="R254" s="3">
        <f t="shared" si="24"/>
        <v>-0.59194444444444372</v>
      </c>
      <c r="S254" s="3">
        <f t="shared" si="28"/>
        <v>-0.70724747474747474</v>
      </c>
      <c r="U254" s="1">
        <f t="shared" si="25"/>
        <v>9.9112878787878795</v>
      </c>
      <c r="V254" s="3">
        <f t="shared" si="26"/>
        <v>-0.70724747474747396</v>
      </c>
      <c r="W254" s="3">
        <f t="shared" si="27"/>
        <v>-0.64553719008264432</v>
      </c>
    </row>
    <row r="255" spans="1:23" x14ac:dyDescent="0.25">
      <c r="A255" t="s">
        <v>16</v>
      </c>
      <c r="C255">
        <v>52.049641000000001</v>
      </c>
      <c r="D255">
        <v>-0.57305709999999999</v>
      </c>
      <c r="E255">
        <v>4</v>
      </c>
      <c r="F255">
        <v>4</v>
      </c>
      <c r="G255">
        <v>2022</v>
      </c>
      <c r="H255">
        <v>13</v>
      </c>
      <c r="I255">
        <v>55</v>
      </c>
      <c r="J255">
        <v>41.2</v>
      </c>
      <c r="K255">
        <v>43.75</v>
      </c>
      <c r="L255">
        <v>0</v>
      </c>
      <c r="M255">
        <v>35.935000000000002</v>
      </c>
      <c r="N255">
        <v>0.504</v>
      </c>
      <c r="P255" s="1">
        <f t="shared" si="22"/>
        <v>9.9819444444444443</v>
      </c>
      <c r="Q255" s="3">
        <f t="shared" si="23"/>
        <v>0.93888888888889355</v>
      </c>
      <c r="R255" s="3">
        <f t="shared" si="24"/>
        <v>-0.82583333333333364</v>
      </c>
      <c r="S255" s="3">
        <f t="shared" si="28"/>
        <v>-0.71787878787878789</v>
      </c>
      <c r="U255" s="1">
        <f t="shared" si="25"/>
        <v>9.8328535353535358</v>
      </c>
      <c r="V255" s="3">
        <f t="shared" si="26"/>
        <v>-0.71787878787878867</v>
      </c>
      <c r="W255" s="3">
        <f t="shared" si="27"/>
        <v>-0.66559917355371889</v>
      </c>
    </row>
    <row r="256" spans="1:23" x14ac:dyDescent="0.25">
      <c r="A256" t="s">
        <v>16</v>
      </c>
      <c r="C256">
        <v>52.049643600000003</v>
      </c>
      <c r="D256">
        <v>-0.57304409999999995</v>
      </c>
      <c r="E256">
        <v>4</v>
      </c>
      <c r="F256">
        <v>4</v>
      </c>
      <c r="G256">
        <v>2022</v>
      </c>
      <c r="H256">
        <v>13</v>
      </c>
      <c r="I256">
        <v>55</v>
      </c>
      <c r="J256">
        <v>41.3</v>
      </c>
      <c r="K256">
        <v>43.77</v>
      </c>
      <c r="L256">
        <v>0</v>
      </c>
      <c r="M256">
        <v>34.564</v>
      </c>
      <c r="N256">
        <v>0.49</v>
      </c>
      <c r="P256" s="1">
        <f t="shared" si="22"/>
        <v>9.6011111111111109</v>
      </c>
      <c r="Q256" s="3">
        <f t="shared" si="23"/>
        <v>-3.8083333333333336</v>
      </c>
      <c r="R256" s="3">
        <f t="shared" si="24"/>
        <v>-0.69305555555555642</v>
      </c>
      <c r="S256" s="3">
        <f t="shared" si="28"/>
        <v>-0.75641414141414132</v>
      </c>
      <c r="U256" s="1">
        <f t="shared" si="25"/>
        <v>9.7606818181818191</v>
      </c>
      <c r="V256" s="3">
        <f t="shared" si="26"/>
        <v>-0.75641414141414387</v>
      </c>
      <c r="W256" s="3">
        <f t="shared" si="27"/>
        <v>-0.6813085399449037</v>
      </c>
    </row>
    <row r="257" spans="1:23" x14ac:dyDescent="0.25">
      <c r="A257" t="s">
        <v>16</v>
      </c>
      <c r="C257">
        <v>52.049645699999999</v>
      </c>
      <c r="D257">
        <v>-0.5730307</v>
      </c>
      <c r="E257">
        <v>4</v>
      </c>
      <c r="F257">
        <v>4</v>
      </c>
      <c r="G257">
        <v>2022</v>
      </c>
      <c r="H257">
        <v>13</v>
      </c>
      <c r="I257">
        <v>55</v>
      </c>
      <c r="J257">
        <v>41.4</v>
      </c>
      <c r="K257">
        <v>43.75</v>
      </c>
      <c r="L257">
        <v>0</v>
      </c>
      <c r="M257">
        <v>34.384</v>
      </c>
      <c r="N257">
        <v>0.5</v>
      </c>
      <c r="P257" s="1">
        <f t="shared" si="22"/>
        <v>9.551111111111112</v>
      </c>
      <c r="Q257" s="3">
        <f t="shared" si="23"/>
        <v>-0.49999999999998934</v>
      </c>
      <c r="R257" s="3">
        <f t="shared" si="24"/>
        <v>-0.7780555555555555</v>
      </c>
      <c r="S257" s="3">
        <f t="shared" si="28"/>
        <v>-0.7556060606060605</v>
      </c>
      <c r="U257" s="1">
        <f t="shared" si="25"/>
        <v>9.6887626262626263</v>
      </c>
      <c r="V257" s="3">
        <f t="shared" si="26"/>
        <v>-0.75560606060605906</v>
      </c>
      <c r="W257" s="3">
        <f t="shared" si="27"/>
        <v>-0.69798438934802587</v>
      </c>
    </row>
    <row r="258" spans="1:23" x14ac:dyDescent="0.25">
      <c r="A258" t="s">
        <v>16</v>
      </c>
      <c r="C258">
        <v>52.049647700000001</v>
      </c>
      <c r="D258">
        <v>-0.57301740000000001</v>
      </c>
      <c r="E258">
        <v>4</v>
      </c>
      <c r="F258">
        <v>4</v>
      </c>
      <c r="G258">
        <v>2022</v>
      </c>
      <c r="H258">
        <v>13</v>
      </c>
      <c r="I258">
        <v>55</v>
      </c>
      <c r="J258">
        <v>41.5</v>
      </c>
      <c r="K258">
        <v>43.76</v>
      </c>
      <c r="L258">
        <v>0</v>
      </c>
      <c r="M258">
        <v>34.012999999999998</v>
      </c>
      <c r="N258">
        <v>0.504</v>
      </c>
      <c r="P258" s="1">
        <f t="shared" si="22"/>
        <v>9.4480555555555554</v>
      </c>
      <c r="Q258" s="3">
        <f t="shared" si="23"/>
        <v>-1.0305555555555657</v>
      </c>
      <c r="R258" s="3">
        <f t="shared" si="24"/>
        <v>-0.91805555555555607</v>
      </c>
      <c r="S258" s="3">
        <f t="shared" si="28"/>
        <v>-0.71570707070707063</v>
      </c>
      <c r="U258" s="1">
        <f t="shared" si="25"/>
        <v>9.6006565656565659</v>
      </c>
      <c r="V258" s="3">
        <f t="shared" si="26"/>
        <v>-0.71570707070707051</v>
      </c>
      <c r="W258" s="3">
        <f t="shared" si="27"/>
        <v>-0.70417814508723631</v>
      </c>
    </row>
    <row r="259" spans="1:23" x14ac:dyDescent="0.25">
      <c r="A259" t="s">
        <v>16</v>
      </c>
      <c r="C259">
        <v>52.049649600000002</v>
      </c>
      <c r="D259">
        <v>-0.57300359999999995</v>
      </c>
      <c r="E259">
        <v>4</v>
      </c>
      <c r="F259">
        <v>4</v>
      </c>
      <c r="G259">
        <v>2022</v>
      </c>
      <c r="H259">
        <v>13</v>
      </c>
      <c r="I259">
        <v>55</v>
      </c>
      <c r="J259">
        <v>41.6</v>
      </c>
      <c r="K259">
        <v>43.77</v>
      </c>
      <c r="L259">
        <v>0</v>
      </c>
      <c r="M259">
        <v>34.872999999999998</v>
      </c>
      <c r="N259">
        <v>0.50800000000000001</v>
      </c>
      <c r="P259" s="1">
        <f>M259*1000/3600</f>
        <v>9.6869444444444444</v>
      </c>
      <c r="Q259" s="3">
        <f t="shared" si="23"/>
        <v>2.3888888888888893</v>
      </c>
      <c r="R259" s="3">
        <f t="shared" si="24"/>
        <v>-0.83499999999999908</v>
      </c>
      <c r="S259" s="3">
        <f t="shared" si="28"/>
        <v>-0.69217171717171722</v>
      </c>
      <c r="U259" s="1">
        <f t="shared" si="25"/>
        <v>9.5075757575757578</v>
      </c>
      <c r="V259" s="3">
        <f t="shared" si="26"/>
        <v>-0.69217171717171766</v>
      </c>
      <c r="W259" s="3">
        <f t="shared" si="27"/>
        <v>-0.69605831037649257</v>
      </c>
    </row>
    <row r="260" spans="1:23" x14ac:dyDescent="0.25">
      <c r="A260" t="s">
        <v>16</v>
      </c>
      <c r="C260">
        <v>52.049650999999997</v>
      </c>
      <c r="D260">
        <v>-0.57299020000000001</v>
      </c>
      <c r="E260">
        <v>4</v>
      </c>
      <c r="F260">
        <v>4</v>
      </c>
      <c r="G260">
        <v>2022</v>
      </c>
      <c r="H260">
        <v>13</v>
      </c>
      <c r="I260">
        <v>55</v>
      </c>
      <c r="J260">
        <v>41.7</v>
      </c>
      <c r="K260">
        <v>43.81</v>
      </c>
      <c r="L260">
        <v>0</v>
      </c>
      <c r="M260">
        <v>33.898000000000003</v>
      </c>
      <c r="N260">
        <v>0.504</v>
      </c>
      <c r="P260" s="1">
        <f t="shared" ref="P260:P270" si="29">M260*1000/3600</f>
        <v>9.4161111111111104</v>
      </c>
      <c r="Q260" s="3">
        <f t="shared" si="23"/>
        <v>-2.7083333333333393</v>
      </c>
      <c r="R260" s="3">
        <f t="shared" si="24"/>
        <v>-0.66083333333333272</v>
      </c>
      <c r="S260" s="3">
        <f t="shared" si="28"/>
        <v>-0.67800505050505044</v>
      </c>
      <c r="U260" s="1">
        <f t="shared" si="25"/>
        <v>9.4560353535353538</v>
      </c>
      <c r="V260" s="3">
        <f t="shared" si="26"/>
        <v>-0.67800505050505144</v>
      </c>
      <c r="W260" s="3">
        <f t="shared" si="27"/>
        <v>-0.67677456382001899</v>
      </c>
    </row>
    <row r="261" spans="1:23" x14ac:dyDescent="0.25">
      <c r="A261" t="s">
        <v>16</v>
      </c>
      <c r="C261">
        <v>52.049652199999997</v>
      </c>
      <c r="D261">
        <v>-0.57297659999999995</v>
      </c>
      <c r="E261">
        <v>4</v>
      </c>
      <c r="F261">
        <v>4</v>
      </c>
      <c r="G261">
        <v>2022</v>
      </c>
      <c r="H261">
        <v>13</v>
      </c>
      <c r="I261">
        <v>55</v>
      </c>
      <c r="J261">
        <v>41.8</v>
      </c>
      <c r="K261">
        <v>43.81</v>
      </c>
      <c r="L261">
        <v>0</v>
      </c>
      <c r="M261">
        <v>34.012999999999998</v>
      </c>
      <c r="N261">
        <v>0.51100000000000001</v>
      </c>
      <c r="P261" s="1">
        <f t="shared" si="29"/>
        <v>9.4480555555555554</v>
      </c>
      <c r="Q261" s="3">
        <f t="shared" ref="Q261:Q324" si="30">10*($P261-$P260)</f>
        <v>0.31944444444444997</v>
      </c>
      <c r="R261" s="3">
        <f t="shared" si="24"/>
        <v>-0.74305555555555536</v>
      </c>
      <c r="S261" s="3">
        <f t="shared" si="28"/>
        <v>-0.68065656565656563</v>
      </c>
      <c r="U261" s="1">
        <f t="shared" si="25"/>
        <v>9.3538636363636343</v>
      </c>
      <c r="V261" s="3">
        <f t="shared" si="26"/>
        <v>-0.68065656565656596</v>
      </c>
      <c r="W261" s="3">
        <f t="shared" si="27"/>
        <v>-0.65255968778696094</v>
      </c>
    </row>
    <row r="262" spans="1:23" x14ac:dyDescent="0.25">
      <c r="A262" t="s">
        <v>16</v>
      </c>
      <c r="C262">
        <v>52.049652999999999</v>
      </c>
      <c r="D262">
        <v>-0.57296309999999995</v>
      </c>
      <c r="E262">
        <v>4</v>
      </c>
      <c r="F262">
        <v>4</v>
      </c>
      <c r="G262">
        <v>2022</v>
      </c>
      <c r="H262">
        <v>13</v>
      </c>
      <c r="I262">
        <v>55</v>
      </c>
      <c r="J262">
        <v>41.9</v>
      </c>
      <c r="K262">
        <v>43.83</v>
      </c>
      <c r="L262">
        <v>0</v>
      </c>
      <c r="M262">
        <v>33.659999999999997</v>
      </c>
      <c r="N262">
        <v>0.51100000000000001</v>
      </c>
      <c r="P262" s="1">
        <f t="shared" si="29"/>
        <v>9.35</v>
      </c>
      <c r="Q262" s="3">
        <f t="shared" si="30"/>
        <v>-0.98055555555555785</v>
      </c>
      <c r="R262" s="3">
        <f t="shared" si="24"/>
        <v>-0.71111111111111214</v>
      </c>
      <c r="S262" s="3">
        <f t="shared" si="28"/>
        <v>-0.73320707070707059</v>
      </c>
      <c r="U262" s="1">
        <f t="shared" si="25"/>
        <v>9.284671717171717</v>
      </c>
      <c r="V262" s="3">
        <f t="shared" si="26"/>
        <v>-0.73320707070707059</v>
      </c>
      <c r="W262" s="3">
        <f t="shared" si="27"/>
        <v>-0.62121212121212144</v>
      </c>
    </row>
    <row r="263" spans="1:23" x14ac:dyDescent="0.25">
      <c r="A263" t="s">
        <v>16</v>
      </c>
      <c r="C263">
        <v>52.049653900000003</v>
      </c>
      <c r="D263">
        <v>-0.57294999999999996</v>
      </c>
      <c r="E263">
        <v>4</v>
      </c>
      <c r="F263">
        <v>4</v>
      </c>
      <c r="G263">
        <v>2022</v>
      </c>
      <c r="H263">
        <v>13</v>
      </c>
      <c r="I263">
        <v>55</v>
      </c>
      <c r="J263">
        <v>42</v>
      </c>
      <c r="K263">
        <v>43.86</v>
      </c>
      <c r="L263">
        <v>0</v>
      </c>
      <c r="M263">
        <v>32.972000000000001</v>
      </c>
      <c r="N263">
        <v>0.53300000000000003</v>
      </c>
      <c r="P263" s="1">
        <f t="shared" si="29"/>
        <v>9.1588888888888889</v>
      </c>
      <c r="Q263" s="3">
        <f t="shared" si="30"/>
        <v>-1.9111111111111079</v>
      </c>
      <c r="R263" s="3">
        <f t="shared" si="24"/>
        <v>-0.3519444444444435</v>
      </c>
      <c r="S263" s="3">
        <f t="shared" si="28"/>
        <v>-0.6584595959595958</v>
      </c>
      <c r="U263" s="1">
        <f t="shared" si="25"/>
        <v>9.243308080808081</v>
      </c>
      <c r="V263" s="3">
        <f t="shared" si="26"/>
        <v>-0.65845959595959691</v>
      </c>
      <c r="W263" s="3">
        <f t="shared" si="27"/>
        <v>-0.5886248852157947</v>
      </c>
    </row>
    <row r="264" spans="1:23" x14ac:dyDescent="0.25">
      <c r="A264" t="s">
        <v>16</v>
      </c>
      <c r="C264">
        <v>52.049654699999998</v>
      </c>
      <c r="D264">
        <v>-0.57293689999999997</v>
      </c>
      <c r="E264">
        <v>4</v>
      </c>
      <c r="F264">
        <v>4</v>
      </c>
      <c r="G264">
        <v>2022</v>
      </c>
      <c r="H264">
        <v>13</v>
      </c>
      <c r="I264">
        <v>55</v>
      </c>
      <c r="J264">
        <v>42.1</v>
      </c>
      <c r="K264">
        <v>43.85</v>
      </c>
      <c r="L264">
        <v>0</v>
      </c>
      <c r="M264">
        <v>32.591000000000001</v>
      </c>
      <c r="N264">
        <v>0.55800000000000005</v>
      </c>
      <c r="P264" s="1">
        <f t="shared" si="29"/>
        <v>9.0530555555555559</v>
      </c>
      <c r="Q264" s="3">
        <f t="shared" si="30"/>
        <v>-1.05833333333333</v>
      </c>
      <c r="R264" s="3">
        <f t="shared" si="24"/>
        <v>-0.50500000000000078</v>
      </c>
      <c r="S264" s="3">
        <f t="shared" si="28"/>
        <v>-0.56128787878787856</v>
      </c>
      <c r="U264" s="1">
        <f t="shared" si="25"/>
        <v>9.2191161616161619</v>
      </c>
      <c r="V264" s="3">
        <f t="shared" si="26"/>
        <v>-0.56128787878787989</v>
      </c>
      <c r="W264" s="3">
        <f t="shared" si="27"/>
        <v>-0.56025252525252567</v>
      </c>
    </row>
    <row r="265" spans="1:23" x14ac:dyDescent="0.25">
      <c r="A265" t="s">
        <v>16</v>
      </c>
      <c r="C265">
        <v>52.0496549</v>
      </c>
      <c r="D265">
        <v>-0.57292319999999997</v>
      </c>
      <c r="E265">
        <v>4</v>
      </c>
      <c r="F265">
        <v>4</v>
      </c>
      <c r="G265">
        <v>2022</v>
      </c>
      <c r="H265">
        <v>13</v>
      </c>
      <c r="I265">
        <v>55</v>
      </c>
      <c r="J265">
        <v>42.2</v>
      </c>
      <c r="K265">
        <v>43.78</v>
      </c>
      <c r="L265">
        <v>0</v>
      </c>
      <c r="M265">
        <v>33.555999999999997</v>
      </c>
      <c r="N265">
        <v>0.53300000000000003</v>
      </c>
      <c r="P265" s="1">
        <f t="shared" si="29"/>
        <v>9.3211111111111116</v>
      </c>
      <c r="Q265" s="3">
        <f t="shared" si="30"/>
        <v>2.6805555555555571</v>
      </c>
      <c r="R265" s="3">
        <f t="shared" ref="R265:R328" si="31">($P270-$P260)</f>
        <v>-0.43611111111111001</v>
      </c>
      <c r="S265" s="3">
        <f t="shared" si="28"/>
        <v>-0.49512626262626258</v>
      </c>
      <c r="U265" s="1">
        <f t="shared" ref="U265:U328" si="32">AVERAGE(P260:P270)</f>
        <v>9.1548484848484843</v>
      </c>
      <c r="V265" s="3">
        <f t="shared" ref="V265:V328" si="33">($U270-$U260)</f>
        <v>-0.49512626262626469</v>
      </c>
      <c r="W265" s="3">
        <f t="shared" si="27"/>
        <v>-0.5302685950413224</v>
      </c>
    </row>
    <row r="266" spans="1:23" x14ac:dyDescent="0.25">
      <c r="A266" t="s">
        <v>16</v>
      </c>
      <c r="C266">
        <v>52.049654500000003</v>
      </c>
      <c r="D266">
        <v>-0.57291069999999999</v>
      </c>
      <c r="E266">
        <v>4</v>
      </c>
      <c r="F266">
        <v>4</v>
      </c>
      <c r="G266">
        <v>2022</v>
      </c>
      <c r="H266">
        <v>13</v>
      </c>
      <c r="I266">
        <v>55</v>
      </c>
      <c r="J266">
        <v>42.3</v>
      </c>
      <c r="K266">
        <v>43.85</v>
      </c>
      <c r="L266">
        <v>0</v>
      </c>
      <c r="M266">
        <v>31.888999999999999</v>
      </c>
      <c r="N266">
        <v>0.50800000000000001</v>
      </c>
      <c r="P266" s="1">
        <f t="shared" si="29"/>
        <v>8.8580555555555556</v>
      </c>
      <c r="Q266" s="3">
        <f t="shared" si="30"/>
        <v>-4.63055555555556</v>
      </c>
      <c r="R266" s="3">
        <f t="shared" si="31"/>
        <v>-0.85500000000000043</v>
      </c>
      <c r="S266" s="3">
        <f t="shared" si="28"/>
        <v>-0.45151515151515154</v>
      </c>
      <c r="U266" s="1">
        <f t="shared" si="32"/>
        <v>9.0800252525252532</v>
      </c>
      <c r="V266" s="3">
        <f t="shared" si="33"/>
        <v>-0.45151515151514943</v>
      </c>
      <c r="W266" s="3">
        <f t="shared" si="27"/>
        <v>-0.49620064279155185</v>
      </c>
    </row>
    <row r="267" spans="1:23" x14ac:dyDescent="0.25">
      <c r="A267" t="s">
        <v>16</v>
      </c>
      <c r="C267">
        <v>52.049653800000002</v>
      </c>
      <c r="D267">
        <v>-0.57289800000000002</v>
      </c>
      <c r="E267">
        <v>4</v>
      </c>
      <c r="F267">
        <v>4</v>
      </c>
      <c r="G267">
        <v>2022</v>
      </c>
      <c r="H267">
        <v>13</v>
      </c>
      <c r="I267">
        <v>55</v>
      </c>
      <c r="J267">
        <v>42.4</v>
      </c>
      <c r="K267">
        <v>43.87</v>
      </c>
      <c r="L267">
        <v>0</v>
      </c>
      <c r="M267">
        <v>31.824000000000002</v>
      </c>
      <c r="N267">
        <v>0.50800000000000001</v>
      </c>
      <c r="P267" s="1">
        <f t="shared" si="29"/>
        <v>8.84</v>
      </c>
      <c r="Q267" s="3">
        <f t="shared" si="30"/>
        <v>-0.18055555555555713</v>
      </c>
      <c r="R267" s="3">
        <f t="shared" si="31"/>
        <v>-1.2711111111111109</v>
      </c>
      <c r="S267" s="3">
        <f t="shared" si="28"/>
        <v>-0.41159090909090906</v>
      </c>
      <c r="U267" s="1">
        <f t="shared" si="32"/>
        <v>8.9555555555555557</v>
      </c>
      <c r="V267" s="3">
        <f t="shared" si="33"/>
        <v>-0.41159090909090956</v>
      </c>
      <c r="W267" s="3">
        <f t="shared" si="27"/>
        <v>-0.4498071625344352</v>
      </c>
    </row>
    <row r="268" spans="1:23" x14ac:dyDescent="0.25">
      <c r="A268" t="s">
        <v>16</v>
      </c>
      <c r="C268">
        <v>52.049652600000002</v>
      </c>
      <c r="D268">
        <v>-0.57288479999999997</v>
      </c>
      <c r="E268">
        <v>4</v>
      </c>
      <c r="F268">
        <v>4</v>
      </c>
      <c r="G268">
        <v>2022</v>
      </c>
      <c r="H268">
        <v>13</v>
      </c>
      <c r="I268">
        <v>55</v>
      </c>
      <c r="J268">
        <v>42.5</v>
      </c>
      <c r="K268">
        <v>43.86</v>
      </c>
      <c r="L268">
        <v>0</v>
      </c>
      <c r="M268">
        <v>32.746000000000002</v>
      </c>
      <c r="N268">
        <v>0.49299999999999999</v>
      </c>
      <c r="P268" s="1">
        <f t="shared" si="29"/>
        <v>9.0961111111111119</v>
      </c>
      <c r="Q268" s="3">
        <f t="shared" si="30"/>
        <v>2.5611111111111207</v>
      </c>
      <c r="R268" s="3">
        <f t="shared" si="31"/>
        <v>4.4166666666667354E-2</v>
      </c>
      <c r="S268" s="3">
        <f t="shared" si="28"/>
        <v>-0.39714646464646464</v>
      </c>
      <c r="U268" s="1">
        <f t="shared" si="32"/>
        <v>8.942196969696969</v>
      </c>
      <c r="V268" s="3">
        <f t="shared" si="33"/>
        <v>-0.39714646464646464</v>
      </c>
      <c r="W268" s="3">
        <f t="shared" si="27"/>
        <v>-0.39090909090909082</v>
      </c>
    </row>
    <row r="269" spans="1:23" x14ac:dyDescent="0.25">
      <c r="A269" t="s">
        <v>16</v>
      </c>
      <c r="C269">
        <v>52.049651099999998</v>
      </c>
      <c r="D269">
        <v>-0.57287160000000004</v>
      </c>
      <c r="E269">
        <v>4</v>
      </c>
      <c r="F269">
        <v>4</v>
      </c>
      <c r="G269">
        <v>2022</v>
      </c>
      <c r="H269">
        <v>13</v>
      </c>
      <c r="I269">
        <v>55</v>
      </c>
      <c r="J269">
        <v>42.6</v>
      </c>
      <c r="K269">
        <v>43.88</v>
      </c>
      <c r="L269">
        <v>0</v>
      </c>
      <c r="M269">
        <v>33.055</v>
      </c>
      <c r="N269">
        <v>0.50800000000000001</v>
      </c>
      <c r="P269" s="1">
        <f t="shared" si="29"/>
        <v>9.1819444444444436</v>
      </c>
      <c r="Q269" s="3">
        <f t="shared" si="30"/>
        <v>0.85833333333331652</v>
      </c>
      <c r="R269" s="3">
        <f t="shared" si="31"/>
        <v>0.15083333333333293</v>
      </c>
      <c r="S269" s="3">
        <f t="shared" si="28"/>
        <v>-0.40361111111111114</v>
      </c>
      <c r="U269" s="1">
        <f t="shared" si="32"/>
        <v>8.9462878787878779</v>
      </c>
      <c r="V269" s="3">
        <f t="shared" si="33"/>
        <v>-0.40361111111111114</v>
      </c>
      <c r="W269" s="3">
        <f t="shared" ref="W269:W332" si="34">AVERAGE(V264:V274)</f>
        <v>-0.34120293847566541</v>
      </c>
    </row>
    <row r="270" spans="1:23" x14ac:dyDescent="0.25">
      <c r="A270" t="s">
        <v>16</v>
      </c>
      <c r="C270">
        <v>52.049649299999999</v>
      </c>
      <c r="D270">
        <v>-0.57285909999999995</v>
      </c>
      <c r="E270">
        <v>4</v>
      </c>
      <c r="F270">
        <v>4</v>
      </c>
      <c r="G270">
        <v>2022</v>
      </c>
      <c r="H270">
        <v>13</v>
      </c>
      <c r="I270">
        <v>55</v>
      </c>
      <c r="J270">
        <v>42.7</v>
      </c>
      <c r="K270">
        <v>43.89</v>
      </c>
      <c r="L270">
        <v>0</v>
      </c>
      <c r="M270">
        <v>32.328000000000003</v>
      </c>
      <c r="N270">
        <v>0.51500000000000001</v>
      </c>
      <c r="P270" s="1">
        <f t="shared" si="29"/>
        <v>8.98</v>
      </c>
      <c r="Q270" s="3">
        <f t="shared" si="30"/>
        <v>-2.0194444444444315</v>
      </c>
      <c r="R270" s="3">
        <f t="shared" si="31"/>
        <v>-0.107222222222223</v>
      </c>
      <c r="S270" s="3">
        <f t="shared" si="28"/>
        <v>-0.36234848484848486</v>
      </c>
      <c r="U270" s="1">
        <f t="shared" si="32"/>
        <v>8.9609090909090892</v>
      </c>
      <c r="V270" s="3">
        <f t="shared" si="33"/>
        <v>-0.36234848484848214</v>
      </c>
      <c r="W270" s="3">
        <f t="shared" si="34"/>
        <v>-0.30277548209366323</v>
      </c>
    </row>
    <row r="271" spans="1:23" x14ac:dyDescent="0.25">
      <c r="A271" t="s">
        <v>16</v>
      </c>
      <c r="C271">
        <v>52.049647100000001</v>
      </c>
      <c r="D271">
        <v>-0.5728472</v>
      </c>
      <c r="E271">
        <v>4</v>
      </c>
      <c r="F271">
        <v>4</v>
      </c>
      <c r="G271">
        <v>2022</v>
      </c>
      <c r="H271">
        <v>13</v>
      </c>
      <c r="I271">
        <v>55</v>
      </c>
      <c r="J271">
        <v>42.8</v>
      </c>
      <c r="K271">
        <v>43.83</v>
      </c>
      <c r="L271">
        <v>0</v>
      </c>
      <c r="M271">
        <v>30.934999999999999</v>
      </c>
      <c r="N271">
        <v>0.51800000000000002</v>
      </c>
      <c r="P271" s="1">
        <f>M271*1000/3600</f>
        <v>8.593055555555555</v>
      </c>
      <c r="Q271" s="3">
        <f t="shared" si="30"/>
        <v>-3.8694444444444542</v>
      </c>
      <c r="R271" s="3">
        <f t="shared" si="31"/>
        <v>-0.181111111111111</v>
      </c>
      <c r="S271" s="3">
        <f t="shared" si="28"/>
        <v>-0.30325757575757595</v>
      </c>
      <c r="U271" s="1">
        <f t="shared" si="32"/>
        <v>8.9023484848484848</v>
      </c>
      <c r="V271" s="3">
        <f t="shared" si="33"/>
        <v>-0.30325757575757528</v>
      </c>
      <c r="W271" s="3">
        <f t="shared" si="34"/>
        <v>-0.26842745638200083</v>
      </c>
    </row>
    <row r="272" spans="1:23" x14ac:dyDescent="0.25">
      <c r="A272" t="s">
        <v>16</v>
      </c>
      <c r="C272">
        <v>52.049644899999997</v>
      </c>
      <c r="D272">
        <v>-0.57283640000000002</v>
      </c>
      <c r="E272">
        <v>4</v>
      </c>
      <c r="F272">
        <v>4</v>
      </c>
      <c r="G272">
        <v>2022</v>
      </c>
      <c r="H272">
        <v>13</v>
      </c>
      <c r="I272">
        <v>55</v>
      </c>
      <c r="J272">
        <v>42.9</v>
      </c>
      <c r="K272">
        <v>43.82</v>
      </c>
      <c r="L272">
        <v>0</v>
      </c>
      <c r="M272">
        <v>29.084</v>
      </c>
      <c r="N272">
        <v>0.54700000000000004</v>
      </c>
      <c r="P272" s="1">
        <f>M272*1000/3600</f>
        <v>8.0788888888888888</v>
      </c>
      <c r="Q272" s="3">
        <f t="shared" si="30"/>
        <v>-5.1416666666666622</v>
      </c>
      <c r="R272" s="3">
        <f t="shared" si="31"/>
        <v>-0.30388888888888843</v>
      </c>
      <c r="S272" s="3">
        <f t="shared" si="28"/>
        <v>-0.17032828282828288</v>
      </c>
      <c r="U272" s="1">
        <f t="shared" si="32"/>
        <v>8.8730808080808075</v>
      </c>
      <c r="V272" s="3">
        <f t="shared" si="33"/>
        <v>-0.17032828282828305</v>
      </c>
      <c r="W272" s="3">
        <f t="shared" si="34"/>
        <v>-0.23347337006427826</v>
      </c>
    </row>
    <row r="273" spans="1:23" x14ac:dyDescent="0.25">
      <c r="A273" t="s">
        <v>16</v>
      </c>
      <c r="C273">
        <v>52.049642499999997</v>
      </c>
      <c r="D273">
        <v>-0.57282319999999998</v>
      </c>
      <c r="E273">
        <v>4</v>
      </c>
      <c r="F273">
        <v>4</v>
      </c>
      <c r="G273">
        <v>2022</v>
      </c>
      <c r="H273">
        <v>13</v>
      </c>
      <c r="I273">
        <v>55</v>
      </c>
      <c r="J273">
        <v>43</v>
      </c>
      <c r="K273">
        <v>43.94</v>
      </c>
      <c r="L273">
        <v>0</v>
      </c>
      <c r="M273">
        <v>33.131</v>
      </c>
      <c r="N273">
        <v>0.60099999999999998</v>
      </c>
      <c r="P273" s="1">
        <f>M273*1000/3600</f>
        <v>9.2030555555555562</v>
      </c>
      <c r="Q273" s="3">
        <f t="shared" si="30"/>
        <v>11.241666666666674</v>
      </c>
      <c r="R273" s="3">
        <f t="shared" si="31"/>
        <v>-0.55222222222222328</v>
      </c>
      <c r="S273" s="3">
        <f t="shared" si="28"/>
        <v>-8.5328282828283003E-2</v>
      </c>
      <c r="U273" s="1">
        <f t="shared" si="32"/>
        <v>8.8461616161616163</v>
      </c>
      <c r="V273" s="3">
        <f t="shared" si="33"/>
        <v>-8.5328282828282198E-2</v>
      </c>
      <c r="W273" s="3">
        <f t="shared" si="34"/>
        <v>-0.19738751147841976</v>
      </c>
    </row>
    <row r="274" spans="1:23" x14ac:dyDescent="0.25">
      <c r="A274" t="s">
        <v>16</v>
      </c>
      <c r="C274">
        <v>52.049640199999999</v>
      </c>
      <c r="D274">
        <v>-0.57281029999999999</v>
      </c>
      <c r="E274">
        <v>4</v>
      </c>
      <c r="F274">
        <v>4</v>
      </c>
      <c r="G274">
        <v>2022</v>
      </c>
      <c r="H274">
        <v>13</v>
      </c>
      <c r="I274">
        <v>55</v>
      </c>
      <c r="J274">
        <v>43.1</v>
      </c>
      <c r="K274">
        <v>43.96</v>
      </c>
      <c r="L274">
        <v>0</v>
      </c>
      <c r="M274">
        <v>33.134</v>
      </c>
      <c r="N274">
        <v>0.54700000000000004</v>
      </c>
      <c r="P274" s="1">
        <f t="shared" ref="P274:P337" si="35">M274*1000/3600</f>
        <v>9.2038888888888888</v>
      </c>
      <c r="Q274" s="3">
        <f t="shared" si="30"/>
        <v>8.3333333333257542E-3</v>
      </c>
      <c r="R274" s="3">
        <f t="shared" si="31"/>
        <v>-0.42305555555555507</v>
      </c>
      <c r="S274" s="3">
        <f t="shared" si="28"/>
        <v>-0.11169191919191929</v>
      </c>
      <c r="U274" s="1">
        <f t="shared" si="32"/>
        <v>8.8155050505050507</v>
      </c>
      <c r="V274" s="3">
        <f t="shared" si="33"/>
        <v>-0.11169191919191768</v>
      </c>
      <c r="W274" s="3">
        <f t="shared" si="34"/>
        <v>-0.15994260789715253</v>
      </c>
    </row>
    <row r="275" spans="1:23" x14ac:dyDescent="0.25">
      <c r="A275" t="s">
        <v>16</v>
      </c>
      <c r="C275">
        <v>52.049637300000001</v>
      </c>
      <c r="D275">
        <v>-0.57279789999999997</v>
      </c>
      <c r="E275">
        <v>4</v>
      </c>
      <c r="F275">
        <v>4</v>
      </c>
      <c r="G275">
        <v>2022</v>
      </c>
      <c r="H275">
        <v>13</v>
      </c>
      <c r="I275">
        <v>55</v>
      </c>
      <c r="J275">
        <v>43.2</v>
      </c>
      <c r="K275">
        <v>44</v>
      </c>
      <c r="L275">
        <v>0</v>
      </c>
      <c r="M275">
        <v>33.17</v>
      </c>
      <c r="N275">
        <v>0.53600000000000003</v>
      </c>
      <c r="P275" s="1">
        <f t="shared" si="35"/>
        <v>9.2138888888888886</v>
      </c>
      <c r="Q275" s="3">
        <f t="shared" si="30"/>
        <v>9.9999999999997868E-2</v>
      </c>
      <c r="R275" s="3">
        <f t="shared" si="31"/>
        <v>-5.1111111111111995E-2</v>
      </c>
      <c r="S275" s="3">
        <f t="shared" ref="S275:S338" si="36">AVERAGE(R270:R280)</f>
        <v>-0.13858585858585845</v>
      </c>
      <c r="U275" s="1">
        <f t="shared" si="32"/>
        <v>8.7925000000000022</v>
      </c>
      <c r="V275" s="3">
        <f t="shared" si="33"/>
        <v>-0.1385858585858557</v>
      </c>
      <c r="W275" s="3">
        <f t="shared" si="34"/>
        <v>-0.12322314049586712</v>
      </c>
    </row>
    <row r="276" spans="1:23" x14ac:dyDescent="0.25">
      <c r="A276" t="s">
        <v>16</v>
      </c>
      <c r="C276">
        <v>52.049633999999998</v>
      </c>
      <c r="D276">
        <v>-0.57278669999999998</v>
      </c>
      <c r="E276">
        <v>4</v>
      </c>
      <c r="F276">
        <v>4</v>
      </c>
      <c r="G276">
        <v>2022</v>
      </c>
      <c r="H276">
        <v>13</v>
      </c>
      <c r="I276">
        <v>55</v>
      </c>
      <c r="J276">
        <v>43.3</v>
      </c>
      <c r="K276">
        <v>43.96</v>
      </c>
      <c r="L276">
        <v>0</v>
      </c>
      <c r="M276">
        <v>31.236999999999998</v>
      </c>
      <c r="N276">
        <v>0.55100000000000005</v>
      </c>
      <c r="P276" s="1">
        <f t="shared" si="35"/>
        <v>8.6769444444444446</v>
      </c>
      <c r="Q276" s="3">
        <f t="shared" si="30"/>
        <v>-5.36944444444444</v>
      </c>
      <c r="R276" s="3">
        <f t="shared" si="31"/>
        <v>0.21388888888888857</v>
      </c>
      <c r="S276" s="3">
        <f t="shared" si="36"/>
        <v>-0.11729797979797964</v>
      </c>
      <c r="U276" s="1">
        <f t="shared" si="32"/>
        <v>8.7767676767676779</v>
      </c>
      <c r="V276" s="3">
        <f t="shared" si="33"/>
        <v>-0.11729797979797851</v>
      </c>
      <c r="W276" s="3">
        <f t="shared" si="34"/>
        <v>-9.3500918273645178E-2</v>
      </c>
    </row>
    <row r="277" spans="1:23" x14ac:dyDescent="0.25">
      <c r="A277" t="s">
        <v>16</v>
      </c>
      <c r="C277">
        <v>52.049630399999998</v>
      </c>
      <c r="D277">
        <v>-0.57277549999999999</v>
      </c>
      <c r="E277">
        <v>4</v>
      </c>
      <c r="F277">
        <v>4</v>
      </c>
      <c r="G277">
        <v>2022</v>
      </c>
      <c r="H277">
        <v>13</v>
      </c>
      <c r="I277">
        <v>55</v>
      </c>
      <c r="J277">
        <v>43.4</v>
      </c>
      <c r="K277">
        <v>43.88</v>
      </c>
      <c r="L277">
        <v>0</v>
      </c>
      <c r="M277">
        <v>30.73</v>
      </c>
      <c r="N277">
        <v>0.55800000000000005</v>
      </c>
      <c r="P277" s="1">
        <f t="shared" si="35"/>
        <v>8.5361111111111114</v>
      </c>
      <c r="Q277" s="3">
        <f t="shared" si="30"/>
        <v>-1.4083333333333314</v>
      </c>
      <c r="R277" s="3">
        <f t="shared" si="31"/>
        <v>0.607222222222223</v>
      </c>
      <c r="S277" s="3">
        <f t="shared" si="36"/>
        <v>-6.7020202020201841E-2</v>
      </c>
      <c r="U277" s="1">
        <f t="shared" si="32"/>
        <v>8.7852272727272727</v>
      </c>
      <c r="V277" s="3">
        <f t="shared" si="33"/>
        <v>-6.702020202020087E-2</v>
      </c>
      <c r="W277" s="3">
        <f t="shared" si="34"/>
        <v>-7.4366391184572708E-2</v>
      </c>
    </row>
    <row r="278" spans="1:23" x14ac:dyDescent="0.25">
      <c r="A278" t="s">
        <v>16</v>
      </c>
      <c r="C278">
        <v>52.0496269</v>
      </c>
      <c r="D278">
        <v>-0.5727641</v>
      </c>
      <c r="E278">
        <v>4</v>
      </c>
      <c r="F278">
        <v>4</v>
      </c>
      <c r="G278">
        <v>2022</v>
      </c>
      <c r="H278">
        <v>13</v>
      </c>
      <c r="I278">
        <v>55</v>
      </c>
      <c r="J278">
        <v>43.5</v>
      </c>
      <c r="K278">
        <v>43.77</v>
      </c>
      <c r="L278">
        <v>0</v>
      </c>
      <c r="M278">
        <v>30.757999999999999</v>
      </c>
      <c r="N278">
        <v>0.56899999999999995</v>
      </c>
      <c r="P278" s="1">
        <f t="shared" si="35"/>
        <v>8.5438888888888886</v>
      </c>
      <c r="Q278" s="3">
        <f t="shared" si="30"/>
        <v>7.7777777777772172E-2</v>
      </c>
      <c r="R278" s="3">
        <f t="shared" si="31"/>
        <v>-0.33611111111111214</v>
      </c>
      <c r="S278" s="3">
        <f t="shared" si="36"/>
        <v>-1.4646464646464514E-2</v>
      </c>
      <c r="U278" s="1">
        <f t="shared" si="32"/>
        <v>8.8568686868686868</v>
      </c>
      <c r="V278" s="3">
        <f t="shared" si="33"/>
        <v>-1.4646464646466129E-2</v>
      </c>
      <c r="W278" s="3">
        <f t="shared" si="34"/>
        <v>-7.7738751147841706E-2</v>
      </c>
    </row>
    <row r="279" spans="1:23" x14ac:dyDescent="0.25">
      <c r="A279" t="s">
        <v>16</v>
      </c>
      <c r="C279">
        <v>52.0496227</v>
      </c>
      <c r="D279">
        <v>-0.5727527</v>
      </c>
      <c r="E279">
        <v>4</v>
      </c>
      <c r="F279">
        <v>4</v>
      </c>
      <c r="G279">
        <v>2022</v>
      </c>
      <c r="H279">
        <v>13</v>
      </c>
      <c r="I279">
        <v>55</v>
      </c>
      <c r="J279">
        <v>43.6</v>
      </c>
      <c r="K279">
        <v>43.63</v>
      </c>
      <c r="L279">
        <v>0</v>
      </c>
      <c r="M279">
        <v>31.532</v>
      </c>
      <c r="N279">
        <v>0.61599999999999999</v>
      </c>
      <c r="P279" s="1">
        <f t="shared" si="35"/>
        <v>8.7588888888888885</v>
      </c>
      <c r="Q279" s="3">
        <f t="shared" si="30"/>
        <v>2.1499999999999986</v>
      </c>
      <c r="R279" s="3">
        <f t="shared" si="31"/>
        <v>-0.24583333333333179</v>
      </c>
      <c r="S279" s="3">
        <f t="shared" si="36"/>
        <v>1.4747474747474953E-2</v>
      </c>
      <c r="U279" s="1">
        <f t="shared" si="32"/>
        <v>8.8345959595959602</v>
      </c>
      <c r="V279" s="3">
        <f t="shared" si="33"/>
        <v>1.4747474747474953E-2</v>
      </c>
      <c r="W279" s="3">
        <f t="shared" si="34"/>
        <v>-9.1044536271808654E-2</v>
      </c>
    </row>
    <row r="280" spans="1:23" x14ac:dyDescent="0.25">
      <c r="A280" t="s">
        <v>16</v>
      </c>
      <c r="C280">
        <v>52.049617599999998</v>
      </c>
      <c r="D280">
        <v>-0.57274210000000003</v>
      </c>
      <c r="E280">
        <v>4</v>
      </c>
      <c r="F280">
        <v>4</v>
      </c>
      <c r="G280">
        <v>2022</v>
      </c>
      <c r="H280">
        <v>13</v>
      </c>
      <c r="I280">
        <v>55</v>
      </c>
      <c r="J280">
        <v>43.7</v>
      </c>
      <c r="K280">
        <v>43.56</v>
      </c>
      <c r="L280">
        <v>0</v>
      </c>
      <c r="M280">
        <v>32.143999999999998</v>
      </c>
      <c r="N280">
        <v>0.50800000000000001</v>
      </c>
      <c r="P280" s="1">
        <f t="shared" si="35"/>
        <v>8.9288888888888884</v>
      </c>
      <c r="Q280" s="3">
        <f t="shared" si="30"/>
        <v>1.6999999999999993</v>
      </c>
      <c r="R280" s="3">
        <f t="shared" si="31"/>
        <v>-0.1449999999999978</v>
      </c>
      <c r="S280" s="3">
        <f t="shared" si="36"/>
        <v>3.030303030305119E-4</v>
      </c>
      <c r="U280" s="1">
        <f t="shared" si="32"/>
        <v>8.8223232323232335</v>
      </c>
      <c r="V280" s="3">
        <f t="shared" si="33"/>
        <v>3.0303030302825107E-4</v>
      </c>
      <c r="W280" s="3">
        <f t="shared" si="34"/>
        <v>-0.10551652892561963</v>
      </c>
    </row>
    <row r="281" spans="1:23" x14ac:dyDescent="0.25">
      <c r="A281" t="s">
        <v>16</v>
      </c>
      <c r="C281">
        <v>52.049612699999997</v>
      </c>
      <c r="D281">
        <v>-0.57273160000000001</v>
      </c>
      <c r="E281">
        <v>4</v>
      </c>
      <c r="F281">
        <v>4</v>
      </c>
      <c r="G281">
        <v>2022</v>
      </c>
      <c r="H281">
        <v>13</v>
      </c>
      <c r="I281">
        <v>55</v>
      </c>
      <c r="J281">
        <v>43.8</v>
      </c>
      <c r="K281">
        <v>43.46</v>
      </c>
      <c r="L281">
        <v>0</v>
      </c>
      <c r="M281">
        <v>31.704999999999998</v>
      </c>
      <c r="N281">
        <v>0.50800000000000001</v>
      </c>
      <c r="P281" s="1">
        <f t="shared" si="35"/>
        <v>8.8069444444444436</v>
      </c>
      <c r="Q281" s="3">
        <f t="shared" si="30"/>
        <v>-1.2194444444444485</v>
      </c>
      <c r="R281" s="3">
        <f t="shared" si="31"/>
        <v>0.12694444444444386</v>
      </c>
      <c r="S281" s="3">
        <f t="shared" si="36"/>
        <v>-3.5404040404039966E-2</v>
      </c>
      <c r="U281" s="1">
        <f t="shared" si="32"/>
        <v>8.7850505050505063</v>
      </c>
      <c r="V281" s="3">
        <f t="shared" si="33"/>
        <v>-3.5404040404040771E-2</v>
      </c>
      <c r="W281" s="3">
        <f t="shared" si="34"/>
        <v>-0.1196097337006429</v>
      </c>
    </row>
    <row r="282" spans="1:23" x14ac:dyDescent="0.25">
      <c r="A282" t="s">
        <v>16</v>
      </c>
      <c r="C282">
        <v>52.049607799999997</v>
      </c>
      <c r="D282">
        <v>-0.57272199999999995</v>
      </c>
      <c r="E282">
        <v>4</v>
      </c>
      <c r="F282">
        <v>4</v>
      </c>
      <c r="G282">
        <v>2022</v>
      </c>
      <c r="H282">
        <v>13</v>
      </c>
      <c r="I282">
        <v>55</v>
      </c>
      <c r="J282">
        <v>43.9</v>
      </c>
      <c r="K282">
        <v>43.48</v>
      </c>
      <c r="L282">
        <v>0</v>
      </c>
      <c r="M282">
        <v>31.27</v>
      </c>
      <c r="N282">
        <v>0.51800000000000002</v>
      </c>
      <c r="P282" s="1">
        <f t="shared" si="35"/>
        <v>8.6861111111111118</v>
      </c>
      <c r="Q282" s="3">
        <f t="shared" si="30"/>
        <v>-1.2083333333333179</v>
      </c>
      <c r="R282" s="3">
        <f t="shared" si="31"/>
        <v>0.37194444444444485</v>
      </c>
      <c r="S282" s="3">
        <f t="shared" si="36"/>
        <v>-9.2777777777777418E-2</v>
      </c>
      <c r="U282" s="1">
        <f t="shared" si="32"/>
        <v>8.8060606060606066</v>
      </c>
      <c r="V282" s="3">
        <f t="shared" si="33"/>
        <v>-9.277777777777807E-2</v>
      </c>
      <c r="W282" s="3">
        <f t="shared" si="34"/>
        <v>-0.13911845730027556</v>
      </c>
    </row>
    <row r="283" spans="1:23" x14ac:dyDescent="0.25">
      <c r="A283" t="s">
        <v>16</v>
      </c>
      <c r="C283">
        <v>52.049602499999999</v>
      </c>
      <c r="D283">
        <v>-0.57271249999999996</v>
      </c>
      <c r="E283">
        <v>4</v>
      </c>
      <c r="F283">
        <v>4</v>
      </c>
      <c r="G283">
        <v>2022</v>
      </c>
      <c r="H283">
        <v>13</v>
      </c>
      <c r="I283">
        <v>55</v>
      </c>
      <c r="J283">
        <v>44</v>
      </c>
      <c r="K283">
        <v>43.51</v>
      </c>
      <c r="L283">
        <v>0</v>
      </c>
      <c r="M283">
        <v>31.920999999999999</v>
      </c>
      <c r="N283">
        <v>0.52200000000000002</v>
      </c>
      <c r="P283" s="1">
        <f t="shared" si="35"/>
        <v>8.8669444444444441</v>
      </c>
      <c r="Q283" s="3">
        <f t="shared" si="30"/>
        <v>1.8083333333333229</v>
      </c>
      <c r="R283" s="3">
        <f t="shared" si="31"/>
        <v>0.27222222222222214</v>
      </c>
      <c r="S283" s="3">
        <f t="shared" si="36"/>
        <v>-0.20742424242424207</v>
      </c>
      <c r="U283" s="1">
        <f t="shared" si="32"/>
        <v>8.8315151515151502</v>
      </c>
      <c r="V283" s="3">
        <f t="shared" si="33"/>
        <v>-0.20742424242424207</v>
      </c>
      <c r="W283" s="3">
        <f t="shared" si="34"/>
        <v>-0.16295913682277316</v>
      </c>
    </row>
    <row r="284" spans="1:23" x14ac:dyDescent="0.25">
      <c r="A284" t="s">
        <v>16</v>
      </c>
      <c r="C284">
        <v>52.0495971</v>
      </c>
      <c r="D284">
        <v>-0.57270310000000002</v>
      </c>
      <c r="E284">
        <v>4</v>
      </c>
      <c r="F284">
        <v>4</v>
      </c>
      <c r="G284">
        <v>2022</v>
      </c>
      <c r="H284">
        <v>13</v>
      </c>
      <c r="I284">
        <v>55</v>
      </c>
      <c r="J284">
        <v>44.1</v>
      </c>
      <c r="K284">
        <v>43.58</v>
      </c>
      <c r="L284">
        <v>0</v>
      </c>
      <c r="M284">
        <v>32.249000000000002</v>
      </c>
      <c r="N284">
        <v>0.54</v>
      </c>
      <c r="P284" s="1">
        <f t="shared" si="35"/>
        <v>8.958055555555557</v>
      </c>
      <c r="Q284" s="3">
        <f t="shared" si="30"/>
        <v>0.91111111111112919</v>
      </c>
      <c r="R284" s="3">
        <f t="shared" si="31"/>
        <v>-0.22888888888888914</v>
      </c>
      <c r="S284" s="3">
        <f t="shared" si="36"/>
        <v>-0.23169191919191884</v>
      </c>
      <c r="U284" s="1">
        <f t="shared" si="32"/>
        <v>8.8302525252525257</v>
      </c>
      <c r="V284" s="3">
        <f t="shared" si="33"/>
        <v>-0.23169191919191867</v>
      </c>
      <c r="W284" s="3">
        <f t="shared" si="34"/>
        <v>-0.18906795224977008</v>
      </c>
    </row>
    <row r="285" spans="1:23" x14ac:dyDescent="0.25">
      <c r="A285" t="s">
        <v>16</v>
      </c>
      <c r="C285">
        <v>52.049591399999997</v>
      </c>
      <c r="D285">
        <v>-0.57269380000000003</v>
      </c>
      <c r="E285">
        <v>4</v>
      </c>
      <c r="F285">
        <v>4</v>
      </c>
      <c r="G285">
        <v>2022</v>
      </c>
      <c r="H285">
        <v>13</v>
      </c>
      <c r="I285">
        <v>55</v>
      </c>
      <c r="J285">
        <v>44.2</v>
      </c>
      <c r="K285">
        <v>43.63</v>
      </c>
      <c r="L285">
        <v>0</v>
      </c>
      <c r="M285">
        <v>32.648000000000003</v>
      </c>
      <c r="N285">
        <v>0.52600000000000002</v>
      </c>
      <c r="P285" s="1">
        <f t="shared" si="35"/>
        <v>9.0688888888888908</v>
      </c>
      <c r="Q285" s="3">
        <f t="shared" si="30"/>
        <v>1.1083333333333378</v>
      </c>
      <c r="R285" s="3">
        <f t="shared" si="31"/>
        <v>-0.58194444444444393</v>
      </c>
      <c r="S285" s="3">
        <f t="shared" si="36"/>
        <v>-0.27088383838383834</v>
      </c>
      <c r="U285" s="1">
        <f t="shared" si="32"/>
        <v>8.7928030303030305</v>
      </c>
      <c r="V285" s="3">
        <f t="shared" si="33"/>
        <v>-0.27088383838383834</v>
      </c>
      <c r="W285" s="3">
        <f t="shared" si="34"/>
        <v>-0.21326216712580326</v>
      </c>
    </row>
    <row r="286" spans="1:23" x14ac:dyDescent="0.25">
      <c r="A286" t="s">
        <v>16</v>
      </c>
      <c r="C286">
        <v>52.049585899999997</v>
      </c>
      <c r="D286">
        <v>-0.57268520000000001</v>
      </c>
      <c r="E286">
        <v>4</v>
      </c>
      <c r="F286">
        <v>4</v>
      </c>
      <c r="G286">
        <v>2022</v>
      </c>
      <c r="H286">
        <v>13</v>
      </c>
      <c r="I286">
        <v>55</v>
      </c>
      <c r="J286">
        <v>44.3</v>
      </c>
      <c r="K286">
        <v>43.69</v>
      </c>
      <c r="L286">
        <v>0</v>
      </c>
      <c r="M286">
        <v>31.693999999999999</v>
      </c>
      <c r="N286">
        <v>0.46800000000000003</v>
      </c>
      <c r="P286" s="1">
        <f t="shared" si="35"/>
        <v>8.8038888888888884</v>
      </c>
      <c r="Q286" s="3">
        <f t="shared" si="30"/>
        <v>-2.6500000000000234</v>
      </c>
      <c r="R286" s="3">
        <f t="shared" si="31"/>
        <v>-0.44388888888888722</v>
      </c>
      <c r="S286" s="3">
        <f t="shared" si="36"/>
        <v>-0.29361111111111121</v>
      </c>
      <c r="U286" s="1">
        <f t="shared" si="32"/>
        <v>8.7413636363636371</v>
      </c>
      <c r="V286" s="3">
        <f t="shared" si="33"/>
        <v>-0.29361111111111171</v>
      </c>
      <c r="W286" s="3">
        <f t="shared" si="34"/>
        <v>-0.22777318640954969</v>
      </c>
    </row>
    <row r="287" spans="1:23" x14ac:dyDescent="0.25">
      <c r="A287" t="s">
        <v>16</v>
      </c>
      <c r="C287">
        <v>52.0495801</v>
      </c>
      <c r="D287">
        <v>-0.57267659999999998</v>
      </c>
      <c r="E287">
        <v>4</v>
      </c>
      <c r="F287">
        <v>4</v>
      </c>
      <c r="G287">
        <v>2022</v>
      </c>
      <c r="H287">
        <v>13</v>
      </c>
      <c r="I287">
        <v>55</v>
      </c>
      <c r="J287">
        <v>44.4</v>
      </c>
      <c r="K287">
        <v>43.77</v>
      </c>
      <c r="L287">
        <v>0</v>
      </c>
      <c r="M287">
        <v>32.069000000000003</v>
      </c>
      <c r="N287">
        <v>0.48599999999999999</v>
      </c>
      <c r="P287" s="1">
        <f t="shared" si="35"/>
        <v>8.9080555555555563</v>
      </c>
      <c r="Q287" s="3">
        <f t="shared" si="30"/>
        <v>1.0416666666666785</v>
      </c>
      <c r="R287" s="3">
        <f t="shared" si="31"/>
        <v>-0.41722222222222349</v>
      </c>
      <c r="S287" s="3">
        <f t="shared" si="36"/>
        <v>-0.33189393939393952</v>
      </c>
      <c r="U287" s="1">
        <f t="shared" si="32"/>
        <v>8.6924494949494946</v>
      </c>
      <c r="V287" s="3">
        <f t="shared" si="33"/>
        <v>-0.33189393939393774</v>
      </c>
      <c r="W287" s="3">
        <f t="shared" si="34"/>
        <v>-0.22923553719008247</v>
      </c>
    </row>
    <row r="288" spans="1:23" x14ac:dyDescent="0.25">
      <c r="A288" t="s">
        <v>16</v>
      </c>
      <c r="C288">
        <v>52.049574800000002</v>
      </c>
      <c r="D288">
        <v>-0.57266760000000005</v>
      </c>
      <c r="E288">
        <v>4</v>
      </c>
      <c r="F288">
        <v>4</v>
      </c>
      <c r="G288">
        <v>2022</v>
      </c>
      <c r="H288">
        <v>13</v>
      </c>
      <c r="I288">
        <v>55</v>
      </c>
      <c r="J288">
        <v>44.5</v>
      </c>
      <c r="K288">
        <v>43.86</v>
      </c>
      <c r="L288">
        <v>0</v>
      </c>
      <c r="M288">
        <v>31.738</v>
      </c>
      <c r="N288">
        <v>0.49</v>
      </c>
      <c r="P288" s="1">
        <f t="shared" si="35"/>
        <v>8.8161111111111108</v>
      </c>
      <c r="Q288" s="3">
        <f t="shared" si="30"/>
        <v>-0.91944444444445494</v>
      </c>
      <c r="R288" s="3">
        <f t="shared" si="31"/>
        <v>-0.65388888888888808</v>
      </c>
      <c r="S288" s="3">
        <f t="shared" si="36"/>
        <v>-0.32926767676767699</v>
      </c>
      <c r="U288" s="1">
        <f t="shared" si="32"/>
        <v>8.6494444444444447</v>
      </c>
      <c r="V288" s="3">
        <f t="shared" si="33"/>
        <v>-0.32926767676767454</v>
      </c>
      <c r="W288" s="3">
        <f t="shared" si="34"/>
        <v>-0.21487832874196514</v>
      </c>
    </row>
    <row r="289" spans="1:23" x14ac:dyDescent="0.25">
      <c r="A289" t="s">
        <v>16</v>
      </c>
      <c r="C289">
        <v>52.049569400000003</v>
      </c>
      <c r="D289">
        <v>-0.57265900000000003</v>
      </c>
      <c r="E289">
        <v>4</v>
      </c>
      <c r="F289">
        <v>4</v>
      </c>
      <c r="G289">
        <v>2022</v>
      </c>
      <c r="H289">
        <v>13</v>
      </c>
      <c r="I289">
        <v>55</v>
      </c>
      <c r="J289">
        <v>44.6</v>
      </c>
      <c r="K289">
        <v>43.88</v>
      </c>
      <c r="L289">
        <v>0</v>
      </c>
      <c r="M289">
        <v>30.707999999999998</v>
      </c>
      <c r="N289">
        <v>0.49299999999999999</v>
      </c>
      <c r="P289" s="1">
        <f t="shared" si="35"/>
        <v>8.5299999999999994</v>
      </c>
      <c r="Q289" s="3">
        <f t="shared" si="30"/>
        <v>-2.8611111111111143</v>
      </c>
      <c r="R289" s="3">
        <f t="shared" si="31"/>
        <v>-0.60305555555555657</v>
      </c>
      <c r="S289" s="3">
        <f t="shared" si="36"/>
        <v>-0.30184343434343447</v>
      </c>
      <c r="U289" s="1">
        <f t="shared" si="32"/>
        <v>8.6029040404040416</v>
      </c>
      <c r="V289" s="3">
        <f t="shared" si="33"/>
        <v>-0.30184343434343219</v>
      </c>
      <c r="W289" s="3">
        <f t="shared" si="34"/>
        <v>-0.17720615243342538</v>
      </c>
    </row>
    <row r="290" spans="1:23" x14ac:dyDescent="0.25">
      <c r="A290" t="s">
        <v>16</v>
      </c>
      <c r="C290">
        <v>52.049563999999997</v>
      </c>
      <c r="D290">
        <v>-0.57265069999999996</v>
      </c>
      <c r="E290">
        <v>4</v>
      </c>
      <c r="F290">
        <v>4</v>
      </c>
      <c r="G290">
        <v>2022</v>
      </c>
      <c r="H290">
        <v>13</v>
      </c>
      <c r="I290">
        <v>55</v>
      </c>
      <c r="J290">
        <v>44.7</v>
      </c>
      <c r="K290">
        <v>43.88</v>
      </c>
      <c r="L290">
        <v>0</v>
      </c>
      <c r="M290">
        <v>30.048999999999999</v>
      </c>
      <c r="N290">
        <v>0.49299999999999999</v>
      </c>
      <c r="P290" s="1">
        <f t="shared" si="35"/>
        <v>8.3469444444444445</v>
      </c>
      <c r="Q290" s="3">
        <f t="shared" si="30"/>
        <v>-1.8305555555555486</v>
      </c>
      <c r="R290" s="3">
        <f t="shared" si="31"/>
        <v>-0.67694444444444635</v>
      </c>
      <c r="S290" s="3">
        <f t="shared" si="36"/>
        <v>-0.25138888888888905</v>
      </c>
      <c r="U290" s="1">
        <f t="shared" si="32"/>
        <v>8.5514393939393951</v>
      </c>
      <c r="V290" s="3">
        <f t="shared" si="33"/>
        <v>-0.25138888888888999</v>
      </c>
      <c r="W290" s="3">
        <f t="shared" si="34"/>
        <v>-0.12426078971533562</v>
      </c>
    </row>
    <row r="291" spans="1:23" x14ac:dyDescent="0.25">
      <c r="A291" t="s">
        <v>16</v>
      </c>
      <c r="C291">
        <v>52.049558300000001</v>
      </c>
      <c r="D291">
        <v>-0.5726424</v>
      </c>
      <c r="E291">
        <v>4</v>
      </c>
      <c r="F291">
        <v>4</v>
      </c>
      <c r="G291">
        <v>2022</v>
      </c>
      <c r="H291">
        <v>13</v>
      </c>
      <c r="I291">
        <v>55</v>
      </c>
      <c r="J291">
        <v>44.8</v>
      </c>
      <c r="K291">
        <v>43.86</v>
      </c>
      <c r="L291">
        <v>0</v>
      </c>
      <c r="M291">
        <v>30.106999999999999</v>
      </c>
      <c r="N291">
        <v>0.5</v>
      </c>
      <c r="P291" s="1">
        <f t="shared" si="35"/>
        <v>8.3630555555555564</v>
      </c>
      <c r="Q291" s="3">
        <f t="shared" si="30"/>
        <v>0.16111111111111853</v>
      </c>
      <c r="R291" s="3">
        <f t="shared" si="31"/>
        <v>-0.39499999999999957</v>
      </c>
      <c r="S291" s="3">
        <f t="shared" si="36"/>
        <v>-0.15931818181818211</v>
      </c>
      <c r="U291" s="1">
        <f t="shared" si="32"/>
        <v>8.4914393939393946</v>
      </c>
      <c r="V291" s="3">
        <f t="shared" si="33"/>
        <v>-0.15931818181818258</v>
      </c>
      <c r="W291" s="3">
        <f t="shared" si="34"/>
        <v>-5.4123048668503836E-2</v>
      </c>
    </row>
    <row r="292" spans="1:23" x14ac:dyDescent="0.25">
      <c r="A292" t="s">
        <v>16</v>
      </c>
      <c r="C292">
        <v>52.0495527</v>
      </c>
      <c r="D292">
        <v>-0.57263419999999998</v>
      </c>
      <c r="E292">
        <v>4</v>
      </c>
      <c r="F292">
        <v>4</v>
      </c>
      <c r="G292">
        <v>2022</v>
      </c>
      <c r="H292">
        <v>13</v>
      </c>
      <c r="I292">
        <v>55</v>
      </c>
      <c r="J292">
        <v>44.9</v>
      </c>
      <c r="K292">
        <v>43.84</v>
      </c>
      <c r="L292">
        <v>0</v>
      </c>
      <c r="M292">
        <v>29.768000000000001</v>
      </c>
      <c r="N292">
        <v>0.49</v>
      </c>
      <c r="P292" s="1">
        <f t="shared" si="35"/>
        <v>8.2688888888888883</v>
      </c>
      <c r="Q292" s="3">
        <f t="shared" si="30"/>
        <v>-0.94166666666668064</v>
      </c>
      <c r="R292" s="3">
        <f t="shared" si="31"/>
        <v>-0.29416666666666735</v>
      </c>
      <c r="S292" s="3">
        <f t="shared" si="36"/>
        <v>-5.148989898989953E-2</v>
      </c>
      <c r="U292" s="1">
        <f t="shared" si="32"/>
        <v>8.4741666666666688</v>
      </c>
      <c r="V292" s="3">
        <f t="shared" si="33"/>
        <v>-5.1489898989901306E-2</v>
      </c>
      <c r="W292" s="3">
        <f t="shared" si="34"/>
        <v>2.8900367309457341E-2</v>
      </c>
    </row>
    <row r="293" spans="1:23" x14ac:dyDescent="0.25">
      <c r="A293" t="s">
        <v>16</v>
      </c>
      <c r="C293">
        <v>52.049547199999999</v>
      </c>
      <c r="D293">
        <v>-0.57262599999999997</v>
      </c>
      <c r="E293">
        <v>4</v>
      </c>
      <c r="F293">
        <v>4</v>
      </c>
      <c r="G293">
        <v>2022</v>
      </c>
      <c r="H293">
        <v>13</v>
      </c>
      <c r="I293">
        <v>55</v>
      </c>
      <c r="J293">
        <v>45</v>
      </c>
      <c r="K293">
        <v>43.8</v>
      </c>
      <c r="L293">
        <v>0</v>
      </c>
      <c r="M293">
        <v>29.567</v>
      </c>
      <c r="N293">
        <v>0.49299999999999999</v>
      </c>
      <c r="P293" s="1">
        <f t="shared" si="35"/>
        <v>8.213055555555556</v>
      </c>
      <c r="Q293" s="3">
        <f t="shared" si="30"/>
        <v>-0.55833333333332291</v>
      </c>
      <c r="R293" s="3">
        <f t="shared" si="31"/>
        <v>0.40083333333333293</v>
      </c>
      <c r="S293" s="3">
        <f t="shared" si="36"/>
        <v>6.5151515151514516E-2</v>
      </c>
      <c r="U293" s="1">
        <f t="shared" si="32"/>
        <v>8.5022474747474757</v>
      </c>
      <c r="V293" s="3">
        <f t="shared" si="33"/>
        <v>6.515151515151274E-2</v>
      </c>
      <c r="W293" s="3">
        <f t="shared" si="34"/>
        <v>0.12190082644627977</v>
      </c>
    </row>
    <row r="294" spans="1:23" x14ac:dyDescent="0.25">
      <c r="A294" t="s">
        <v>16</v>
      </c>
      <c r="C294">
        <v>52.049541400000003</v>
      </c>
      <c r="D294">
        <v>-0.57261810000000002</v>
      </c>
      <c r="E294">
        <v>4</v>
      </c>
      <c r="F294">
        <v>4</v>
      </c>
      <c r="G294">
        <v>2022</v>
      </c>
      <c r="H294">
        <v>13</v>
      </c>
      <c r="I294">
        <v>55</v>
      </c>
      <c r="J294">
        <v>45.1</v>
      </c>
      <c r="K294">
        <v>43.8</v>
      </c>
      <c r="L294">
        <v>0</v>
      </c>
      <c r="M294">
        <v>30.077999999999999</v>
      </c>
      <c r="N294">
        <v>0.49299999999999999</v>
      </c>
      <c r="P294" s="1">
        <f t="shared" si="35"/>
        <v>8.3550000000000004</v>
      </c>
      <c r="Q294" s="3">
        <f t="shared" si="30"/>
        <v>1.4194444444444443</v>
      </c>
      <c r="R294" s="3">
        <f t="shared" si="31"/>
        <v>0.57388888888888978</v>
      </c>
      <c r="S294" s="3">
        <f t="shared" si="36"/>
        <v>0.20696969696969622</v>
      </c>
      <c r="U294" s="1">
        <f t="shared" si="32"/>
        <v>8.5284090909090935</v>
      </c>
      <c r="V294" s="3">
        <f t="shared" si="33"/>
        <v>0.20696969696969525</v>
      </c>
      <c r="W294" s="3">
        <f t="shared" si="34"/>
        <v>0.21547520661156855</v>
      </c>
    </row>
    <row r="295" spans="1:23" x14ac:dyDescent="0.25">
      <c r="A295" t="s">
        <v>16</v>
      </c>
      <c r="C295">
        <v>52.049535599999999</v>
      </c>
      <c r="D295">
        <v>-0.57261030000000002</v>
      </c>
      <c r="E295">
        <v>4</v>
      </c>
      <c r="F295">
        <v>4</v>
      </c>
      <c r="G295">
        <v>2022</v>
      </c>
      <c r="H295">
        <v>13</v>
      </c>
      <c r="I295">
        <v>55</v>
      </c>
      <c r="J295">
        <v>45.2</v>
      </c>
      <c r="K295">
        <v>43.81</v>
      </c>
      <c r="L295">
        <v>0</v>
      </c>
      <c r="M295">
        <v>30.210999999999999</v>
      </c>
      <c r="N295">
        <v>0.50800000000000001</v>
      </c>
      <c r="P295" s="1">
        <f t="shared" si="35"/>
        <v>8.3919444444444444</v>
      </c>
      <c r="Q295" s="3">
        <f t="shared" si="30"/>
        <v>0.36944444444444002</v>
      </c>
      <c r="R295" s="3">
        <f t="shared" si="31"/>
        <v>0.32611111111111057</v>
      </c>
      <c r="S295" s="3">
        <f t="shared" si="36"/>
        <v>0.35070707070706997</v>
      </c>
      <c r="U295" s="1">
        <f t="shared" si="32"/>
        <v>8.5414141414141405</v>
      </c>
      <c r="V295" s="3">
        <f t="shared" si="33"/>
        <v>0.35070707070706852</v>
      </c>
      <c r="W295" s="3">
        <f t="shared" si="34"/>
        <v>0.30730945821854727</v>
      </c>
    </row>
    <row r="296" spans="1:23" x14ac:dyDescent="0.25">
      <c r="A296" t="s">
        <v>16</v>
      </c>
      <c r="C296">
        <v>52.0495296</v>
      </c>
      <c r="D296">
        <v>-0.57260310000000003</v>
      </c>
      <c r="E296">
        <v>4</v>
      </c>
      <c r="F296">
        <v>4</v>
      </c>
      <c r="G296">
        <v>2022</v>
      </c>
      <c r="H296">
        <v>13</v>
      </c>
      <c r="I296">
        <v>55</v>
      </c>
      <c r="J296">
        <v>45.3</v>
      </c>
      <c r="K296">
        <v>43.85</v>
      </c>
      <c r="L296">
        <v>0</v>
      </c>
      <c r="M296">
        <v>30.271999999999998</v>
      </c>
      <c r="N296">
        <v>0.51100000000000001</v>
      </c>
      <c r="P296" s="1">
        <f t="shared" si="35"/>
        <v>8.4088888888888889</v>
      </c>
      <c r="Q296" s="3">
        <f t="shared" si="30"/>
        <v>0.16944444444444429</v>
      </c>
      <c r="R296" s="3">
        <f t="shared" si="31"/>
        <v>0.43083333333333229</v>
      </c>
      <c r="S296" s="3">
        <f t="shared" si="36"/>
        <v>0.50063131313131248</v>
      </c>
      <c r="U296" s="1">
        <f t="shared" si="32"/>
        <v>8.5820454545454545</v>
      </c>
      <c r="V296" s="3">
        <f t="shared" si="33"/>
        <v>0.50063131313131137</v>
      </c>
      <c r="W296" s="3">
        <f t="shared" si="34"/>
        <v>0.39906106519742723</v>
      </c>
    </row>
    <row r="297" spans="1:23" x14ac:dyDescent="0.25">
      <c r="A297" t="s">
        <v>16</v>
      </c>
      <c r="C297">
        <v>52.049523600000001</v>
      </c>
      <c r="D297">
        <v>-0.57259550000000004</v>
      </c>
      <c r="E297">
        <v>4</v>
      </c>
      <c r="F297">
        <v>4</v>
      </c>
      <c r="G297">
        <v>2022</v>
      </c>
      <c r="H297">
        <v>13</v>
      </c>
      <c r="I297">
        <v>55</v>
      </c>
      <c r="J297">
        <v>45.4</v>
      </c>
      <c r="K297">
        <v>43.93</v>
      </c>
      <c r="L297">
        <v>0</v>
      </c>
      <c r="M297">
        <v>31.01</v>
      </c>
      <c r="N297">
        <v>0.51800000000000002</v>
      </c>
      <c r="P297" s="1">
        <f t="shared" si="35"/>
        <v>8.6138888888888889</v>
      </c>
      <c r="Q297" s="3">
        <f t="shared" si="30"/>
        <v>2.0500000000000007</v>
      </c>
      <c r="R297" s="3">
        <f t="shared" si="31"/>
        <v>0.74222222222222101</v>
      </c>
      <c r="S297" s="3">
        <f t="shared" si="36"/>
        <v>0.619646464646464</v>
      </c>
      <c r="U297" s="1">
        <f t="shared" si="32"/>
        <v>8.6409595959595933</v>
      </c>
      <c r="V297" s="3">
        <f t="shared" si="33"/>
        <v>0.61964646464646123</v>
      </c>
      <c r="W297" s="3">
        <f t="shared" si="34"/>
        <v>0.48607897153351554</v>
      </c>
    </row>
    <row r="298" spans="1:23" x14ac:dyDescent="0.25">
      <c r="A298" t="s">
        <v>16</v>
      </c>
      <c r="C298">
        <v>52.0495169</v>
      </c>
      <c r="D298">
        <v>-0.57258750000000003</v>
      </c>
      <c r="E298">
        <v>4</v>
      </c>
      <c r="F298">
        <v>4</v>
      </c>
      <c r="G298">
        <v>2022</v>
      </c>
      <c r="H298">
        <v>13</v>
      </c>
      <c r="I298">
        <v>55</v>
      </c>
      <c r="J298">
        <v>45.5</v>
      </c>
      <c r="K298">
        <v>44</v>
      </c>
      <c r="L298">
        <v>0</v>
      </c>
      <c r="M298">
        <v>33.180999999999997</v>
      </c>
      <c r="N298">
        <v>0.51800000000000002</v>
      </c>
      <c r="P298" s="1">
        <f t="shared" si="35"/>
        <v>9.2169444444444437</v>
      </c>
      <c r="Q298" s="3">
        <f t="shared" si="30"/>
        <v>6.0305555555555479</v>
      </c>
      <c r="R298" s="3">
        <f t="shared" si="31"/>
        <v>0.86583333333333101</v>
      </c>
      <c r="S298" s="3">
        <f t="shared" si="36"/>
        <v>0.69111111111111068</v>
      </c>
      <c r="U298" s="1">
        <f t="shared" si="32"/>
        <v>8.7145959595959575</v>
      </c>
      <c r="V298" s="3">
        <f t="shared" si="33"/>
        <v>0.69111111111110901</v>
      </c>
      <c r="W298" s="3">
        <f t="shared" si="34"/>
        <v>0.56446740128558204</v>
      </c>
    </row>
    <row r="299" spans="1:23" x14ac:dyDescent="0.25">
      <c r="A299" t="s">
        <v>16</v>
      </c>
      <c r="C299">
        <v>52.049509899999997</v>
      </c>
      <c r="D299">
        <v>-0.57258010000000004</v>
      </c>
      <c r="E299">
        <v>4</v>
      </c>
      <c r="F299">
        <v>4</v>
      </c>
      <c r="G299">
        <v>2022</v>
      </c>
      <c r="H299">
        <v>13</v>
      </c>
      <c r="I299">
        <v>55</v>
      </c>
      <c r="J299">
        <v>45.6</v>
      </c>
      <c r="K299">
        <v>43.95</v>
      </c>
      <c r="L299">
        <v>0</v>
      </c>
      <c r="M299">
        <v>32.774000000000001</v>
      </c>
      <c r="N299">
        <v>0.50800000000000001</v>
      </c>
      <c r="P299" s="1">
        <f t="shared" si="35"/>
        <v>9.1038888888888891</v>
      </c>
      <c r="Q299" s="3">
        <f t="shared" si="30"/>
        <v>-1.1305555555555458</v>
      </c>
      <c r="R299" s="3">
        <f t="shared" si="31"/>
        <v>0.90611111111111065</v>
      </c>
      <c r="S299" s="3">
        <f t="shared" si="36"/>
        <v>0.70005050505050448</v>
      </c>
      <c r="U299" s="1">
        <f t="shared" si="32"/>
        <v>8.8098737373737368</v>
      </c>
      <c r="V299" s="3">
        <f t="shared" si="33"/>
        <v>0.70005050505050193</v>
      </c>
      <c r="W299" s="3">
        <f t="shared" si="34"/>
        <v>0.63230257116620692</v>
      </c>
    </row>
    <row r="300" spans="1:23" x14ac:dyDescent="0.25">
      <c r="A300" t="s">
        <v>16</v>
      </c>
      <c r="C300">
        <v>52.0495035</v>
      </c>
      <c r="D300">
        <v>-0.57257290000000005</v>
      </c>
      <c r="E300">
        <v>4</v>
      </c>
      <c r="F300">
        <v>4</v>
      </c>
      <c r="G300">
        <v>2022</v>
      </c>
      <c r="H300">
        <v>13</v>
      </c>
      <c r="I300">
        <v>55</v>
      </c>
      <c r="J300">
        <v>45.7</v>
      </c>
      <c r="K300">
        <v>43.88</v>
      </c>
      <c r="L300">
        <v>0</v>
      </c>
      <c r="M300">
        <v>31.222999999999999</v>
      </c>
      <c r="N300">
        <v>0.53300000000000003</v>
      </c>
      <c r="P300" s="1">
        <f t="shared" si="35"/>
        <v>8.6730555555555551</v>
      </c>
      <c r="Q300" s="3">
        <f t="shared" si="30"/>
        <v>-4.3083333333333407</v>
      </c>
      <c r="R300" s="3">
        <f t="shared" si="31"/>
        <v>0.97805555555555479</v>
      </c>
      <c r="S300" s="3">
        <f t="shared" si="36"/>
        <v>0.70833333333333282</v>
      </c>
      <c r="U300" s="1">
        <f t="shared" si="32"/>
        <v>8.9021464646464636</v>
      </c>
      <c r="V300" s="3">
        <f t="shared" si="33"/>
        <v>0.70833333333333393</v>
      </c>
      <c r="W300" s="3">
        <f t="shared" si="34"/>
        <v>0.6868480257116617</v>
      </c>
    </row>
    <row r="301" spans="1:23" x14ac:dyDescent="0.25">
      <c r="A301" t="s">
        <v>16</v>
      </c>
      <c r="C301">
        <v>52.049496900000001</v>
      </c>
      <c r="D301">
        <v>-0.5725654</v>
      </c>
      <c r="E301">
        <v>4</v>
      </c>
      <c r="F301">
        <v>4</v>
      </c>
      <c r="G301">
        <v>2022</v>
      </c>
      <c r="H301">
        <v>13</v>
      </c>
      <c r="I301">
        <v>55</v>
      </c>
      <c r="J301">
        <v>45.8</v>
      </c>
      <c r="K301">
        <v>43.86</v>
      </c>
      <c r="L301">
        <v>0</v>
      </c>
      <c r="M301">
        <v>31.658000000000001</v>
      </c>
      <c r="N301">
        <v>0.53600000000000003</v>
      </c>
      <c r="P301" s="1">
        <f t="shared" si="35"/>
        <v>8.7938888888888886</v>
      </c>
      <c r="Q301" s="3">
        <f t="shared" si="30"/>
        <v>1.2083333333333357</v>
      </c>
      <c r="R301" s="3">
        <f t="shared" si="31"/>
        <v>0.97222222222222143</v>
      </c>
      <c r="S301" s="3">
        <f t="shared" si="36"/>
        <v>0.75787878787878737</v>
      </c>
      <c r="U301" s="1">
        <f t="shared" si="32"/>
        <v>8.992070707070706</v>
      </c>
      <c r="V301" s="3">
        <f t="shared" si="33"/>
        <v>0.75787878787878959</v>
      </c>
      <c r="W301" s="3">
        <f t="shared" si="34"/>
        <v>0.72904499540863166</v>
      </c>
    </row>
    <row r="302" spans="1:23" x14ac:dyDescent="0.25">
      <c r="A302" t="s">
        <v>16</v>
      </c>
      <c r="C302">
        <v>52.049489800000003</v>
      </c>
      <c r="D302">
        <v>-0.57255809999999996</v>
      </c>
      <c r="E302">
        <v>4</v>
      </c>
      <c r="F302">
        <v>4</v>
      </c>
      <c r="G302">
        <v>2022</v>
      </c>
      <c r="H302">
        <v>13</v>
      </c>
      <c r="I302">
        <v>55</v>
      </c>
      <c r="J302">
        <v>45.9</v>
      </c>
      <c r="K302">
        <v>43.77</v>
      </c>
      <c r="L302">
        <v>0</v>
      </c>
      <c r="M302">
        <v>32.44</v>
      </c>
      <c r="N302">
        <v>0.51500000000000001</v>
      </c>
      <c r="P302" s="1">
        <f t="shared" si="35"/>
        <v>9.0111111111111093</v>
      </c>
      <c r="Q302" s="3">
        <f t="shared" si="30"/>
        <v>2.1722222222222065</v>
      </c>
      <c r="R302" s="3">
        <f t="shared" si="31"/>
        <v>0.91416666666666657</v>
      </c>
      <c r="S302" s="3">
        <f t="shared" si="36"/>
        <v>0.79787878787878763</v>
      </c>
      <c r="U302" s="1">
        <f t="shared" si="32"/>
        <v>9.0938131313131301</v>
      </c>
      <c r="V302" s="3">
        <f t="shared" si="33"/>
        <v>0.79787878787878874</v>
      </c>
      <c r="W302" s="3">
        <f t="shared" si="34"/>
        <v>0.76078282828282862</v>
      </c>
    </row>
    <row r="303" spans="1:23" x14ac:dyDescent="0.25">
      <c r="A303" t="s">
        <v>16</v>
      </c>
      <c r="C303">
        <v>52.049482599999997</v>
      </c>
      <c r="D303">
        <v>-0.57255129999999999</v>
      </c>
      <c r="E303">
        <v>4</v>
      </c>
      <c r="F303">
        <v>4</v>
      </c>
      <c r="G303">
        <v>2022</v>
      </c>
      <c r="H303">
        <v>13</v>
      </c>
      <c r="I303">
        <v>55</v>
      </c>
      <c r="J303">
        <v>46</v>
      </c>
      <c r="K303">
        <v>43.75</v>
      </c>
      <c r="L303">
        <v>0</v>
      </c>
      <c r="M303">
        <v>32.683999999999997</v>
      </c>
      <c r="N303">
        <v>0.53600000000000003</v>
      </c>
      <c r="P303" s="1">
        <f t="shared" si="35"/>
        <v>9.078888888888887</v>
      </c>
      <c r="Q303" s="3">
        <f t="shared" si="30"/>
        <v>0.67777777777777715</v>
      </c>
      <c r="R303" s="3">
        <f t="shared" si="31"/>
        <v>0.49194444444444585</v>
      </c>
      <c r="S303" s="3">
        <f t="shared" si="36"/>
        <v>0.81078282828282833</v>
      </c>
      <c r="U303" s="1">
        <f t="shared" si="32"/>
        <v>9.1933585858585847</v>
      </c>
      <c r="V303" s="3">
        <f t="shared" si="33"/>
        <v>0.81078282828283044</v>
      </c>
      <c r="W303" s="3">
        <f t="shared" si="34"/>
        <v>0.78380853994490418</v>
      </c>
    </row>
    <row r="304" spans="1:23" x14ac:dyDescent="0.25">
      <c r="A304" t="s">
        <v>16</v>
      </c>
      <c r="C304">
        <v>52.049475299999997</v>
      </c>
      <c r="D304">
        <v>-0.57254450000000001</v>
      </c>
      <c r="E304">
        <v>4</v>
      </c>
      <c r="F304">
        <v>4</v>
      </c>
      <c r="G304">
        <v>2022</v>
      </c>
      <c r="H304">
        <v>13</v>
      </c>
      <c r="I304">
        <v>55</v>
      </c>
      <c r="J304">
        <v>46.1</v>
      </c>
      <c r="K304">
        <v>43.73</v>
      </c>
      <c r="L304">
        <v>0</v>
      </c>
      <c r="M304">
        <v>33.340000000000003</v>
      </c>
      <c r="N304">
        <v>0.53600000000000003</v>
      </c>
      <c r="P304" s="1">
        <f t="shared" si="35"/>
        <v>9.2611111111111111</v>
      </c>
      <c r="Q304" s="3">
        <f t="shared" si="30"/>
        <v>1.8222222222222406</v>
      </c>
      <c r="R304" s="3">
        <f t="shared" si="31"/>
        <v>0.49916666666666565</v>
      </c>
      <c r="S304" s="3">
        <f t="shared" si="36"/>
        <v>0.81133838383838419</v>
      </c>
      <c r="U304" s="1">
        <f t="shared" si="32"/>
        <v>9.2284595959595954</v>
      </c>
      <c r="V304" s="3">
        <f t="shared" si="33"/>
        <v>0.81133838383838608</v>
      </c>
      <c r="W304" s="3">
        <f t="shared" si="34"/>
        <v>0.80500688705234247</v>
      </c>
    </row>
    <row r="305" spans="1:23" x14ac:dyDescent="0.25">
      <c r="A305" t="s">
        <v>16</v>
      </c>
      <c r="C305">
        <v>52.049467700000001</v>
      </c>
      <c r="D305">
        <v>-0.57253790000000004</v>
      </c>
      <c r="E305">
        <v>4</v>
      </c>
      <c r="F305">
        <v>4</v>
      </c>
      <c r="G305">
        <v>2022</v>
      </c>
      <c r="H305">
        <v>13</v>
      </c>
      <c r="I305">
        <v>55</v>
      </c>
      <c r="J305">
        <v>46.2</v>
      </c>
      <c r="K305">
        <v>43.7</v>
      </c>
      <c r="L305">
        <v>0</v>
      </c>
      <c r="M305">
        <v>33.731999999999999</v>
      </c>
      <c r="N305">
        <v>0.54400000000000004</v>
      </c>
      <c r="P305" s="1">
        <f t="shared" si="35"/>
        <v>9.3699999999999992</v>
      </c>
      <c r="Q305" s="3">
        <f t="shared" si="30"/>
        <v>1.0888888888888815</v>
      </c>
      <c r="R305" s="3">
        <f t="shared" si="31"/>
        <v>0.66500000000000092</v>
      </c>
      <c r="S305" s="3">
        <f t="shared" si="36"/>
        <v>0.80696969696969734</v>
      </c>
      <c r="U305" s="1">
        <f t="shared" si="32"/>
        <v>9.2497474747474744</v>
      </c>
      <c r="V305" s="3">
        <f t="shared" si="33"/>
        <v>0.80696969696969845</v>
      </c>
      <c r="W305" s="3">
        <f t="shared" si="34"/>
        <v>0.83063820018365597</v>
      </c>
    </row>
    <row r="306" spans="1:23" x14ac:dyDescent="0.25">
      <c r="A306" t="s">
        <v>16</v>
      </c>
      <c r="C306">
        <v>52.049460099999997</v>
      </c>
      <c r="D306">
        <v>-0.57253189999999998</v>
      </c>
      <c r="E306">
        <v>4</v>
      </c>
      <c r="F306">
        <v>4</v>
      </c>
      <c r="G306">
        <v>2022</v>
      </c>
      <c r="H306">
        <v>13</v>
      </c>
      <c r="I306">
        <v>55</v>
      </c>
      <c r="J306">
        <v>46.3</v>
      </c>
      <c r="K306">
        <v>43.7</v>
      </c>
      <c r="L306">
        <v>0</v>
      </c>
      <c r="M306">
        <v>33.771999999999998</v>
      </c>
      <c r="N306">
        <v>0.55100000000000005</v>
      </c>
      <c r="P306" s="1">
        <f t="shared" si="35"/>
        <v>9.3811111111111103</v>
      </c>
      <c r="Q306" s="3">
        <f t="shared" si="30"/>
        <v>0.11111111111111072</v>
      </c>
      <c r="R306" s="3">
        <f t="shared" si="31"/>
        <v>0.8711111111111105</v>
      </c>
      <c r="S306" s="3">
        <f t="shared" si="36"/>
        <v>0.81487373737373792</v>
      </c>
      <c r="U306" s="1">
        <f t="shared" si="32"/>
        <v>9.3399242424242441</v>
      </c>
      <c r="V306" s="3">
        <f t="shared" si="33"/>
        <v>0.81487373737373758</v>
      </c>
      <c r="W306" s="3">
        <f t="shared" si="34"/>
        <v>0.85602846648301312</v>
      </c>
    </row>
    <row r="307" spans="1:23" x14ac:dyDescent="0.25">
      <c r="A307" t="s">
        <v>16</v>
      </c>
      <c r="C307">
        <v>52.049452299999999</v>
      </c>
      <c r="D307">
        <v>-0.57252590000000003</v>
      </c>
      <c r="E307">
        <v>4</v>
      </c>
      <c r="F307">
        <v>4</v>
      </c>
      <c r="G307">
        <v>2022</v>
      </c>
      <c r="H307">
        <v>13</v>
      </c>
      <c r="I307">
        <v>55</v>
      </c>
      <c r="J307">
        <v>46.4</v>
      </c>
      <c r="K307">
        <v>43.69</v>
      </c>
      <c r="L307">
        <v>0</v>
      </c>
      <c r="M307">
        <v>34.301000000000002</v>
      </c>
      <c r="N307">
        <v>0.54</v>
      </c>
      <c r="P307" s="1">
        <f t="shared" si="35"/>
        <v>9.5280555555555555</v>
      </c>
      <c r="Q307" s="3">
        <f t="shared" si="30"/>
        <v>1.4694444444444521</v>
      </c>
      <c r="R307" s="3">
        <f t="shared" si="31"/>
        <v>0.87083333333333535</v>
      </c>
      <c r="S307" s="3">
        <f t="shared" si="36"/>
        <v>0.84974747474747536</v>
      </c>
      <c r="U307" s="1">
        <f t="shared" si="32"/>
        <v>9.438838383838382</v>
      </c>
      <c r="V307" s="3">
        <f t="shared" si="33"/>
        <v>0.84974747474747758</v>
      </c>
      <c r="W307" s="3">
        <f t="shared" si="34"/>
        <v>0.8731290174472004</v>
      </c>
    </row>
    <row r="308" spans="1:23" x14ac:dyDescent="0.25">
      <c r="A308" t="s">
        <v>16</v>
      </c>
      <c r="C308">
        <v>52.049444100000002</v>
      </c>
      <c r="D308">
        <v>-0.57251969999999996</v>
      </c>
      <c r="E308">
        <v>4</v>
      </c>
      <c r="F308">
        <v>4</v>
      </c>
      <c r="G308">
        <v>2022</v>
      </c>
      <c r="H308">
        <v>13</v>
      </c>
      <c r="I308">
        <v>55</v>
      </c>
      <c r="J308">
        <v>46.5</v>
      </c>
      <c r="K308">
        <v>43.64</v>
      </c>
      <c r="L308">
        <v>0</v>
      </c>
      <c r="M308">
        <v>34.951999999999998</v>
      </c>
      <c r="N308">
        <v>0.53600000000000003</v>
      </c>
      <c r="P308" s="1">
        <f t="shared" si="35"/>
        <v>9.7088888888888896</v>
      </c>
      <c r="Q308" s="3">
        <f t="shared" si="30"/>
        <v>1.8083333333333407</v>
      </c>
      <c r="R308" s="3">
        <f t="shared" si="31"/>
        <v>0.88416666666666899</v>
      </c>
      <c r="S308" s="3">
        <f t="shared" si="36"/>
        <v>0.87292929292929344</v>
      </c>
      <c r="U308" s="1">
        <f t="shared" si="32"/>
        <v>9.5253787878787879</v>
      </c>
      <c r="V308" s="3">
        <f t="shared" si="33"/>
        <v>0.87292929292929244</v>
      </c>
      <c r="W308" s="3">
        <f t="shared" si="34"/>
        <v>0.88220615243342626</v>
      </c>
    </row>
    <row r="309" spans="1:23" x14ac:dyDescent="0.25">
      <c r="A309" t="s">
        <v>16</v>
      </c>
      <c r="C309">
        <v>52.049436399999998</v>
      </c>
      <c r="D309">
        <v>-0.57251359999999996</v>
      </c>
      <c r="E309">
        <v>4</v>
      </c>
      <c r="F309">
        <v>4</v>
      </c>
      <c r="G309">
        <v>2022</v>
      </c>
      <c r="H309">
        <v>13</v>
      </c>
      <c r="I309">
        <v>55</v>
      </c>
      <c r="J309">
        <v>46.6</v>
      </c>
      <c r="K309">
        <v>43.62</v>
      </c>
      <c r="L309">
        <v>0</v>
      </c>
      <c r="M309">
        <v>34.570999999999998</v>
      </c>
      <c r="N309">
        <v>0.52200000000000002</v>
      </c>
      <c r="P309" s="1">
        <f t="shared" si="35"/>
        <v>9.6030555555555548</v>
      </c>
      <c r="Q309" s="3">
        <f t="shared" si="30"/>
        <v>-1.0583333333333478</v>
      </c>
      <c r="R309" s="3">
        <f t="shared" si="31"/>
        <v>0.87194444444444485</v>
      </c>
      <c r="S309" s="3">
        <f t="shared" si="36"/>
        <v>0.92429292929292972</v>
      </c>
      <c r="U309" s="1">
        <f t="shared" si="32"/>
        <v>9.6212121212121229</v>
      </c>
      <c r="V309" s="3">
        <f t="shared" si="33"/>
        <v>0.92429292929293005</v>
      </c>
      <c r="W309" s="3">
        <f t="shared" si="34"/>
        <v>0.88349632690541857</v>
      </c>
    </row>
    <row r="310" spans="1:23" x14ac:dyDescent="0.25">
      <c r="A310" t="s">
        <v>16</v>
      </c>
      <c r="C310">
        <v>52.049428499999998</v>
      </c>
      <c r="D310">
        <v>-0.57250809999999996</v>
      </c>
      <c r="E310">
        <v>4</v>
      </c>
      <c r="F310">
        <v>4</v>
      </c>
      <c r="G310">
        <v>2022</v>
      </c>
      <c r="H310">
        <v>13</v>
      </c>
      <c r="I310">
        <v>55</v>
      </c>
      <c r="J310">
        <v>46.7</v>
      </c>
      <c r="K310">
        <v>43.54</v>
      </c>
      <c r="L310">
        <v>0</v>
      </c>
      <c r="M310">
        <v>33.616999999999997</v>
      </c>
      <c r="N310">
        <v>0.504</v>
      </c>
      <c r="P310" s="1">
        <f t="shared" si="35"/>
        <v>9.338055555555556</v>
      </c>
      <c r="Q310" s="3">
        <f t="shared" si="30"/>
        <v>-2.6499999999999879</v>
      </c>
      <c r="R310" s="3">
        <f t="shared" si="31"/>
        <v>0.85805555555555557</v>
      </c>
      <c r="S310" s="3">
        <f t="shared" si="36"/>
        <v>0.98199494949495003</v>
      </c>
      <c r="U310" s="1">
        <f t="shared" si="32"/>
        <v>9.7091161616161621</v>
      </c>
      <c r="V310" s="3">
        <f t="shared" si="33"/>
        <v>0.98199494949495048</v>
      </c>
      <c r="W310" s="3">
        <f t="shared" si="34"/>
        <v>0.87836317722681412</v>
      </c>
    </row>
    <row r="311" spans="1:23" x14ac:dyDescent="0.25">
      <c r="A311" t="s">
        <v>16</v>
      </c>
      <c r="C311">
        <v>52.049420300000001</v>
      </c>
      <c r="D311">
        <v>-0.57250230000000002</v>
      </c>
      <c r="E311">
        <v>4</v>
      </c>
      <c r="F311">
        <v>4</v>
      </c>
      <c r="G311">
        <v>2022</v>
      </c>
      <c r="H311">
        <v>13</v>
      </c>
      <c r="I311">
        <v>55</v>
      </c>
      <c r="J311">
        <v>46.8</v>
      </c>
      <c r="K311">
        <v>43.47</v>
      </c>
      <c r="L311">
        <v>0</v>
      </c>
      <c r="M311">
        <v>34.793999999999997</v>
      </c>
      <c r="N311">
        <v>0.47899999999999998</v>
      </c>
      <c r="P311" s="1">
        <f t="shared" si="35"/>
        <v>9.6649999999999991</v>
      </c>
      <c r="Q311" s="3">
        <f t="shared" si="30"/>
        <v>3.2694444444444315</v>
      </c>
      <c r="R311" s="3">
        <f t="shared" si="31"/>
        <v>1.0650000000000013</v>
      </c>
      <c r="S311" s="3">
        <f t="shared" si="36"/>
        <v>0.98762626262626307</v>
      </c>
      <c r="U311" s="1">
        <f t="shared" si="32"/>
        <v>9.8069444444444436</v>
      </c>
      <c r="V311" s="3">
        <f t="shared" si="33"/>
        <v>0.98762626262626263</v>
      </c>
      <c r="W311" s="3">
        <f t="shared" si="34"/>
        <v>0.86764233241506017</v>
      </c>
    </row>
    <row r="312" spans="1:23" x14ac:dyDescent="0.25">
      <c r="A312" t="s">
        <v>16</v>
      </c>
      <c r="C312">
        <v>52.049412099999998</v>
      </c>
      <c r="D312">
        <v>-0.57249620000000001</v>
      </c>
      <c r="E312">
        <v>4</v>
      </c>
      <c r="F312">
        <v>4</v>
      </c>
      <c r="G312">
        <v>2022</v>
      </c>
      <c r="H312">
        <v>13</v>
      </c>
      <c r="I312">
        <v>55</v>
      </c>
      <c r="J312">
        <v>46.9</v>
      </c>
      <c r="K312">
        <v>43.45</v>
      </c>
      <c r="L312">
        <v>0</v>
      </c>
      <c r="M312">
        <v>35.575000000000003</v>
      </c>
      <c r="N312">
        <v>0.48199999999999998</v>
      </c>
      <c r="P312" s="1">
        <f t="shared" si="35"/>
        <v>9.8819444444444446</v>
      </c>
      <c r="Q312" s="3">
        <f t="shared" si="30"/>
        <v>2.1694444444444549</v>
      </c>
      <c r="R312" s="3">
        <f t="shared" si="31"/>
        <v>1.355833333333333</v>
      </c>
      <c r="S312" s="3">
        <f t="shared" si="36"/>
        <v>0.94598484848484898</v>
      </c>
      <c r="U312" s="1">
        <f t="shared" si="32"/>
        <v>9.9435606060606077</v>
      </c>
      <c r="V312" s="3">
        <f t="shared" si="33"/>
        <v>0.94598484848484965</v>
      </c>
      <c r="W312" s="3">
        <f t="shared" si="34"/>
        <v>0.84564279155188293</v>
      </c>
    </row>
    <row r="313" spans="1:23" x14ac:dyDescent="0.25">
      <c r="A313" t="s">
        <v>16</v>
      </c>
      <c r="C313">
        <v>52.0494038</v>
      </c>
      <c r="D313">
        <v>-0.57249030000000001</v>
      </c>
      <c r="E313">
        <v>4</v>
      </c>
      <c r="F313">
        <v>4</v>
      </c>
      <c r="G313">
        <v>2022</v>
      </c>
      <c r="H313">
        <v>13</v>
      </c>
      <c r="I313">
        <v>55</v>
      </c>
      <c r="J313">
        <v>47</v>
      </c>
      <c r="K313">
        <v>43.4</v>
      </c>
      <c r="L313">
        <v>0</v>
      </c>
      <c r="M313">
        <v>35.866999999999997</v>
      </c>
      <c r="N313">
        <v>0.47899999999999998</v>
      </c>
      <c r="P313" s="1">
        <f t="shared" si="35"/>
        <v>9.963055555555556</v>
      </c>
      <c r="Q313" s="3">
        <f t="shared" si="30"/>
        <v>0.81111111111111356</v>
      </c>
      <c r="R313" s="3">
        <f t="shared" si="31"/>
        <v>1.1691666666666656</v>
      </c>
      <c r="S313" s="3">
        <f t="shared" si="36"/>
        <v>0.89772727272727304</v>
      </c>
      <c r="U313" s="1">
        <f t="shared" si="32"/>
        <v>10.066287878787877</v>
      </c>
      <c r="V313" s="3">
        <f t="shared" si="33"/>
        <v>0.89772727272727337</v>
      </c>
      <c r="W313" s="3">
        <f t="shared" si="34"/>
        <v>0.80873048668503233</v>
      </c>
    </row>
    <row r="314" spans="1:23" x14ac:dyDescent="0.25">
      <c r="A314" t="s">
        <v>16</v>
      </c>
      <c r="C314">
        <v>52.049395400000002</v>
      </c>
      <c r="D314">
        <v>-0.57248469999999996</v>
      </c>
      <c r="E314">
        <v>4</v>
      </c>
      <c r="F314">
        <v>4</v>
      </c>
      <c r="G314">
        <v>2022</v>
      </c>
      <c r="H314">
        <v>13</v>
      </c>
      <c r="I314">
        <v>55</v>
      </c>
      <c r="J314">
        <v>47.1</v>
      </c>
      <c r="K314">
        <v>43.42</v>
      </c>
      <c r="L314">
        <v>0</v>
      </c>
      <c r="M314">
        <v>36.478999999999999</v>
      </c>
      <c r="N314">
        <v>0.48599999999999999</v>
      </c>
      <c r="P314" s="1">
        <f t="shared" si="35"/>
        <v>10.133055555555556</v>
      </c>
      <c r="Q314" s="3">
        <f t="shared" si="30"/>
        <v>1.6999999999999993</v>
      </c>
      <c r="R314" s="3">
        <f t="shared" si="31"/>
        <v>1.0569444444444454</v>
      </c>
      <c r="S314" s="3">
        <f t="shared" si="36"/>
        <v>0.82497474747474753</v>
      </c>
      <c r="U314" s="1">
        <f t="shared" si="32"/>
        <v>10.152752525252525</v>
      </c>
      <c r="V314" s="3">
        <f t="shared" si="33"/>
        <v>0.8249747474747462</v>
      </c>
      <c r="W314" s="3">
        <f t="shared" si="34"/>
        <v>0.76178374655647396</v>
      </c>
    </row>
    <row r="315" spans="1:23" x14ac:dyDescent="0.25">
      <c r="A315" t="s">
        <v>16</v>
      </c>
      <c r="C315">
        <v>52.049386900000002</v>
      </c>
      <c r="D315">
        <v>-0.57247930000000002</v>
      </c>
      <c r="E315">
        <v>4</v>
      </c>
      <c r="F315">
        <v>4</v>
      </c>
      <c r="G315">
        <v>2022</v>
      </c>
      <c r="H315">
        <v>13</v>
      </c>
      <c r="I315">
        <v>55</v>
      </c>
      <c r="J315">
        <v>47.2</v>
      </c>
      <c r="K315">
        <v>43.43</v>
      </c>
      <c r="L315">
        <v>0</v>
      </c>
      <c r="M315">
        <v>36.820999999999998</v>
      </c>
      <c r="N315">
        <v>0.49299999999999999</v>
      </c>
      <c r="P315" s="1">
        <f t="shared" si="35"/>
        <v>10.228055555555555</v>
      </c>
      <c r="Q315" s="3">
        <f t="shared" si="30"/>
        <v>0.94999999999998863</v>
      </c>
      <c r="R315" s="3">
        <f t="shared" si="31"/>
        <v>1.1338888888888885</v>
      </c>
      <c r="S315" s="3">
        <f t="shared" si="36"/>
        <v>0.75487373737373742</v>
      </c>
      <c r="U315" s="1">
        <f t="shared" si="32"/>
        <v>10.231742424242425</v>
      </c>
      <c r="V315" s="3">
        <f t="shared" si="33"/>
        <v>0.75487373737373709</v>
      </c>
      <c r="W315" s="3">
        <f t="shared" si="34"/>
        <v>0.70375573921028467</v>
      </c>
    </row>
    <row r="316" spans="1:23" x14ac:dyDescent="0.25">
      <c r="A316" t="s">
        <v>16</v>
      </c>
      <c r="C316">
        <v>52.049378300000001</v>
      </c>
      <c r="D316">
        <v>-0.57247429999999999</v>
      </c>
      <c r="E316">
        <v>4</v>
      </c>
      <c r="F316">
        <v>4</v>
      </c>
      <c r="G316">
        <v>2022</v>
      </c>
      <c r="H316">
        <v>13</v>
      </c>
      <c r="I316">
        <v>55</v>
      </c>
      <c r="J316">
        <v>47.3</v>
      </c>
      <c r="K316">
        <v>43.51</v>
      </c>
      <c r="L316">
        <v>0</v>
      </c>
      <c r="M316">
        <v>37.606000000000002</v>
      </c>
      <c r="N316">
        <v>0.48599999999999999</v>
      </c>
      <c r="P316" s="1">
        <f t="shared" si="35"/>
        <v>10.446111111111112</v>
      </c>
      <c r="Q316" s="3">
        <f t="shared" si="30"/>
        <v>2.1805555555555678</v>
      </c>
      <c r="R316" s="3">
        <f t="shared" si="31"/>
        <v>0.72694444444444528</v>
      </c>
      <c r="S316" s="3">
        <f t="shared" si="36"/>
        <v>0.68904040404040401</v>
      </c>
      <c r="U316" s="1">
        <f t="shared" si="32"/>
        <v>10.327550505050507</v>
      </c>
      <c r="V316" s="3">
        <f t="shared" si="33"/>
        <v>0.68904040404040501</v>
      </c>
      <c r="W316" s="3">
        <f t="shared" si="34"/>
        <v>0.63395546372819078</v>
      </c>
    </row>
    <row r="317" spans="1:23" x14ac:dyDescent="0.25">
      <c r="A317" t="s">
        <v>16</v>
      </c>
      <c r="C317">
        <v>52.049369499999997</v>
      </c>
      <c r="D317">
        <v>-0.57246850000000005</v>
      </c>
      <c r="E317">
        <v>4</v>
      </c>
      <c r="F317">
        <v>4</v>
      </c>
      <c r="G317">
        <v>2022</v>
      </c>
      <c r="H317">
        <v>13</v>
      </c>
      <c r="I317">
        <v>55</v>
      </c>
      <c r="J317">
        <v>47.4</v>
      </c>
      <c r="K317">
        <v>43.62</v>
      </c>
      <c r="L317">
        <v>0</v>
      </c>
      <c r="M317">
        <v>39.182000000000002</v>
      </c>
      <c r="N317">
        <v>0.49</v>
      </c>
      <c r="P317" s="1">
        <f t="shared" si="35"/>
        <v>10.883888888888889</v>
      </c>
      <c r="Q317" s="3">
        <f t="shared" si="30"/>
        <v>4.3777777777777693</v>
      </c>
      <c r="R317" s="3">
        <f t="shared" si="31"/>
        <v>0.41305555555555529</v>
      </c>
      <c r="S317" s="3">
        <f t="shared" si="36"/>
        <v>0.57287878787878777</v>
      </c>
      <c r="U317" s="1">
        <f t="shared" si="32"/>
        <v>10.384823232323232</v>
      </c>
      <c r="V317" s="3">
        <f t="shared" si="33"/>
        <v>0.57287878787878732</v>
      </c>
      <c r="W317" s="3">
        <f t="shared" si="34"/>
        <v>0.56365932047750222</v>
      </c>
    </row>
    <row r="318" spans="1:23" x14ac:dyDescent="0.25">
      <c r="A318" t="s">
        <v>16</v>
      </c>
      <c r="C318">
        <v>52.0493606</v>
      </c>
      <c r="D318">
        <v>-0.57246269999999999</v>
      </c>
      <c r="E318">
        <v>4</v>
      </c>
      <c r="F318">
        <v>4</v>
      </c>
      <c r="G318">
        <v>2022</v>
      </c>
      <c r="H318">
        <v>13</v>
      </c>
      <c r="I318">
        <v>55</v>
      </c>
      <c r="J318">
        <v>47.5</v>
      </c>
      <c r="K318">
        <v>43.65</v>
      </c>
      <c r="L318">
        <v>0</v>
      </c>
      <c r="M318">
        <v>39.161000000000001</v>
      </c>
      <c r="N318">
        <v>0.51800000000000002</v>
      </c>
      <c r="P318" s="1">
        <f t="shared" si="35"/>
        <v>10.878055555555555</v>
      </c>
      <c r="Q318" s="3">
        <f t="shared" si="30"/>
        <v>-5.833333333333357E-2</v>
      </c>
      <c r="R318" s="3">
        <f t="shared" si="31"/>
        <v>0.33999999999999986</v>
      </c>
      <c r="S318" s="3">
        <f t="shared" si="36"/>
        <v>0.44371212121212122</v>
      </c>
      <c r="U318" s="1">
        <f t="shared" si="32"/>
        <v>10.423106060606061</v>
      </c>
      <c r="V318" s="3">
        <f t="shared" si="33"/>
        <v>0.44371212121212089</v>
      </c>
      <c r="W318" s="3">
        <f t="shared" si="34"/>
        <v>0.50024793388429734</v>
      </c>
    </row>
    <row r="319" spans="1:23" x14ac:dyDescent="0.25">
      <c r="A319" t="s">
        <v>16</v>
      </c>
      <c r="C319">
        <v>52.049351799999997</v>
      </c>
      <c r="D319">
        <v>-0.57245690000000005</v>
      </c>
      <c r="E319">
        <v>4</v>
      </c>
      <c r="F319">
        <v>4</v>
      </c>
      <c r="G319">
        <v>2022</v>
      </c>
      <c r="H319">
        <v>13</v>
      </c>
      <c r="I319">
        <v>55</v>
      </c>
      <c r="J319">
        <v>47.6</v>
      </c>
      <c r="K319">
        <v>43.65</v>
      </c>
      <c r="L319">
        <v>0</v>
      </c>
      <c r="M319">
        <v>38.375999999999998</v>
      </c>
      <c r="N319">
        <v>0.52200000000000002</v>
      </c>
      <c r="P319" s="1">
        <f t="shared" si="35"/>
        <v>10.66</v>
      </c>
      <c r="Q319" s="3">
        <f t="shared" si="30"/>
        <v>-2.18055555555555</v>
      </c>
      <c r="R319" s="3">
        <f t="shared" si="31"/>
        <v>8.3888888888887791E-2</v>
      </c>
      <c r="S319" s="3">
        <f t="shared" si="36"/>
        <v>0.35651515151515151</v>
      </c>
      <c r="U319" s="1">
        <f t="shared" si="32"/>
        <v>10.446186868686869</v>
      </c>
      <c r="V319" s="3">
        <f t="shared" si="33"/>
        <v>0.35651515151515056</v>
      </c>
      <c r="W319" s="3">
        <f t="shared" si="34"/>
        <v>0.44462121212121181</v>
      </c>
    </row>
    <row r="320" spans="1:23" x14ac:dyDescent="0.25">
      <c r="A320" t="s">
        <v>16</v>
      </c>
      <c r="C320">
        <v>52.049343200000003</v>
      </c>
      <c r="D320">
        <v>-0.57245120000000005</v>
      </c>
      <c r="E320">
        <v>4</v>
      </c>
      <c r="F320">
        <v>4</v>
      </c>
      <c r="G320">
        <v>2022</v>
      </c>
      <c r="H320">
        <v>13</v>
      </c>
      <c r="I320">
        <v>55</v>
      </c>
      <c r="J320">
        <v>47.7</v>
      </c>
      <c r="K320">
        <v>43.66</v>
      </c>
      <c r="L320">
        <v>0</v>
      </c>
      <c r="M320">
        <v>37.698999999999998</v>
      </c>
      <c r="N320">
        <v>0.52200000000000002</v>
      </c>
      <c r="P320" s="1">
        <f t="shared" si="35"/>
        <v>10.471944444444444</v>
      </c>
      <c r="Q320" s="3">
        <f t="shared" si="30"/>
        <v>-1.8805555555555564</v>
      </c>
      <c r="R320" s="3">
        <f t="shared" si="31"/>
        <v>0.100833333333334</v>
      </c>
      <c r="S320" s="3">
        <f t="shared" si="36"/>
        <v>0.2859848484848484</v>
      </c>
      <c r="U320" s="1">
        <f t="shared" si="32"/>
        <v>10.463989898989899</v>
      </c>
      <c r="V320" s="3">
        <f t="shared" si="33"/>
        <v>0.28598484848484773</v>
      </c>
      <c r="W320" s="3">
        <f t="shared" si="34"/>
        <v>0.40115472910927447</v>
      </c>
    </row>
    <row r="321" spans="1:23" x14ac:dyDescent="0.25">
      <c r="A321" t="s">
        <v>16</v>
      </c>
      <c r="C321">
        <v>52.049334500000001</v>
      </c>
      <c r="D321">
        <v>-0.57244550000000005</v>
      </c>
      <c r="E321">
        <v>4</v>
      </c>
      <c r="F321">
        <v>4</v>
      </c>
      <c r="G321">
        <v>2022</v>
      </c>
      <c r="H321">
        <v>13</v>
      </c>
      <c r="I321">
        <v>55</v>
      </c>
      <c r="J321">
        <v>47.8</v>
      </c>
      <c r="K321">
        <v>43.63</v>
      </c>
      <c r="L321">
        <v>0</v>
      </c>
      <c r="M321">
        <v>37.411000000000001</v>
      </c>
      <c r="N321">
        <v>0.52200000000000002</v>
      </c>
      <c r="P321" s="1">
        <f t="shared" si="35"/>
        <v>10.391944444444444</v>
      </c>
      <c r="Q321" s="3">
        <f t="shared" si="30"/>
        <v>-0.80000000000000071</v>
      </c>
      <c r="R321" s="3">
        <f t="shared" si="31"/>
        <v>0.1338888888888885</v>
      </c>
      <c r="S321" s="3">
        <f t="shared" si="36"/>
        <v>0.21419191919191907</v>
      </c>
      <c r="U321" s="1">
        <f t="shared" si="32"/>
        <v>10.495984848484849</v>
      </c>
      <c r="V321" s="3">
        <f t="shared" si="33"/>
        <v>0.2141919191919186</v>
      </c>
      <c r="W321" s="3">
        <f t="shared" si="34"/>
        <v>0.368558310376492</v>
      </c>
    </row>
    <row r="322" spans="1:23" x14ac:dyDescent="0.25">
      <c r="A322" t="s">
        <v>16</v>
      </c>
      <c r="C322">
        <v>52.049325799999998</v>
      </c>
      <c r="D322">
        <v>-0.5724397</v>
      </c>
      <c r="E322">
        <v>4</v>
      </c>
      <c r="F322">
        <v>4</v>
      </c>
      <c r="G322">
        <v>2022</v>
      </c>
      <c r="H322">
        <v>13</v>
      </c>
      <c r="I322">
        <v>55</v>
      </c>
      <c r="J322">
        <v>47.9</v>
      </c>
      <c r="K322">
        <v>43.59</v>
      </c>
      <c r="L322">
        <v>0</v>
      </c>
      <c r="M322">
        <v>37.061999999999998</v>
      </c>
      <c r="N322">
        <v>0.51800000000000002</v>
      </c>
      <c r="P322" s="1">
        <f t="shared" si="35"/>
        <v>10.295</v>
      </c>
      <c r="Q322" s="3">
        <f t="shared" si="30"/>
        <v>-0.969444444444445</v>
      </c>
      <c r="R322" s="3">
        <f t="shared" si="31"/>
        <v>-0.21277777777777729</v>
      </c>
      <c r="S322" s="3">
        <f t="shared" si="36"/>
        <v>0.21436868686868671</v>
      </c>
      <c r="U322" s="1">
        <f t="shared" si="32"/>
        <v>10.516439393939395</v>
      </c>
      <c r="V322" s="3">
        <f t="shared" si="33"/>
        <v>0.21436868686868848</v>
      </c>
      <c r="W322" s="3">
        <f t="shared" si="34"/>
        <v>0.34627640036730917</v>
      </c>
    </row>
    <row r="323" spans="1:23" x14ac:dyDescent="0.25">
      <c r="A323" t="s">
        <v>16</v>
      </c>
      <c r="C323">
        <v>52.049317100000003</v>
      </c>
      <c r="D323">
        <v>-0.5724342</v>
      </c>
      <c r="E323">
        <v>4</v>
      </c>
      <c r="F323">
        <v>4</v>
      </c>
      <c r="G323">
        <v>2022</v>
      </c>
      <c r="H323">
        <v>13</v>
      </c>
      <c r="I323">
        <v>55</v>
      </c>
      <c r="J323">
        <v>48</v>
      </c>
      <c r="K323">
        <v>43.57</v>
      </c>
      <c r="L323">
        <v>0</v>
      </c>
      <c r="M323">
        <v>37.091000000000001</v>
      </c>
      <c r="N323">
        <v>0.51100000000000001</v>
      </c>
      <c r="P323" s="1">
        <f t="shared" si="35"/>
        <v>10.303055555555556</v>
      </c>
      <c r="Q323" s="3">
        <f t="shared" si="30"/>
        <v>8.0555555555559266E-2</v>
      </c>
      <c r="R323" s="3">
        <f t="shared" si="31"/>
        <v>-6.4999999999999503E-2</v>
      </c>
      <c r="S323" s="3">
        <f t="shared" si="36"/>
        <v>0.2484595959595958</v>
      </c>
      <c r="U323" s="1">
        <f t="shared" si="32"/>
        <v>10.509999999999998</v>
      </c>
      <c r="V323" s="3">
        <f t="shared" si="33"/>
        <v>0.24845959595959499</v>
      </c>
      <c r="W323" s="3">
        <f t="shared" si="34"/>
        <v>0.3418755739210283</v>
      </c>
    </row>
    <row r="324" spans="1:23" x14ac:dyDescent="0.25">
      <c r="A324" t="s">
        <v>16</v>
      </c>
      <c r="C324">
        <v>52.0493083</v>
      </c>
      <c r="D324">
        <v>-0.57242919999999997</v>
      </c>
      <c r="E324">
        <v>4</v>
      </c>
      <c r="F324">
        <v>4</v>
      </c>
      <c r="G324">
        <v>2022</v>
      </c>
      <c r="H324">
        <v>13</v>
      </c>
      <c r="I324">
        <v>55</v>
      </c>
      <c r="J324">
        <v>48.1</v>
      </c>
      <c r="K324">
        <v>43.52</v>
      </c>
      <c r="L324">
        <v>0</v>
      </c>
      <c r="M324">
        <v>36.780999999999999</v>
      </c>
      <c r="N324">
        <v>0.51500000000000001</v>
      </c>
      <c r="P324" s="1">
        <f t="shared" si="35"/>
        <v>10.216944444444444</v>
      </c>
      <c r="Q324" s="3">
        <f t="shared" si="30"/>
        <v>-0.86111111111112137</v>
      </c>
      <c r="R324" s="3">
        <f t="shared" si="31"/>
        <v>0.20999999999999908</v>
      </c>
      <c r="S324" s="3">
        <f t="shared" si="36"/>
        <v>0.28583333333333322</v>
      </c>
      <c r="U324" s="1">
        <f t="shared" si="32"/>
        <v>10.509267676767676</v>
      </c>
      <c r="V324" s="3">
        <f t="shared" si="33"/>
        <v>0.28583333333333272</v>
      </c>
      <c r="W324" s="3">
        <f t="shared" si="34"/>
        <v>0.35475436179981623</v>
      </c>
    </row>
    <row r="325" spans="1:23" x14ac:dyDescent="0.25">
      <c r="A325" t="s">
        <v>16</v>
      </c>
      <c r="C325">
        <v>52.049299400000002</v>
      </c>
      <c r="D325">
        <v>-0.57242400000000004</v>
      </c>
      <c r="E325">
        <v>4</v>
      </c>
      <c r="F325">
        <v>4</v>
      </c>
      <c r="G325">
        <v>2022</v>
      </c>
      <c r="H325">
        <v>13</v>
      </c>
      <c r="I325">
        <v>55</v>
      </c>
      <c r="J325">
        <v>48.2</v>
      </c>
      <c r="K325">
        <v>43.47</v>
      </c>
      <c r="L325">
        <v>0</v>
      </c>
      <c r="M325">
        <v>37.183999999999997</v>
      </c>
      <c r="N325">
        <v>0.49299999999999999</v>
      </c>
      <c r="P325" s="1">
        <f t="shared" si="35"/>
        <v>10.328888888888889</v>
      </c>
      <c r="Q325" s="3">
        <f t="shared" ref="Q325:Q388" si="37">10*($P325-$P324)</f>
        <v>1.1194444444444507</v>
      </c>
      <c r="R325" s="3">
        <f t="shared" si="31"/>
        <v>0.28111111111111065</v>
      </c>
      <c r="S325" s="3">
        <f t="shared" si="36"/>
        <v>0.3468434343434344</v>
      </c>
      <c r="U325" s="1">
        <f t="shared" si="32"/>
        <v>10.517727272727273</v>
      </c>
      <c r="V325" s="3">
        <f t="shared" si="33"/>
        <v>0.34684343434343567</v>
      </c>
      <c r="W325" s="3">
        <f t="shared" si="34"/>
        <v>0.38136134067952249</v>
      </c>
    </row>
    <row r="326" spans="1:23" x14ac:dyDescent="0.25">
      <c r="A326" t="s">
        <v>16</v>
      </c>
      <c r="C326">
        <v>52.049290399999997</v>
      </c>
      <c r="D326">
        <v>-0.57241889999999995</v>
      </c>
      <c r="E326">
        <v>4</v>
      </c>
      <c r="F326">
        <v>4</v>
      </c>
      <c r="G326">
        <v>2022</v>
      </c>
      <c r="H326">
        <v>13</v>
      </c>
      <c r="I326">
        <v>55</v>
      </c>
      <c r="J326">
        <v>48.3</v>
      </c>
      <c r="K326">
        <v>43.48</v>
      </c>
      <c r="L326">
        <v>0</v>
      </c>
      <c r="M326">
        <v>38.088000000000001</v>
      </c>
      <c r="N326">
        <v>0.49299999999999999</v>
      </c>
      <c r="P326" s="1">
        <f t="shared" si="35"/>
        <v>10.58</v>
      </c>
      <c r="Q326" s="3">
        <f t="shared" si="37"/>
        <v>2.5111111111111128</v>
      </c>
      <c r="R326" s="3">
        <f t="shared" si="31"/>
        <v>0.34416666666666629</v>
      </c>
      <c r="S326" s="3">
        <f t="shared" si="36"/>
        <v>0.39631313131313123</v>
      </c>
      <c r="U326" s="1">
        <f t="shared" si="32"/>
        <v>10.541742424242425</v>
      </c>
      <c r="V326" s="3">
        <f t="shared" si="33"/>
        <v>0.39631313131313028</v>
      </c>
      <c r="W326" s="3">
        <f t="shared" si="34"/>
        <v>0.42014692378328727</v>
      </c>
    </row>
    <row r="327" spans="1:23" x14ac:dyDescent="0.25">
      <c r="A327" t="s">
        <v>16</v>
      </c>
      <c r="C327">
        <v>52.049281299999997</v>
      </c>
      <c r="D327">
        <v>-0.57241379999999997</v>
      </c>
      <c r="E327">
        <v>4</v>
      </c>
      <c r="F327">
        <v>4</v>
      </c>
      <c r="G327">
        <v>2022</v>
      </c>
      <c r="H327">
        <v>13</v>
      </c>
      <c r="I327">
        <v>55</v>
      </c>
      <c r="J327">
        <v>48.4</v>
      </c>
      <c r="K327">
        <v>43.47</v>
      </c>
      <c r="L327">
        <v>0</v>
      </c>
      <c r="M327">
        <v>38.415999999999997</v>
      </c>
      <c r="N327">
        <v>0.48599999999999999</v>
      </c>
      <c r="P327" s="1">
        <f t="shared" si="35"/>
        <v>10.671111111111111</v>
      </c>
      <c r="Q327" s="3">
        <f t="shared" si="37"/>
        <v>0.91111111111111143</v>
      </c>
      <c r="R327" s="3">
        <f t="shared" si="31"/>
        <v>0.72888888888888914</v>
      </c>
      <c r="S327" s="3">
        <f t="shared" si="36"/>
        <v>0.44393939393939391</v>
      </c>
      <c r="U327" s="1">
        <f t="shared" si="32"/>
        <v>10.59919191919192</v>
      </c>
      <c r="V327" s="3">
        <f t="shared" si="33"/>
        <v>0.44393939393939341</v>
      </c>
      <c r="W327" s="3">
        <f t="shared" si="34"/>
        <v>0.46813590449954084</v>
      </c>
    </row>
    <row r="328" spans="1:23" x14ac:dyDescent="0.25">
      <c r="A328" t="s">
        <v>16</v>
      </c>
      <c r="C328">
        <v>52.049272100000003</v>
      </c>
      <c r="D328">
        <v>-0.57240849999999999</v>
      </c>
      <c r="E328">
        <v>4</v>
      </c>
      <c r="F328">
        <v>4</v>
      </c>
      <c r="G328">
        <v>2022</v>
      </c>
      <c r="H328">
        <v>13</v>
      </c>
      <c r="I328">
        <v>55</v>
      </c>
      <c r="J328">
        <v>48.5</v>
      </c>
      <c r="K328">
        <v>43.45</v>
      </c>
      <c r="L328">
        <v>0</v>
      </c>
      <c r="M328">
        <v>38.927</v>
      </c>
      <c r="N328">
        <v>0.49</v>
      </c>
      <c r="P328" s="1">
        <f t="shared" si="35"/>
        <v>10.813055555555556</v>
      </c>
      <c r="Q328" s="3">
        <f t="shared" si="37"/>
        <v>1.4194444444444443</v>
      </c>
      <c r="R328" s="3">
        <f t="shared" si="31"/>
        <v>0.78805555555555529</v>
      </c>
      <c r="S328" s="3">
        <f t="shared" si="36"/>
        <v>0.52446969696969681</v>
      </c>
      <c r="U328" s="1">
        <f t="shared" si="32"/>
        <v>10.671565656565656</v>
      </c>
      <c r="V328" s="3">
        <f t="shared" si="33"/>
        <v>0.52446969696969781</v>
      </c>
      <c r="W328" s="3">
        <f t="shared" si="34"/>
        <v>0.51443067033976109</v>
      </c>
    </row>
    <row r="329" spans="1:23" x14ac:dyDescent="0.25">
      <c r="A329" t="s">
        <v>16</v>
      </c>
      <c r="C329">
        <v>52.049262800000001</v>
      </c>
      <c r="D329">
        <v>-0.57240329999999995</v>
      </c>
      <c r="E329">
        <v>4</v>
      </c>
      <c r="F329">
        <v>4</v>
      </c>
      <c r="G329">
        <v>2022</v>
      </c>
      <c r="H329">
        <v>13</v>
      </c>
      <c r="I329">
        <v>55</v>
      </c>
      <c r="J329">
        <v>48.6</v>
      </c>
      <c r="K329">
        <v>43.43</v>
      </c>
      <c r="L329">
        <v>0</v>
      </c>
      <c r="M329">
        <v>39.131999999999998</v>
      </c>
      <c r="N329">
        <v>0.48599999999999999</v>
      </c>
      <c r="P329" s="1">
        <f t="shared" si="35"/>
        <v>10.87</v>
      </c>
      <c r="Q329" s="3">
        <f t="shared" si="37"/>
        <v>0.56944444444443576</v>
      </c>
      <c r="R329" s="3">
        <f t="shared" ref="R329:R392" si="38">($P334-$P324)</f>
        <v>0.75111111111111128</v>
      </c>
      <c r="S329" s="3">
        <f t="shared" si="36"/>
        <v>0.58537878787878772</v>
      </c>
      <c r="U329" s="1">
        <f t="shared" ref="U329:U392" si="39">AVERAGE(P324:P334)</f>
        <v>10.732020202020202</v>
      </c>
      <c r="V329" s="3">
        <f t="shared" ref="V329:V392" si="40">($U334-$U324)</f>
        <v>0.58537878787878839</v>
      </c>
      <c r="W329" s="3">
        <f t="shared" si="34"/>
        <v>0.55658402203856749</v>
      </c>
    </row>
    <row r="330" spans="1:23" x14ac:dyDescent="0.25">
      <c r="A330" t="s">
        <v>16</v>
      </c>
      <c r="C330">
        <v>52.049253499999999</v>
      </c>
      <c r="D330">
        <v>-0.57239839999999997</v>
      </c>
      <c r="E330">
        <v>4</v>
      </c>
      <c r="F330">
        <v>4</v>
      </c>
      <c r="G330">
        <v>2022</v>
      </c>
      <c r="H330">
        <v>13</v>
      </c>
      <c r="I330">
        <v>55</v>
      </c>
      <c r="J330">
        <v>48.7</v>
      </c>
      <c r="K330">
        <v>43.37</v>
      </c>
      <c r="L330">
        <v>0</v>
      </c>
      <c r="M330">
        <v>38.710999999999999</v>
      </c>
      <c r="N330">
        <v>0.48599999999999999</v>
      </c>
      <c r="P330" s="1">
        <f t="shared" si="35"/>
        <v>10.753055555555555</v>
      </c>
      <c r="Q330" s="3">
        <f t="shared" si="37"/>
        <v>-1.1694444444444407</v>
      </c>
      <c r="R330" s="3">
        <f t="shared" si="38"/>
        <v>0.75500000000000078</v>
      </c>
      <c r="S330" s="3">
        <f t="shared" si="36"/>
        <v>0.6491919191919191</v>
      </c>
      <c r="U330" s="1">
        <f t="shared" si="39"/>
        <v>10.810833333333335</v>
      </c>
      <c r="V330" s="3">
        <f t="shared" si="40"/>
        <v>0.6491919191919191</v>
      </c>
      <c r="W330" s="3">
        <f t="shared" si="34"/>
        <v>0.59280303030303017</v>
      </c>
    </row>
    <row r="331" spans="1:23" x14ac:dyDescent="0.25">
      <c r="A331" t="s">
        <v>16</v>
      </c>
      <c r="C331">
        <v>52.049244299999998</v>
      </c>
      <c r="D331">
        <v>-0.57239370000000001</v>
      </c>
      <c r="E331">
        <v>4</v>
      </c>
      <c r="F331">
        <v>4</v>
      </c>
      <c r="G331">
        <v>2022</v>
      </c>
      <c r="H331">
        <v>13</v>
      </c>
      <c r="I331">
        <v>55</v>
      </c>
      <c r="J331">
        <v>48.8</v>
      </c>
      <c r="K331">
        <v>43.38</v>
      </c>
      <c r="L331">
        <v>0</v>
      </c>
      <c r="M331">
        <v>38.65</v>
      </c>
      <c r="N331">
        <v>0.48199999999999998</v>
      </c>
      <c r="P331" s="1">
        <f t="shared" si="35"/>
        <v>10.736111111111111</v>
      </c>
      <c r="Q331" s="3">
        <f t="shared" si="37"/>
        <v>-0.16944444444444429</v>
      </c>
      <c r="R331" s="3">
        <f t="shared" si="38"/>
        <v>0.64499999999999957</v>
      </c>
      <c r="S331" s="3">
        <f t="shared" si="36"/>
        <v>0.71262626262626261</v>
      </c>
      <c r="U331" s="1">
        <f t="shared" si="39"/>
        <v>10.892297979797979</v>
      </c>
      <c r="V331" s="3">
        <f t="shared" si="40"/>
        <v>0.7126262626262605</v>
      </c>
      <c r="W331" s="3">
        <f t="shared" si="34"/>
        <v>0.61830119375573889</v>
      </c>
    </row>
    <row r="332" spans="1:23" x14ac:dyDescent="0.25">
      <c r="A332" t="s">
        <v>16</v>
      </c>
      <c r="C332">
        <v>52.049234900000002</v>
      </c>
      <c r="D332">
        <v>-0.57238849999999997</v>
      </c>
      <c r="E332">
        <v>4</v>
      </c>
      <c r="F332">
        <v>4</v>
      </c>
      <c r="G332">
        <v>2022</v>
      </c>
      <c r="H332">
        <v>13</v>
      </c>
      <c r="I332">
        <v>55</v>
      </c>
      <c r="J332">
        <v>48.9</v>
      </c>
      <c r="K332">
        <v>43.38</v>
      </c>
      <c r="L332">
        <v>0</v>
      </c>
      <c r="M332">
        <v>39.686</v>
      </c>
      <c r="N332">
        <v>0.48199999999999998</v>
      </c>
      <c r="P332" s="1">
        <f t="shared" si="35"/>
        <v>11.023888888888889</v>
      </c>
      <c r="Q332" s="3">
        <f t="shared" si="37"/>
        <v>2.8777777777777835</v>
      </c>
      <c r="R332" s="3">
        <f t="shared" si="38"/>
        <v>0.65777777777777757</v>
      </c>
      <c r="S332" s="3">
        <f t="shared" si="36"/>
        <v>0.7420707070707071</v>
      </c>
      <c r="U332" s="1">
        <f t="shared" si="39"/>
        <v>10.960378787878788</v>
      </c>
      <c r="V332" s="3">
        <f t="shared" si="40"/>
        <v>0.74207070707070777</v>
      </c>
      <c r="W332" s="3">
        <f t="shared" si="34"/>
        <v>0.63614554637281884</v>
      </c>
    </row>
    <row r="333" spans="1:23" x14ac:dyDescent="0.25">
      <c r="A333" t="s">
        <v>16</v>
      </c>
      <c r="C333">
        <v>52.049225300000003</v>
      </c>
      <c r="D333">
        <v>-0.57238339999999999</v>
      </c>
      <c r="E333">
        <v>4</v>
      </c>
      <c r="F333">
        <v>4</v>
      </c>
      <c r="G333">
        <v>2022</v>
      </c>
      <c r="H333">
        <v>13</v>
      </c>
      <c r="I333">
        <v>55</v>
      </c>
      <c r="J333">
        <v>49</v>
      </c>
      <c r="K333">
        <v>43.33</v>
      </c>
      <c r="L333">
        <v>0</v>
      </c>
      <c r="M333">
        <v>39.927999999999997</v>
      </c>
      <c r="N333">
        <v>0.47899999999999998</v>
      </c>
      <c r="P333" s="1">
        <f t="shared" si="35"/>
        <v>11.091111111111111</v>
      </c>
      <c r="Q333" s="3">
        <f t="shared" si="37"/>
        <v>0.67222222222222072</v>
      </c>
      <c r="R333" s="3">
        <f t="shared" si="38"/>
        <v>0.67305555555555507</v>
      </c>
      <c r="S333" s="3">
        <f t="shared" si="36"/>
        <v>0.72361111111111109</v>
      </c>
      <c r="U333" s="1">
        <f t="shared" si="39"/>
        <v>11.034469696969696</v>
      </c>
      <c r="V333" s="3">
        <f t="shared" si="40"/>
        <v>0.72361111111111143</v>
      </c>
      <c r="W333" s="3">
        <f t="shared" ref="W333:W396" si="41">AVERAGE(V328:V338)</f>
        <v>0.64465335169880611</v>
      </c>
    </row>
    <row r="334" spans="1:23" x14ac:dyDescent="0.25">
      <c r="A334" t="s">
        <v>16</v>
      </c>
      <c r="C334">
        <v>52.049216000000001</v>
      </c>
      <c r="D334">
        <v>-0.57237859999999996</v>
      </c>
      <c r="E334">
        <v>4</v>
      </c>
      <c r="F334">
        <v>4</v>
      </c>
      <c r="G334">
        <v>2022</v>
      </c>
      <c r="H334">
        <v>13</v>
      </c>
      <c r="I334">
        <v>55</v>
      </c>
      <c r="J334">
        <v>49.1</v>
      </c>
      <c r="K334">
        <v>43.34</v>
      </c>
      <c r="L334">
        <v>0</v>
      </c>
      <c r="M334">
        <v>39.484999999999999</v>
      </c>
      <c r="N334">
        <v>0.49</v>
      </c>
      <c r="P334" s="1">
        <f t="shared" si="35"/>
        <v>10.968055555555555</v>
      </c>
      <c r="Q334" s="3">
        <f t="shared" si="37"/>
        <v>-1.2305555555555614</v>
      </c>
      <c r="R334" s="3">
        <f t="shared" si="38"/>
        <v>0.60500000000000043</v>
      </c>
      <c r="S334" s="3">
        <f t="shared" si="36"/>
        <v>0.71214646464646481</v>
      </c>
      <c r="U334" s="1">
        <f t="shared" si="39"/>
        <v>11.094646464646464</v>
      </c>
      <c r="V334" s="3">
        <f t="shared" si="40"/>
        <v>0.71214646464646592</v>
      </c>
      <c r="W334" s="3">
        <f t="shared" si="41"/>
        <v>0.63999770431588598</v>
      </c>
    </row>
    <row r="335" spans="1:23" x14ac:dyDescent="0.25">
      <c r="A335" t="s">
        <v>16</v>
      </c>
      <c r="C335">
        <v>52.049206499999997</v>
      </c>
      <c r="D335">
        <v>-0.57237369999999999</v>
      </c>
      <c r="E335">
        <v>4</v>
      </c>
      <c r="F335">
        <v>4</v>
      </c>
      <c r="G335">
        <v>2022</v>
      </c>
      <c r="H335">
        <v>13</v>
      </c>
      <c r="I335">
        <v>55</v>
      </c>
      <c r="J335">
        <v>49.2</v>
      </c>
      <c r="K335">
        <v>43.36</v>
      </c>
      <c r="L335">
        <v>0</v>
      </c>
      <c r="M335">
        <v>39.902000000000001</v>
      </c>
      <c r="N335">
        <v>0.5</v>
      </c>
      <c r="P335" s="1">
        <f t="shared" si="35"/>
        <v>11.08388888888889</v>
      </c>
      <c r="Q335" s="3">
        <f t="shared" si="37"/>
        <v>1.1583333333333456</v>
      </c>
      <c r="R335" s="3">
        <f t="shared" si="38"/>
        <v>0.911944444444444</v>
      </c>
      <c r="S335" s="3">
        <f t="shared" si="36"/>
        <v>0.68424242424242432</v>
      </c>
      <c r="U335" s="1">
        <f t="shared" si="39"/>
        <v>11.166919191919192</v>
      </c>
      <c r="V335" s="3">
        <f t="shared" si="40"/>
        <v>0.68424242424242188</v>
      </c>
      <c r="W335" s="3">
        <f t="shared" si="41"/>
        <v>0.62316115702479347</v>
      </c>
    </row>
    <row r="336" spans="1:23" x14ac:dyDescent="0.25">
      <c r="A336" t="s">
        <v>16</v>
      </c>
      <c r="C336">
        <v>52.049196799999997</v>
      </c>
      <c r="D336">
        <v>-0.57236860000000001</v>
      </c>
      <c r="E336">
        <v>4</v>
      </c>
      <c r="F336">
        <v>4</v>
      </c>
      <c r="G336">
        <v>2022</v>
      </c>
      <c r="H336">
        <v>13</v>
      </c>
      <c r="I336">
        <v>55</v>
      </c>
      <c r="J336">
        <v>49.3</v>
      </c>
      <c r="K336">
        <v>43.34</v>
      </c>
      <c r="L336">
        <v>0</v>
      </c>
      <c r="M336">
        <v>40.409999999999997</v>
      </c>
      <c r="N336">
        <v>0.52600000000000002</v>
      </c>
      <c r="P336" s="1">
        <f t="shared" si="35"/>
        <v>11.225</v>
      </c>
      <c r="Q336" s="3">
        <f t="shared" si="37"/>
        <v>1.4111111111111008</v>
      </c>
      <c r="R336" s="3">
        <f t="shared" si="38"/>
        <v>0.97888888888888914</v>
      </c>
      <c r="S336" s="3">
        <f t="shared" si="36"/>
        <v>0.62732323232323239</v>
      </c>
      <c r="U336" s="1">
        <f t="shared" si="39"/>
        <v>11.254368686868686</v>
      </c>
      <c r="V336" s="3">
        <f t="shared" si="40"/>
        <v>0.62732323232323139</v>
      </c>
      <c r="W336" s="3">
        <f t="shared" si="41"/>
        <v>0.59250688705234178</v>
      </c>
    </row>
    <row r="337" spans="1:23" x14ac:dyDescent="0.25">
      <c r="A337" t="s">
        <v>16</v>
      </c>
      <c r="C337">
        <v>52.049187199999999</v>
      </c>
      <c r="D337">
        <v>-0.57236350000000003</v>
      </c>
      <c r="E337">
        <v>4</v>
      </c>
      <c r="F337">
        <v>4</v>
      </c>
      <c r="G337">
        <v>2022</v>
      </c>
      <c r="H337">
        <v>13</v>
      </c>
      <c r="I337">
        <v>55</v>
      </c>
      <c r="J337">
        <v>49.4</v>
      </c>
      <c r="K337">
        <v>43.34</v>
      </c>
      <c r="L337">
        <v>0</v>
      </c>
      <c r="M337">
        <v>40.783999999999999</v>
      </c>
      <c r="N337">
        <v>0.52600000000000002</v>
      </c>
      <c r="P337" s="1">
        <f t="shared" si="35"/>
        <v>11.328888888888889</v>
      </c>
      <c r="Q337" s="3">
        <f t="shared" si="37"/>
        <v>1.0388888888888914</v>
      </c>
      <c r="R337" s="3">
        <f t="shared" si="38"/>
        <v>0.66805555555555607</v>
      </c>
      <c r="S337" s="3">
        <f t="shared" si="36"/>
        <v>0.59260101010101007</v>
      </c>
      <c r="U337" s="1">
        <f t="shared" si="39"/>
        <v>11.341262626262628</v>
      </c>
      <c r="V337" s="3">
        <f t="shared" si="40"/>
        <v>0.59260101010100996</v>
      </c>
      <c r="W337" s="3">
        <f t="shared" si="41"/>
        <v>0.54752525252525286</v>
      </c>
    </row>
    <row r="338" spans="1:23" x14ac:dyDescent="0.25">
      <c r="A338" t="s">
        <v>16</v>
      </c>
      <c r="C338">
        <v>52.049177399999998</v>
      </c>
      <c r="D338">
        <v>-0.57235809999999998</v>
      </c>
      <c r="E338">
        <v>4</v>
      </c>
      <c r="F338">
        <v>4</v>
      </c>
      <c r="G338">
        <v>2022</v>
      </c>
      <c r="H338">
        <v>13</v>
      </c>
      <c r="I338">
        <v>55</v>
      </c>
      <c r="J338">
        <v>49.5</v>
      </c>
      <c r="K338">
        <v>43.35</v>
      </c>
      <c r="L338">
        <v>0</v>
      </c>
      <c r="M338">
        <v>41.35</v>
      </c>
      <c r="N338">
        <v>0.51800000000000002</v>
      </c>
      <c r="P338" s="1">
        <f t="shared" ref="P338:P401" si="42">M338*1000/3600</f>
        <v>11.486111111111111</v>
      </c>
      <c r="Q338" s="3">
        <f t="shared" si="37"/>
        <v>1.5722222222222193</v>
      </c>
      <c r="R338" s="3">
        <f t="shared" si="38"/>
        <v>0.52583333333333293</v>
      </c>
      <c r="S338" s="3">
        <f t="shared" si="36"/>
        <v>0.53752525252525263</v>
      </c>
      <c r="U338" s="1">
        <f t="shared" si="39"/>
        <v>11.395176767676768</v>
      </c>
      <c r="V338" s="3">
        <f t="shared" si="40"/>
        <v>0.53752525252525274</v>
      </c>
      <c r="W338" s="3">
        <f t="shared" si="41"/>
        <v>0.49429752066115751</v>
      </c>
    </row>
    <row r="339" spans="1:23" x14ac:dyDescent="0.25">
      <c r="A339" t="s">
        <v>16</v>
      </c>
      <c r="C339">
        <v>52.049167699999998</v>
      </c>
      <c r="D339">
        <v>-0.57235270000000005</v>
      </c>
      <c r="E339">
        <v>4</v>
      </c>
      <c r="F339">
        <v>4</v>
      </c>
      <c r="G339">
        <v>2022</v>
      </c>
      <c r="H339">
        <v>13</v>
      </c>
      <c r="I339">
        <v>55</v>
      </c>
      <c r="J339">
        <v>49.6</v>
      </c>
      <c r="K339">
        <v>43.36</v>
      </c>
      <c r="L339">
        <v>0</v>
      </c>
      <c r="M339">
        <v>41.31</v>
      </c>
      <c r="N339">
        <v>0.51500000000000001</v>
      </c>
      <c r="P339" s="1">
        <f t="shared" si="42"/>
        <v>11.475</v>
      </c>
      <c r="Q339" s="3">
        <f t="shared" si="37"/>
        <v>-0.11111111111111072</v>
      </c>
      <c r="R339" s="3">
        <f t="shared" si="38"/>
        <v>0.66194444444444578</v>
      </c>
      <c r="S339" s="3">
        <f t="shared" ref="S339:S402" si="43">AVERAGE(R334:R344)</f>
        <v>0.47325757575757588</v>
      </c>
      <c r="U339" s="1">
        <f t="shared" si="39"/>
        <v>11.444166666666668</v>
      </c>
      <c r="V339" s="3">
        <f t="shared" si="40"/>
        <v>0.47325757575757699</v>
      </c>
      <c r="W339" s="3">
        <f t="shared" si="41"/>
        <v>0.43931129476584085</v>
      </c>
    </row>
    <row r="340" spans="1:23" x14ac:dyDescent="0.25">
      <c r="A340" t="s">
        <v>16</v>
      </c>
      <c r="C340">
        <v>52.049157800000003</v>
      </c>
      <c r="D340">
        <v>-0.57234719999999994</v>
      </c>
      <c r="E340">
        <v>4</v>
      </c>
      <c r="F340">
        <v>4</v>
      </c>
      <c r="G340">
        <v>2022</v>
      </c>
      <c r="H340">
        <v>13</v>
      </c>
      <c r="I340">
        <v>55</v>
      </c>
      <c r="J340">
        <v>49.7</v>
      </c>
      <c r="K340">
        <v>43.38</v>
      </c>
      <c r="L340">
        <v>0</v>
      </c>
      <c r="M340">
        <v>41.994</v>
      </c>
      <c r="N340">
        <v>0.51500000000000001</v>
      </c>
      <c r="P340" s="1">
        <f t="shared" si="42"/>
        <v>11.664999999999999</v>
      </c>
      <c r="Q340" s="3">
        <f t="shared" si="37"/>
        <v>1.899999999999995</v>
      </c>
      <c r="R340" s="3">
        <f t="shared" si="38"/>
        <v>0.44416666666666593</v>
      </c>
      <c r="S340" s="3">
        <f t="shared" si="43"/>
        <v>0.4001767676767678</v>
      </c>
      <c r="U340" s="1">
        <f t="shared" si="39"/>
        <v>11.495075757575757</v>
      </c>
      <c r="V340" s="3">
        <f t="shared" si="40"/>
        <v>0.40017676767677024</v>
      </c>
      <c r="W340" s="3">
        <f t="shared" si="41"/>
        <v>0.3819214876033063</v>
      </c>
    </row>
    <row r="341" spans="1:23" x14ac:dyDescent="0.25">
      <c r="A341" t="s">
        <v>16</v>
      </c>
      <c r="C341">
        <v>52.049147900000001</v>
      </c>
      <c r="D341">
        <v>-0.57234130000000005</v>
      </c>
      <c r="E341">
        <v>4</v>
      </c>
      <c r="F341">
        <v>4</v>
      </c>
      <c r="G341">
        <v>2022</v>
      </c>
      <c r="H341">
        <v>13</v>
      </c>
      <c r="I341">
        <v>55</v>
      </c>
      <c r="J341">
        <v>49.8</v>
      </c>
      <c r="K341">
        <v>43.36</v>
      </c>
      <c r="L341">
        <v>0</v>
      </c>
      <c r="M341">
        <v>42.173999999999999</v>
      </c>
      <c r="N341">
        <v>0.49299999999999999</v>
      </c>
      <c r="P341" s="1">
        <f t="shared" si="42"/>
        <v>11.715</v>
      </c>
      <c r="Q341" s="3">
        <f t="shared" si="37"/>
        <v>0.50000000000000711</v>
      </c>
      <c r="R341" s="3">
        <f t="shared" si="38"/>
        <v>0.1288888888888895</v>
      </c>
      <c r="S341" s="3">
        <f t="shared" si="43"/>
        <v>0.31199494949494971</v>
      </c>
      <c r="U341" s="1">
        <f t="shared" si="39"/>
        <v>11.51962121212121</v>
      </c>
      <c r="V341" s="3">
        <f t="shared" si="40"/>
        <v>0.31199494949495055</v>
      </c>
      <c r="W341" s="3">
        <f t="shared" si="41"/>
        <v>0.32629935720844894</v>
      </c>
    </row>
    <row r="342" spans="1:23" x14ac:dyDescent="0.25">
      <c r="A342" t="s">
        <v>16</v>
      </c>
      <c r="C342">
        <v>52.049137899999998</v>
      </c>
      <c r="D342">
        <v>-0.5723357</v>
      </c>
      <c r="E342">
        <v>4</v>
      </c>
      <c r="F342">
        <v>4</v>
      </c>
      <c r="G342">
        <v>2022</v>
      </c>
      <c r="H342">
        <v>13</v>
      </c>
      <c r="I342">
        <v>55</v>
      </c>
      <c r="J342">
        <v>49.9</v>
      </c>
      <c r="K342">
        <v>43.34</v>
      </c>
      <c r="L342">
        <v>0</v>
      </c>
      <c r="M342">
        <v>42.091000000000001</v>
      </c>
      <c r="N342">
        <v>0.51800000000000002</v>
      </c>
      <c r="P342" s="1">
        <f t="shared" si="42"/>
        <v>11.691944444444445</v>
      </c>
      <c r="Q342" s="3">
        <f t="shared" si="37"/>
        <v>-0.23055555555554719</v>
      </c>
      <c r="R342" s="3">
        <f t="shared" si="38"/>
        <v>0.26305555555555493</v>
      </c>
      <c r="S342" s="3">
        <f t="shared" si="43"/>
        <v>0.21782828282828295</v>
      </c>
      <c r="U342" s="1">
        <f t="shared" si="39"/>
        <v>11.552979797979798</v>
      </c>
      <c r="V342" s="3">
        <f t="shared" si="40"/>
        <v>0.21782828282828248</v>
      </c>
      <c r="W342" s="3">
        <f t="shared" si="41"/>
        <v>0.27615932047750308</v>
      </c>
    </row>
    <row r="343" spans="1:23" x14ac:dyDescent="0.25">
      <c r="A343" t="s">
        <v>16</v>
      </c>
      <c r="C343">
        <v>52.049128099999997</v>
      </c>
      <c r="D343">
        <v>-0.57233020000000001</v>
      </c>
      <c r="E343">
        <v>4</v>
      </c>
      <c r="F343">
        <v>4</v>
      </c>
      <c r="G343">
        <v>2022</v>
      </c>
      <c r="H343">
        <v>13</v>
      </c>
      <c r="I343">
        <v>55</v>
      </c>
      <c r="J343">
        <v>50</v>
      </c>
      <c r="K343">
        <v>43.34</v>
      </c>
      <c r="L343">
        <v>0</v>
      </c>
      <c r="M343">
        <v>41.820999999999998</v>
      </c>
      <c r="N343">
        <v>0.52200000000000002</v>
      </c>
      <c r="P343" s="1">
        <f t="shared" si="42"/>
        <v>11.616944444444444</v>
      </c>
      <c r="Q343" s="3">
        <f t="shared" si="37"/>
        <v>-0.75000000000001066</v>
      </c>
      <c r="R343" s="3">
        <f t="shared" si="38"/>
        <v>5.1944444444444571E-2</v>
      </c>
      <c r="S343" s="3">
        <f t="shared" si="43"/>
        <v>0.15656565656565666</v>
      </c>
      <c r="U343" s="1">
        <f t="shared" si="39"/>
        <v>11.571994949494949</v>
      </c>
      <c r="V343" s="3">
        <f t="shared" si="40"/>
        <v>0.15656565656565924</v>
      </c>
      <c r="W343" s="3">
        <f t="shared" si="41"/>
        <v>0.23002525252525335</v>
      </c>
    </row>
    <row r="344" spans="1:23" x14ac:dyDescent="0.25">
      <c r="A344" t="s">
        <v>16</v>
      </c>
      <c r="C344">
        <v>52.049118100000001</v>
      </c>
      <c r="D344">
        <v>-0.57232459999999996</v>
      </c>
      <c r="E344">
        <v>4</v>
      </c>
      <c r="F344">
        <v>4</v>
      </c>
      <c r="G344">
        <v>2022</v>
      </c>
      <c r="H344">
        <v>13</v>
      </c>
      <c r="I344">
        <v>55</v>
      </c>
      <c r="J344">
        <v>50.1</v>
      </c>
      <c r="K344">
        <v>43.28</v>
      </c>
      <c r="L344">
        <v>0</v>
      </c>
      <c r="M344">
        <v>41.868000000000002</v>
      </c>
      <c r="N344">
        <v>0.5</v>
      </c>
      <c r="P344" s="1">
        <f t="shared" si="42"/>
        <v>11.63</v>
      </c>
      <c r="Q344" s="3">
        <f t="shared" si="37"/>
        <v>0.13055555555556708</v>
      </c>
      <c r="R344" s="3">
        <f t="shared" si="38"/>
        <v>-3.3888888888888857E-2</v>
      </c>
      <c r="S344" s="3">
        <f t="shared" si="43"/>
        <v>0.11876262626262633</v>
      </c>
      <c r="U344" s="1">
        <f t="shared" si="39"/>
        <v>11.567904040404041</v>
      </c>
      <c r="V344" s="3">
        <f t="shared" si="40"/>
        <v>0.11876262626262779</v>
      </c>
      <c r="W344" s="3">
        <f t="shared" si="41"/>
        <v>0.1940955004591374</v>
      </c>
    </row>
    <row r="345" spans="1:23" x14ac:dyDescent="0.25">
      <c r="A345" t="s">
        <v>16</v>
      </c>
      <c r="C345">
        <v>52.0491083</v>
      </c>
      <c r="D345">
        <v>-0.57231940000000003</v>
      </c>
      <c r="E345">
        <v>4</v>
      </c>
      <c r="F345">
        <v>4</v>
      </c>
      <c r="G345">
        <v>2022</v>
      </c>
      <c r="H345">
        <v>13</v>
      </c>
      <c r="I345">
        <v>55</v>
      </c>
      <c r="J345">
        <v>50.2</v>
      </c>
      <c r="K345">
        <v>43.27</v>
      </c>
      <c r="L345">
        <v>0</v>
      </c>
      <c r="M345">
        <v>41.500999999999998</v>
      </c>
      <c r="N345">
        <v>0.5</v>
      </c>
      <c r="P345" s="1">
        <f t="shared" si="42"/>
        <v>11.528055555555556</v>
      </c>
      <c r="Q345" s="3">
        <f t="shared" si="37"/>
        <v>-1.0194444444444528</v>
      </c>
      <c r="R345" s="3">
        <f t="shared" si="38"/>
        <v>-0.198888888888888</v>
      </c>
      <c r="S345" s="3">
        <f t="shared" si="43"/>
        <v>8.0858585858585741E-2</v>
      </c>
      <c r="U345" s="1">
        <f t="shared" si="39"/>
        <v>11.567095959595962</v>
      </c>
      <c r="V345" s="3">
        <f t="shared" si="40"/>
        <v>8.0858585858585741E-2</v>
      </c>
      <c r="W345" s="3">
        <f t="shared" si="41"/>
        <v>0.17189853076216738</v>
      </c>
    </row>
    <row r="346" spans="1:23" x14ac:dyDescent="0.25">
      <c r="A346" t="s">
        <v>16</v>
      </c>
      <c r="C346">
        <v>52.049098600000001</v>
      </c>
      <c r="D346">
        <v>-0.57231449999999995</v>
      </c>
      <c r="E346">
        <v>4</v>
      </c>
      <c r="F346">
        <v>4</v>
      </c>
      <c r="G346">
        <v>2022</v>
      </c>
      <c r="H346">
        <v>13</v>
      </c>
      <c r="I346">
        <v>55</v>
      </c>
      <c r="J346">
        <v>50.3</v>
      </c>
      <c r="K346">
        <v>43.28</v>
      </c>
      <c r="L346">
        <v>0</v>
      </c>
      <c r="M346">
        <v>40.874000000000002</v>
      </c>
      <c r="N346">
        <v>0.504</v>
      </c>
      <c r="P346" s="1">
        <f t="shared" si="42"/>
        <v>11.353888888888889</v>
      </c>
      <c r="Q346" s="3">
        <f t="shared" si="37"/>
        <v>-1.7416666666666636</v>
      </c>
      <c r="R346" s="3">
        <f t="shared" si="38"/>
        <v>-5.8055555555554861E-2</v>
      </c>
      <c r="S346" s="3">
        <f t="shared" si="43"/>
        <v>7.2398989898989838E-2</v>
      </c>
      <c r="U346" s="1">
        <f t="shared" si="39"/>
        <v>11.566363636363636</v>
      </c>
      <c r="V346" s="3">
        <f t="shared" si="40"/>
        <v>7.2398989898990962E-2</v>
      </c>
      <c r="W346" s="3">
        <f t="shared" si="41"/>
        <v>0.16303030303030283</v>
      </c>
    </row>
    <row r="347" spans="1:23" x14ac:dyDescent="0.25">
      <c r="A347" t="s">
        <v>16</v>
      </c>
      <c r="C347">
        <v>52.049088599999997</v>
      </c>
      <c r="D347">
        <v>-0.57230950000000003</v>
      </c>
      <c r="E347">
        <v>4</v>
      </c>
      <c r="F347">
        <v>4</v>
      </c>
      <c r="G347">
        <v>2022</v>
      </c>
      <c r="H347">
        <v>13</v>
      </c>
      <c r="I347">
        <v>55</v>
      </c>
      <c r="J347">
        <v>50.4</v>
      </c>
      <c r="K347">
        <v>43.27</v>
      </c>
      <c r="L347">
        <v>0</v>
      </c>
      <c r="M347">
        <v>41.731000000000002</v>
      </c>
      <c r="N347">
        <v>0.51100000000000001</v>
      </c>
      <c r="P347" s="1">
        <f t="shared" si="42"/>
        <v>11.591944444444444</v>
      </c>
      <c r="Q347" s="3">
        <f t="shared" si="37"/>
        <v>2.3805555555555458</v>
      </c>
      <c r="R347" s="3">
        <f t="shared" si="38"/>
        <v>-5.6944444444445352E-2</v>
      </c>
      <c r="S347" s="3">
        <f t="shared" si="43"/>
        <v>7.5782828282828257E-2</v>
      </c>
      <c r="U347" s="1">
        <f t="shared" si="39"/>
        <v>11.55909090909091</v>
      </c>
      <c r="V347" s="3">
        <f t="shared" si="40"/>
        <v>7.5782828282827452E-2</v>
      </c>
      <c r="W347" s="3">
        <f t="shared" si="41"/>
        <v>0.16606290174471947</v>
      </c>
    </row>
    <row r="348" spans="1:23" x14ac:dyDescent="0.25">
      <c r="A348" t="s">
        <v>16</v>
      </c>
      <c r="C348">
        <v>52.049078799999997</v>
      </c>
      <c r="D348">
        <v>-0.57230440000000005</v>
      </c>
      <c r="E348">
        <v>4</v>
      </c>
      <c r="F348">
        <v>4</v>
      </c>
      <c r="G348">
        <v>2022</v>
      </c>
      <c r="H348">
        <v>13</v>
      </c>
      <c r="I348">
        <v>55</v>
      </c>
      <c r="J348">
        <v>50.5</v>
      </c>
      <c r="K348">
        <v>43.27</v>
      </c>
      <c r="L348">
        <v>0</v>
      </c>
      <c r="M348">
        <v>41.536999999999999</v>
      </c>
      <c r="N348">
        <v>0.50800000000000001</v>
      </c>
      <c r="P348" s="1">
        <f t="shared" si="42"/>
        <v>11.538055555555555</v>
      </c>
      <c r="Q348" s="3">
        <f t="shared" si="37"/>
        <v>-0.53888888888888431</v>
      </c>
      <c r="R348" s="3">
        <f t="shared" si="38"/>
        <v>-5.833333333333357E-3</v>
      </c>
      <c r="S348" s="3">
        <f t="shared" si="43"/>
        <v>8.5126262626262605E-2</v>
      </c>
      <c r="U348" s="1">
        <f t="shared" si="39"/>
        <v>11.551742424242427</v>
      </c>
      <c r="V348" s="3">
        <f t="shared" si="40"/>
        <v>8.5126262626262772E-2</v>
      </c>
      <c r="W348" s="3">
        <f t="shared" si="41"/>
        <v>0.17784435261707915</v>
      </c>
    </row>
    <row r="349" spans="1:23" x14ac:dyDescent="0.25">
      <c r="A349" t="s">
        <v>16</v>
      </c>
      <c r="C349">
        <v>52.049069099999997</v>
      </c>
      <c r="D349">
        <v>-0.57229960000000002</v>
      </c>
      <c r="E349">
        <v>4</v>
      </c>
      <c r="F349">
        <v>4</v>
      </c>
      <c r="G349">
        <v>2022</v>
      </c>
      <c r="H349">
        <v>13</v>
      </c>
      <c r="I349">
        <v>55</v>
      </c>
      <c r="J349">
        <v>50.6</v>
      </c>
      <c r="K349">
        <v>43.28</v>
      </c>
      <c r="L349">
        <v>0</v>
      </c>
      <c r="M349">
        <v>41.188000000000002</v>
      </c>
      <c r="N349">
        <v>0.497</v>
      </c>
      <c r="P349" s="1">
        <f t="shared" si="42"/>
        <v>11.441111111111111</v>
      </c>
      <c r="Q349" s="3">
        <f t="shared" si="37"/>
        <v>-0.969444444444445</v>
      </c>
      <c r="R349" s="3">
        <f t="shared" si="38"/>
        <v>0.10999999999999943</v>
      </c>
      <c r="S349" s="3">
        <f t="shared" si="43"/>
        <v>0.14229797979797984</v>
      </c>
      <c r="U349" s="1">
        <f t="shared" si="39"/>
        <v>11.562929292929295</v>
      </c>
      <c r="V349" s="3">
        <f t="shared" si="40"/>
        <v>0.14229797979797709</v>
      </c>
      <c r="W349" s="3">
        <f t="shared" si="41"/>
        <v>0.19213498622589417</v>
      </c>
    </row>
    <row r="350" spans="1:23" x14ac:dyDescent="0.25">
      <c r="A350" t="s">
        <v>16</v>
      </c>
      <c r="C350">
        <v>52.049059200000002</v>
      </c>
      <c r="D350">
        <v>-0.57229479999999999</v>
      </c>
      <c r="E350">
        <v>4</v>
      </c>
      <c r="F350">
        <v>4</v>
      </c>
      <c r="G350">
        <v>2022</v>
      </c>
      <c r="H350">
        <v>13</v>
      </c>
      <c r="I350">
        <v>55</v>
      </c>
      <c r="J350">
        <v>50.7</v>
      </c>
      <c r="K350">
        <v>43.28</v>
      </c>
      <c r="L350">
        <v>0</v>
      </c>
      <c r="M350">
        <v>41.277999999999999</v>
      </c>
      <c r="N350">
        <v>0.50800000000000001</v>
      </c>
      <c r="P350" s="1">
        <f t="shared" si="42"/>
        <v>11.466111111111111</v>
      </c>
      <c r="Q350" s="3">
        <f t="shared" si="37"/>
        <v>0.25000000000000355</v>
      </c>
      <c r="R350" s="3">
        <f t="shared" si="38"/>
        <v>0.24499999999999922</v>
      </c>
      <c r="S350" s="3">
        <f t="shared" si="43"/>
        <v>0.22909090909090904</v>
      </c>
      <c r="U350" s="1">
        <f t="shared" si="39"/>
        <v>11.575934343434342</v>
      </c>
      <c r="V350" s="3">
        <f t="shared" si="40"/>
        <v>0.22909090909090679</v>
      </c>
      <c r="W350" s="3">
        <f t="shared" si="41"/>
        <v>0.20585399449035693</v>
      </c>
    </row>
    <row r="351" spans="1:23" x14ac:dyDescent="0.25">
      <c r="A351" t="s">
        <v>16</v>
      </c>
      <c r="C351">
        <v>52.0490493</v>
      </c>
      <c r="D351">
        <v>-0.57228920000000005</v>
      </c>
      <c r="E351">
        <v>4</v>
      </c>
      <c r="F351">
        <v>4</v>
      </c>
      <c r="G351">
        <v>2022</v>
      </c>
      <c r="H351">
        <v>13</v>
      </c>
      <c r="I351">
        <v>55</v>
      </c>
      <c r="J351">
        <v>50.8</v>
      </c>
      <c r="K351">
        <v>43.27</v>
      </c>
      <c r="L351">
        <v>0</v>
      </c>
      <c r="M351">
        <v>41.965000000000003</v>
      </c>
      <c r="N351">
        <v>0.504</v>
      </c>
      <c r="P351" s="1">
        <f t="shared" si="42"/>
        <v>11.656944444444445</v>
      </c>
      <c r="Q351" s="3">
        <f t="shared" si="37"/>
        <v>1.9083333333333385</v>
      </c>
      <c r="R351" s="3">
        <f t="shared" si="38"/>
        <v>0.35111111111111093</v>
      </c>
      <c r="S351" s="3">
        <f t="shared" si="43"/>
        <v>0.30262626262626247</v>
      </c>
      <c r="U351" s="1">
        <f t="shared" si="39"/>
        <v>11.592020202020201</v>
      </c>
      <c r="V351" s="3">
        <f t="shared" si="40"/>
        <v>0.30262626262626036</v>
      </c>
      <c r="W351" s="3">
        <f t="shared" si="41"/>
        <v>0.21919191919191824</v>
      </c>
    </row>
    <row r="352" spans="1:23" x14ac:dyDescent="0.25">
      <c r="A352" t="s">
        <v>16</v>
      </c>
      <c r="C352">
        <v>52.049039299999997</v>
      </c>
      <c r="D352">
        <v>-0.57228369999999995</v>
      </c>
      <c r="E352">
        <v>4</v>
      </c>
      <c r="F352">
        <v>4</v>
      </c>
      <c r="G352">
        <v>2022</v>
      </c>
      <c r="H352">
        <v>13</v>
      </c>
      <c r="I352">
        <v>55</v>
      </c>
      <c r="J352">
        <v>50.9</v>
      </c>
      <c r="K352">
        <v>43.24</v>
      </c>
      <c r="L352">
        <v>0</v>
      </c>
      <c r="M352">
        <v>41.886000000000003</v>
      </c>
      <c r="N352">
        <v>0.5</v>
      </c>
      <c r="P352" s="1">
        <f t="shared" si="42"/>
        <v>11.635</v>
      </c>
      <c r="Q352" s="3">
        <f t="shared" si="37"/>
        <v>-0.2194444444444521</v>
      </c>
      <c r="R352" s="3">
        <f t="shared" si="38"/>
        <v>0.16611111111111221</v>
      </c>
      <c r="S352" s="3">
        <f t="shared" si="43"/>
        <v>0.34535353535353508</v>
      </c>
      <c r="U352" s="1">
        <f t="shared" si="39"/>
        <v>11.628762626262626</v>
      </c>
      <c r="V352" s="3">
        <f t="shared" si="40"/>
        <v>0.3453535353535333</v>
      </c>
      <c r="W352" s="3">
        <f t="shared" si="41"/>
        <v>0.22820707070706997</v>
      </c>
    </row>
    <row r="353" spans="1:23" x14ac:dyDescent="0.25">
      <c r="A353" t="s">
        <v>16</v>
      </c>
      <c r="C353">
        <v>52.0490292</v>
      </c>
      <c r="D353">
        <v>-0.57227850000000002</v>
      </c>
      <c r="E353">
        <v>4</v>
      </c>
      <c r="F353">
        <v>4</v>
      </c>
      <c r="G353">
        <v>2022</v>
      </c>
      <c r="H353">
        <v>13</v>
      </c>
      <c r="I353">
        <v>55</v>
      </c>
      <c r="J353">
        <v>51</v>
      </c>
      <c r="K353">
        <v>43.21</v>
      </c>
      <c r="L353">
        <v>0</v>
      </c>
      <c r="M353">
        <v>41.8</v>
      </c>
      <c r="N353">
        <v>0.5</v>
      </c>
      <c r="P353" s="1">
        <f t="shared" si="42"/>
        <v>11.611111111111111</v>
      </c>
      <c r="Q353" s="3">
        <f t="shared" si="37"/>
        <v>-0.2388888888888907</v>
      </c>
      <c r="R353" s="3">
        <f t="shared" si="38"/>
        <v>0.36583333333333279</v>
      </c>
      <c r="S353" s="3">
        <f t="shared" si="43"/>
        <v>0.3474242424242423</v>
      </c>
      <c r="U353" s="1">
        <f t="shared" si="39"/>
        <v>11.657121212121211</v>
      </c>
      <c r="V353" s="3">
        <f t="shared" si="40"/>
        <v>0.34742424242423908</v>
      </c>
      <c r="W353" s="3">
        <f t="shared" si="41"/>
        <v>0.23228650137740994</v>
      </c>
    </row>
    <row r="354" spans="1:23" x14ac:dyDescent="0.25">
      <c r="A354" t="s">
        <v>16</v>
      </c>
      <c r="C354">
        <v>52.049019000000001</v>
      </c>
      <c r="D354">
        <v>-0.57227360000000005</v>
      </c>
      <c r="E354">
        <v>4</v>
      </c>
      <c r="F354">
        <v>4</v>
      </c>
      <c r="G354">
        <v>2022</v>
      </c>
      <c r="H354">
        <v>13</v>
      </c>
      <c r="I354">
        <v>55</v>
      </c>
      <c r="J354">
        <v>51.1</v>
      </c>
      <c r="K354">
        <v>43.19</v>
      </c>
      <c r="L354">
        <v>0</v>
      </c>
      <c r="M354">
        <v>42.264000000000003</v>
      </c>
      <c r="N354">
        <v>0.49</v>
      </c>
      <c r="P354" s="1">
        <f t="shared" si="42"/>
        <v>11.74</v>
      </c>
      <c r="Q354" s="3">
        <f t="shared" si="37"/>
        <v>1.288888888888895</v>
      </c>
      <c r="R354" s="3">
        <f t="shared" si="38"/>
        <v>0.68083333333333407</v>
      </c>
      <c r="S354" s="3">
        <f t="shared" si="43"/>
        <v>0.31376262626262613</v>
      </c>
      <c r="U354" s="1">
        <f t="shared" si="39"/>
        <v>11.710202020202019</v>
      </c>
      <c r="V354" s="3">
        <f t="shared" si="40"/>
        <v>0.31376262626262452</v>
      </c>
      <c r="W354" s="3">
        <f t="shared" si="41"/>
        <v>0.22879017447199246</v>
      </c>
    </row>
    <row r="355" spans="1:23" x14ac:dyDescent="0.25">
      <c r="A355" t="s">
        <v>16</v>
      </c>
      <c r="C355">
        <v>52.049008899999997</v>
      </c>
      <c r="D355">
        <v>-0.57226840000000001</v>
      </c>
      <c r="E355">
        <v>4</v>
      </c>
      <c r="F355">
        <v>4</v>
      </c>
      <c r="G355">
        <v>2022</v>
      </c>
      <c r="H355">
        <v>13</v>
      </c>
      <c r="I355">
        <v>55</v>
      </c>
      <c r="J355">
        <v>51.2</v>
      </c>
      <c r="K355">
        <v>43.2</v>
      </c>
      <c r="L355">
        <v>0</v>
      </c>
      <c r="M355">
        <v>42.383000000000003</v>
      </c>
      <c r="N355">
        <v>0.48599999999999999</v>
      </c>
      <c r="P355" s="1">
        <f t="shared" si="42"/>
        <v>11.773055555555555</v>
      </c>
      <c r="Q355" s="3">
        <f t="shared" si="37"/>
        <v>0.33055555555554506</v>
      </c>
      <c r="R355" s="3">
        <f t="shared" si="38"/>
        <v>0.9208333333333325</v>
      </c>
      <c r="S355" s="3">
        <f t="shared" si="43"/>
        <v>0.26967171717171712</v>
      </c>
      <c r="U355" s="1">
        <f t="shared" si="39"/>
        <v>11.796186868686869</v>
      </c>
      <c r="V355" s="3">
        <f t="shared" si="40"/>
        <v>0.26967171717171823</v>
      </c>
      <c r="W355" s="3">
        <f t="shared" si="41"/>
        <v>0.20888429752066126</v>
      </c>
    </row>
    <row r="356" spans="1:23" x14ac:dyDescent="0.25">
      <c r="A356" t="s">
        <v>16</v>
      </c>
      <c r="C356">
        <v>52.048998900000001</v>
      </c>
      <c r="D356">
        <v>-0.57226350000000004</v>
      </c>
      <c r="E356">
        <v>4</v>
      </c>
      <c r="F356">
        <v>4</v>
      </c>
      <c r="G356">
        <v>2022</v>
      </c>
      <c r="H356">
        <v>13</v>
      </c>
      <c r="I356">
        <v>55</v>
      </c>
      <c r="J356">
        <v>51.3</v>
      </c>
      <c r="K356">
        <v>43.2</v>
      </c>
      <c r="L356">
        <v>0</v>
      </c>
      <c r="M356">
        <v>42.137999999999998</v>
      </c>
      <c r="N356">
        <v>0.48199999999999998</v>
      </c>
      <c r="P356" s="1">
        <f t="shared" si="42"/>
        <v>11.705</v>
      </c>
      <c r="Q356" s="3">
        <f t="shared" si="37"/>
        <v>-0.68055555555554648</v>
      </c>
      <c r="R356" s="3">
        <f t="shared" si="38"/>
        <v>0.60999999999999943</v>
      </c>
      <c r="S356" s="3">
        <f t="shared" si="43"/>
        <v>0.22757575757575763</v>
      </c>
      <c r="U356" s="1">
        <f t="shared" si="39"/>
        <v>11.868989898989897</v>
      </c>
      <c r="V356" s="3">
        <f t="shared" si="40"/>
        <v>0.22757575757576021</v>
      </c>
      <c r="W356" s="3">
        <f t="shared" si="41"/>
        <v>0.16909779614325113</v>
      </c>
    </row>
    <row r="357" spans="1:23" x14ac:dyDescent="0.25">
      <c r="A357" t="s">
        <v>16</v>
      </c>
      <c r="C357">
        <v>52.048988799999997</v>
      </c>
      <c r="D357">
        <v>-0.57225870000000001</v>
      </c>
      <c r="E357">
        <v>4</v>
      </c>
      <c r="F357">
        <v>4</v>
      </c>
      <c r="G357">
        <v>2022</v>
      </c>
      <c r="H357">
        <v>13</v>
      </c>
      <c r="I357">
        <v>55</v>
      </c>
      <c r="J357">
        <v>51.4</v>
      </c>
      <c r="K357">
        <v>43.24</v>
      </c>
      <c r="L357">
        <v>0</v>
      </c>
      <c r="M357">
        <v>42.329000000000001</v>
      </c>
      <c r="N357">
        <v>0.48199999999999998</v>
      </c>
      <c r="P357" s="1">
        <f t="shared" si="42"/>
        <v>11.758055555555556</v>
      </c>
      <c r="Q357" s="3">
        <f t="shared" si="37"/>
        <v>0.53055555555555856</v>
      </c>
      <c r="R357" s="3">
        <f t="shared" si="38"/>
        <v>0.411944444444444</v>
      </c>
      <c r="S357" s="3">
        <f t="shared" si="43"/>
        <v>0.17156565656565659</v>
      </c>
      <c r="U357" s="1">
        <f t="shared" si="39"/>
        <v>11.904444444444444</v>
      </c>
      <c r="V357" s="3">
        <f t="shared" si="40"/>
        <v>0.17156565656565981</v>
      </c>
      <c r="W357" s="3">
        <f t="shared" si="41"/>
        <v>0.11485766758494119</v>
      </c>
    </row>
    <row r="358" spans="1:23" x14ac:dyDescent="0.25">
      <c r="A358" t="s">
        <v>16</v>
      </c>
      <c r="C358">
        <v>52.048978599999998</v>
      </c>
      <c r="D358">
        <v>-0.57225349999999997</v>
      </c>
      <c r="E358">
        <v>4</v>
      </c>
      <c r="F358">
        <v>4</v>
      </c>
      <c r="G358">
        <v>2022</v>
      </c>
      <c r="H358">
        <v>13</v>
      </c>
      <c r="I358">
        <v>55</v>
      </c>
      <c r="J358">
        <v>51.5</v>
      </c>
      <c r="K358">
        <v>43.24</v>
      </c>
      <c r="L358">
        <v>0</v>
      </c>
      <c r="M358">
        <v>42.853999999999999</v>
      </c>
      <c r="N358">
        <v>0.49</v>
      </c>
      <c r="P358" s="1">
        <f t="shared" si="42"/>
        <v>11.903888888888888</v>
      </c>
      <c r="Q358" s="3">
        <f t="shared" si="37"/>
        <v>1.4583333333333215</v>
      </c>
      <c r="R358" s="3">
        <f t="shared" si="38"/>
        <v>-3.416666666666579E-2</v>
      </c>
      <c r="S358" s="3">
        <f t="shared" si="43"/>
        <v>0.12065656565656563</v>
      </c>
      <c r="U358" s="1">
        <f t="shared" si="39"/>
        <v>11.899166666666666</v>
      </c>
      <c r="V358" s="3">
        <f t="shared" si="40"/>
        <v>0.12065656565656724</v>
      </c>
      <c r="W358" s="3">
        <f t="shared" si="41"/>
        <v>5.313820018365592E-2</v>
      </c>
    </row>
    <row r="359" spans="1:23" x14ac:dyDescent="0.25">
      <c r="A359" t="s">
        <v>16</v>
      </c>
      <c r="C359">
        <v>52.0489684</v>
      </c>
      <c r="D359">
        <v>-0.57224799999999998</v>
      </c>
      <c r="E359">
        <v>4</v>
      </c>
      <c r="F359">
        <v>4</v>
      </c>
      <c r="G359">
        <v>2022</v>
      </c>
      <c r="H359">
        <v>13</v>
      </c>
      <c r="I359">
        <v>55</v>
      </c>
      <c r="J359">
        <v>51.6</v>
      </c>
      <c r="K359">
        <v>43.29</v>
      </c>
      <c r="L359">
        <v>0</v>
      </c>
      <c r="M359">
        <v>43.639000000000003</v>
      </c>
      <c r="N359">
        <v>0.47199999999999998</v>
      </c>
      <c r="P359" s="1">
        <f t="shared" si="42"/>
        <v>12.121944444444445</v>
      </c>
      <c r="Q359" s="3">
        <f t="shared" si="37"/>
        <v>2.1805555555555678</v>
      </c>
      <c r="R359" s="3">
        <f t="shared" si="38"/>
        <v>-0.37611111111111128</v>
      </c>
      <c r="S359" s="3">
        <f t="shared" si="43"/>
        <v>4.6666666666666697E-2</v>
      </c>
      <c r="U359" s="1">
        <f t="shared" si="39"/>
        <v>11.87669191919192</v>
      </c>
      <c r="V359" s="3">
        <f t="shared" si="40"/>
        <v>4.6666666666670409E-2</v>
      </c>
      <c r="W359" s="3">
        <f t="shared" si="41"/>
        <v>-8.2966023875100155E-3</v>
      </c>
    </row>
    <row r="360" spans="1:23" x14ac:dyDescent="0.25">
      <c r="A360" t="s">
        <v>16</v>
      </c>
      <c r="C360">
        <v>52.048957899999998</v>
      </c>
      <c r="D360">
        <v>-0.57224169999999996</v>
      </c>
      <c r="E360">
        <v>4</v>
      </c>
      <c r="F360">
        <v>4</v>
      </c>
      <c r="G360">
        <v>2022</v>
      </c>
      <c r="H360">
        <v>13</v>
      </c>
      <c r="I360">
        <v>55</v>
      </c>
      <c r="J360">
        <v>51.7</v>
      </c>
      <c r="K360">
        <v>43.31</v>
      </c>
      <c r="L360">
        <v>0</v>
      </c>
      <c r="M360">
        <v>44.593000000000004</v>
      </c>
      <c r="N360">
        <v>0.47199999999999998</v>
      </c>
      <c r="P360" s="1">
        <f t="shared" si="42"/>
        <v>12.386944444444444</v>
      </c>
      <c r="Q360" s="3">
        <f t="shared" si="37"/>
        <v>2.6499999999999879</v>
      </c>
      <c r="R360" s="3">
        <f t="shared" si="38"/>
        <v>-0.375</v>
      </c>
      <c r="S360" s="3">
        <f t="shared" si="43"/>
        <v>-7.6666666666666702E-2</v>
      </c>
      <c r="U360" s="1">
        <f t="shared" si="39"/>
        <v>11.845606060606061</v>
      </c>
      <c r="V360" s="3">
        <f t="shared" si="40"/>
        <v>-7.6666666666666217E-2</v>
      </c>
      <c r="W360" s="3">
        <f t="shared" si="41"/>
        <v>-6.3117539026628186E-2</v>
      </c>
    </row>
    <row r="361" spans="1:23" x14ac:dyDescent="0.25">
      <c r="A361" t="s">
        <v>16</v>
      </c>
      <c r="C361">
        <v>52.048947499999997</v>
      </c>
      <c r="D361">
        <v>-0.57223539999999995</v>
      </c>
      <c r="E361">
        <v>4</v>
      </c>
      <c r="F361">
        <v>4</v>
      </c>
      <c r="G361">
        <v>2022</v>
      </c>
      <c r="H361">
        <v>13</v>
      </c>
      <c r="I361">
        <v>55</v>
      </c>
      <c r="J361">
        <v>51.8</v>
      </c>
      <c r="K361">
        <v>43.29</v>
      </c>
      <c r="L361">
        <v>0</v>
      </c>
      <c r="M361">
        <v>44.161000000000001</v>
      </c>
      <c r="N361">
        <v>0.47199999999999998</v>
      </c>
      <c r="P361" s="1">
        <f t="shared" si="42"/>
        <v>12.266944444444444</v>
      </c>
      <c r="Q361" s="3">
        <f t="shared" si="37"/>
        <v>-1.1999999999999922</v>
      </c>
      <c r="R361" s="3">
        <f t="shared" si="38"/>
        <v>-0.218055555555555</v>
      </c>
      <c r="S361" s="3">
        <f t="shared" si="43"/>
        <v>-0.20856060606060597</v>
      </c>
      <c r="U361" s="1">
        <f t="shared" si="39"/>
        <v>11.819595959595961</v>
      </c>
      <c r="V361" s="3">
        <f t="shared" si="40"/>
        <v>-0.20856060606060467</v>
      </c>
      <c r="W361" s="3">
        <f t="shared" si="41"/>
        <v>-0.11062442607897018</v>
      </c>
    </row>
    <row r="362" spans="1:23" x14ac:dyDescent="0.25">
      <c r="A362" t="s">
        <v>16</v>
      </c>
      <c r="C362">
        <v>52.048937199999997</v>
      </c>
      <c r="D362">
        <v>-0.57222949999999995</v>
      </c>
      <c r="E362">
        <v>4</v>
      </c>
      <c r="F362">
        <v>4</v>
      </c>
      <c r="G362">
        <v>2022</v>
      </c>
      <c r="H362">
        <v>13</v>
      </c>
      <c r="I362">
        <v>55</v>
      </c>
      <c r="J362">
        <v>51.9</v>
      </c>
      <c r="K362">
        <v>43.26</v>
      </c>
      <c r="L362">
        <v>0</v>
      </c>
      <c r="M362">
        <v>43.369</v>
      </c>
      <c r="N362">
        <v>0.47899999999999998</v>
      </c>
      <c r="P362" s="1">
        <f t="shared" si="42"/>
        <v>12.046944444444444</v>
      </c>
      <c r="Q362" s="3">
        <f t="shared" si="37"/>
        <v>-2.2000000000000064</v>
      </c>
      <c r="R362" s="3">
        <f t="shared" si="38"/>
        <v>-0.26500000000000057</v>
      </c>
      <c r="S362" s="3">
        <f t="shared" si="43"/>
        <v>-0.2940151515151514</v>
      </c>
      <c r="U362" s="1">
        <f t="shared" si="39"/>
        <v>11.800328282828286</v>
      </c>
      <c r="V362" s="3">
        <f t="shared" si="40"/>
        <v>-0.29401515151514879</v>
      </c>
      <c r="W362" s="3">
        <f t="shared" si="41"/>
        <v>-0.15031221303948492</v>
      </c>
    </row>
    <row r="363" spans="1:23" x14ac:dyDescent="0.25">
      <c r="A363" t="s">
        <v>16</v>
      </c>
      <c r="C363">
        <v>52.048927499999998</v>
      </c>
      <c r="D363">
        <v>-0.57222399999999995</v>
      </c>
      <c r="E363">
        <v>4</v>
      </c>
      <c r="F363">
        <v>4</v>
      </c>
      <c r="G363">
        <v>2022</v>
      </c>
      <c r="H363">
        <v>13</v>
      </c>
      <c r="I363">
        <v>55</v>
      </c>
      <c r="J363">
        <v>52</v>
      </c>
      <c r="K363">
        <v>43.24</v>
      </c>
      <c r="L363">
        <v>0</v>
      </c>
      <c r="M363">
        <v>41.677</v>
      </c>
      <c r="N363">
        <v>0.49</v>
      </c>
      <c r="P363" s="1">
        <f t="shared" si="42"/>
        <v>11.576944444444445</v>
      </c>
      <c r="Q363" s="3">
        <f t="shared" si="37"/>
        <v>-4.6999999999999886</v>
      </c>
      <c r="R363" s="3">
        <f t="shared" si="38"/>
        <v>-0.39388888888888829</v>
      </c>
      <c r="S363" s="3">
        <f t="shared" si="43"/>
        <v>-0.33356060606060595</v>
      </c>
      <c r="U363" s="1">
        <f t="shared" si="39"/>
        <v>11.777777777777779</v>
      </c>
      <c r="V363" s="3">
        <f t="shared" si="40"/>
        <v>-0.33356060606060467</v>
      </c>
      <c r="W363" s="3">
        <f t="shared" si="41"/>
        <v>-0.1802800734618912</v>
      </c>
    </row>
    <row r="364" spans="1:23" x14ac:dyDescent="0.25">
      <c r="A364" t="s">
        <v>16</v>
      </c>
      <c r="C364">
        <v>52.048917699999997</v>
      </c>
      <c r="D364">
        <v>-0.57221889999999997</v>
      </c>
      <c r="E364">
        <v>4</v>
      </c>
      <c r="F364">
        <v>4</v>
      </c>
      <c r="G364">
        <v>2022</v>
      </c>
      <c r="H364">
        <v>13</v>
      </c>
      <c r="I364">
        <v>55</v>
      </c>
      <c r="J364">
        <v>52.1</v>
      </c>
      <c r="K364">
        <v>43.22</v>
      </c>
      <c r="L364">
        <v>0</v>
      </c>
      <c r="M364">
        <v>40.909999999999997</v>
      </c>
      <c r="N364">
        <v>0.49299999999999999</v>
      </c>
      <c r="P364" s="1">
        <f t="shared" si="42"/>
        <v>11.363888888888889</v>
      </c>
      <c r="Q364" s="3">
        <f t="shared" si="37"/>
        <v>-2.13055555555556</v>
      </c>
      <c r="R364" s="3">
        <f t="shared" si="38"/>
        <v>-0.44805555555555543</v>
      </c>
      <c r="S364" s="3">
        <f t="shared" si="43"/>
        <v>-0.32835858585858591</v>
      </c>
      <c r="U364" s="1">
        <f t="shared" si="39"/>
        <v>11.756868686868689</v>
      </c>
      <c r="V364" s="3">
        <f t="shared" si="40"/>
        <v>-0.32835858585858624</v>
      </c>
      <c r="W364" s="3">
        <f t="shared" si="41"/>
        <v>-0.20339761248852153</v>
      </c>
    </row>
    <row r="365" spans="1:23" x14ac:dyDescent="0.25">
      <c r="A365" t="s">
        <v>16</v>
      </c>
      <c r="C365">
        <v>52.048907999999997</v>
      </c>
      <c r="D365">
        <v>-0.57221370000000005</v>
      </c>
      <c r="E365">
        <v>4</v>
      </c>
      <c r="F365">
        <v>4</v>
      </c>
      <c r="G365">
        <v>2022</v>
      </c>
      <c r="H365">
        <v>13</v>
      </c>
      <c r="I365">
        <v>55</v>
      </c>
      <c r="J365">
        <v>52.2</v>
      </c>
      <c r="K365">
        <v>43.22</v>
      </c>
      <c r="L365">
        <v>0</v>
      </c>
      <c r="M365">
        <v>41.033000000000001</v>
      </c>
      <c r="N365">
        <v>0.504</v>
      </c>
      <c r="P365" s="1">
        <f t="shared" si="42"/>
        <v>11.398055555555555</v>
      </c>
      <c r="Q365" s="3">
        <f t="shared" si="37"/>
        <v>0.3416666666666579</v>
      </c>
      <c r="R365" s="3">
        <f t="shared" si="38"/>
        <v>-0.67583333333333329</v>
      </c>
      <c r="S365" s="3">
        <f t="shared" si="43"/>
        <v>-0.28926767676767667</v>
      </c>
      <c r="U365" s="1">
        <f t="shared" si="39"/>
        <v>11.719520202020203</v>
      </c>
      <c r="V365" s="3">
        <f t="shared" si="40"/>
        <v>-0.2892676767676754</v>
      </c>
      <c r="W365" s="3">
        <f t="shared" si="41"/>
        <v>-0.21869834710743855</v>
      </c>
    </row>
    <row r="366" spans="1:23" x14ac:dyDescent="0.25">
      <c r="A366" t="s">
        <v>16</v>
      </c>
      <c r="C366">
        <v>52.048898100000002</v>
      </c>
      <c r="D366">
        <v>-0.57220839999999995</v>
      </c>
      <c r="E366">
        <v>4</v>
      </c>
      <c r="F366">
        <v>4</v>
      </c>
      <c r="G366">
        <v>2022</v>
      </c>
      <c r="H366">
        <v>13</v>
      </c>
      <c r="I366">
        <v>55</v>
      </c>
      <c r="J366">
        <v>52.3</v>
      </c>
      <c r="K366">
        <v>43.2</v>
      </c>
      <c r="L366">
        <v>0</v>
      </c>
      <c r="M366">
        <v>41.353000000000002</v>
      </c>
      <c r="N366">
        <v>0.50800000000000001</v>
      </c>
      <c r="P366" s="1">
        <f t="shared" si="42"/>
        <v>11.486944444444445</v>
      </c>
      <c r="Q366" s="3">
        <f t="shared" si="37"/>
        <v>0.88888888888890349</v>
      </c>
      <c r="R366" s="3">
        <f t="shared" si="38"/>
        <v>-0.52999999999999936</v>
      </c>
      <c r="S366" s="3">
        <f t="shared" si="43"/>
        <v>-0.25290404040404046</v>
      </c>
      <c r="U366" s="1">
        <f t="shared" si="39"/>
        <v>11.660429292929292</v>
      </c>
      <c r="V366" s="3">
        <f t="shared" si="40"/>
        <v>-0.25290404040404368</v>
      </c>
      <c r="W366" s="3">
        <f t="shared" si="41"/>
        <v>-0.219515610651975</v>
      </c>
    </row>
    <row r="367" spans="1:23" x14ac:dyDescent="0.25">
      <c r="A367" t="s">
        <v>16</v>
      </c>
      <c r="C367">
        <v>52.048888300000002</v>
      </c>
      <c r="D367">
        <v>-0.57220289999999996</v>
      </c>
      <c r="E367">
        <v>4</v>
      </c>
      <c r="F367">
        <v>4</v>
      </c>
      <c r="G367">
        <v>2022</v>
      </c>
      <c r="H367">
        <v>13</v>
      </c>
      <c r="I367">
        <v>55</v>
      </c>
      <c r="J367">
        <v>52.4</v>
      </c>
      <c r="K367">
        <v>43.17</v>
      </c>
      <c r="L367">
        <v>0</v>
      </c>
      <c r="M367">
        <v>41.375</v>
      </c>
      <c r="N367">
        <v>0.5</v>
      </c>
      <c r="P367" s="1">
        <f t="shared" si="42"/>
        <v>11.493055555555555</v>
      </c>
      <c r="Q367" s="3">
        <f t="shared" si="37"/>
        <v>6.11111111111029E-2</v>
      </c>
      <c r="R367" s="3">
        <f t="shared" si="38"/>
        <v>-0.33000000000000007</v>
      </c>
      <c r="S367" s="3">
        <f t="shared" si="43"/>
        <v>-0.20898989898989903</v>
      </c>
      <c r="U367" s="1">
        <f t="shared" si="39"/>
        <v>11.610429292929295</v>
      </c>
      <c r="V367" s="3">
        <f t="shared" si="40"/>
        <v>-0.20898989898990195</v>
      </c>
      <c r="W367" s="3">
        <f t="shared" si="41"/>
        <v>-0.20587006427915647</v>
      </c>
    </row>
    <row r="368" spans="1:23" x14ac:dyDescent="0.25">
      <c r="A368" t="s">
        <v>16</v>
      </c>
      <c r="C368">
        <v>52.048878600000002</v>
      </c>
      <c r="D368">
        <v>-0.57219739999999997</v>
      </c>
      <c r="E368">
        <v>4</v>
      </c>
      <c r="F368">
        <v>4</v>
      </c>
      <c r="G368">
        <v>2022</v>
      </c>
      <c r="H368">
        <v>13</v>
      </c>
      <c r="I368">
        <v>55</v>
      </c>
      <c r="J368">
        <v>52.5</v>
      </c>
      <c r="K368">
        <v>43.19</v>
      </c>
      <c r="L368">
        <v>0</v>
      </c>
      <c r="M368">
        <v>41.436</v>
      </c>
      <c r="N368">
        <v>0.497</v>
      </c>
      <c r="P368" s="1">
        <f t="shared" si="42"/>
        <v>11.51</v>
      </c>
      <c r="Q368" s="3">
        <f t="shared" si="37"/>
        <v>0.16944444444444429</v>
      </c>
      <c r="R368" s="3">
        <f t="shared" si="38"/>
        <v>-2.3055555555556495E-2</v>
      </c>
      <c r="S368" s="3">
        <f t="shared" si="43"/>
        <v>-0.15808080808080807</v>
      </c>
      <c r="U368" s="1">
        <f t="shared" si="39"/>
        <v>11.565606060606061</v>
      </c>
      <c r="V368" s="3">
        <f t="shared" si="40"/>
        <v>-0.15808080808080938</v>
      </c>
      <c r="W368" s="3">
        <f t="shared" si="41"/>
        <v>-0.18306703397612656</v>
      </c>
    </row>
    <row r="369" spans="1:23" x14ac:dyDescent="0.25">
      <c r="A369" t="s">
        <v>16</v>
      </c>
      <c r="C369">
        <v>52.048868599999999</v>
      </c>
      <c r="D369">
        <v>-0.57219180000000003</v>
      </c>
      <c r="E369">
        <v>4</v>
      </c>
      <c r="F369">
        <v>4</v>
      </c>
      <c r="G369">
        <v>2022</v>
      </c>
      <c r="H369">
        <v>13</v>
      </c>
      <c r="I369">
        <v>55</v>
      </c>
      <c r="J369">
        <v>52.6</v>
      </c>
      <c r="K369">
        <v>43.18</v>
      </c>
      <c r="L369">
        <v>0</v>
      </c>
      <c r="M369">
        <v>42.026000000000003</v>
      </c>
      <c r="N369">
        <v>0.497</v>
      </c>
      <c r="P369" s="1">
        <f t="shared" si="42"/>
        <v>11.673888888888889</v>
      </c>
      <c r="Q369" s="3">
        <f t="shared" si="37"/>
        <v>1.6388888888888964</v>
      </c>
      <c r="R369" s="3">
        <f t="shared" si="38"/>
        <v>2.3055555555554719E-2</v>
      </c>
      <c r="S369" s="3">
        <f t="shared" si="43"/>
        <v>-0.13363636363636369</v>
      </c>
      <c r="U369" s="1">
        <f t="shared" si="39"/>
        <v>11.548333333333334</v>
      </c>
      <c r="V369" s="3">
        <f t="shared" si="40"/>
        <v>-0.13363636363636644</v>
      </c>
      <c r="W369" s="3">
        <f t="shared" si="41"/>
        <v>-0.15643709825528196</v>
      </c>
    </row>
    <row r="370" spans="1:23" x14ac:dyDescent="0.25">
      <c r="A370" t="s">
        <v>16</v>
      </c>
      <c r="C370">
        <v>52.048858600000003</v>
      </c>
      <c r="D370">
        <v>-0.57218650000000004</v>
      </c>
      <c r="E370">
        <v>4</v>
      </c>
      <c r="F370">
        <v>4</v>
      </c>
      <c r="G370">
        <v>2022</v>
      </c>
      <c r="H370">
        <v>13</v>
      </c>
      <c r="I370">
        <v>55</v>
      </c>
      <c r="J370">
        <v>52.7</v>
      </c>
      <c r="K370">
        <v>43.19</v>
      </c>
      <c r="L370">
        <v>0</v>
      </c>
      <c r="M370">
        <v>42.16</v>
      </c>
      <c r="N370">
        <v>0.5</v>
      </c>
      <c r="P370" s="1">
        <f t="shared" si="42"/>
        <v>11.71111111111111</v>
      </c>
      <c r="Q370" s="3">
        <f t="shared" si="37"/>
        <v>0.37222222222220935</v>
      </c>
      <c r="R370" s="3">
        <f t="shared" si="38"/>
        <v>5.3888888888890207E-2</v>
      </c>
      <c r="S370" s="3">
        <f t="shared" si="43"/>
        <v>-0.12164141414141418</v>
      </c>
      <c r="U370" s="1">
        <f t="shared" si="39"/>
        <v>11.556338383838385</v>
      </c>
      <c r="V370" s="3">
        <f t="shared" si="40"/>
        <v>-0.1216414141414166</v>
      </c>
      <c r="W370" s="3">
        <f t="shared" si="41"/>
        <v>-0.13036271808999267</v>
      </c>
    </row>
    <row r="371" spans="1:23" x14ac:dyDescent="0.25">
      <c r="A371" t="s">
        <v>16</v>
      </c>
      <c r="C371">
        <v>52.048848700000001</v>
      </c>
      <c r="D371">
        <v>-0.57218119999999995</v>
      </c>
      <c r="E371">
        <v>4</v>
      </c>
      <c r="F371">
        <v>4</v>
      </c>
      <c r="G371">
        <v>2022</v>
      </c>
      <c r="H371">
        <v>13</v>
      </c>
      <c r="I371">
        <v>55</v>
      </c>
      <c r="J371">
        <v>52.8</v>
      </c>
      <c r="K371">
        <v>43.22</v>
      </c>
      <c r="L371">
        <v>0</v>
      </c>
      <c r="M371">
        <v>42.253</v>
      </c>
      <c r="N371">
        <v>0.5</v>
      </c>
      <c r="P371" s="1">
        <f t="shared" si="42"/>
        <v>11.736944444444445</v>
      </c>
      <c r="Q371" s="3">
        <f t="shared" si="37"/>
        <v>0.25833333333334707</v>
      </c>
      <c r="R371" s="3">
        <f t="shared" si="38"/>
        <v>2.4999999999998579E-2</v>
      </c>
      <c r="S371" s="3">
        <f t="shared" si="43"/>
        <v>-8.5656565656565806E-2</v>
      </c>
      <c r="U371" s="1">
        <f t="shared" si="39"/>
        <v>11.566691919191918</v>
      </c>
      <c r="V371" s="3">
        <f t="shared" si="40"/>
        <v>-8.5656565656567096E-2</v>
      </c>
      <c r="W371" s="3">
        <f t="shared" si="41"/>
        <v>-0.10799816345271053</v>
      </c>
    </row>
    <row r="372" spans="1:23" x14ac:dyDescent="0.25">
      <c r="A372" t="s">
        <v>16</v>
      </c>
      <c r="C372">
        <v>52.0488389</v>
      </c>
      <c r="D372">
        <v>-0.57217569999999995</v>
      </c>
      <c r="E372">
        <v>4</v>
      </c>
      <c r="F372">
        <v>4</v>
      </c>
      <c r="G372">
        <v>2022</v>
      </c>
      <c r="H372">
        <v>13</v>
      </c>
      <c r="I372">
        <v>55</v>
      </c>
      <c r="J372">
        <v>52.9</v>
      </c>
      <c r="K372">
        <v>43.25</v>
      </c>
      <c r="L372">
        <v>0</v>
      </c>
      <c r="M372">
        <v>42.180999999999997</v>
      </c>
      <c r="N372">
        <v>0.49</v>
      </c>
      <c r="P372" s="1">
        <f t="shared" si="42"/>
        <v>11.716944444444444</v>
      </c>
      <c r="Q372" s="3">
        <f t="shared" si="37"/>
        <v>-0.2000000000000135</v>
      </c>
      <c r="R372" s="3">
        <f t="shared" si="38"/>
        <v>0.26500000000000057</v>
      </c>
      <c r="S372" s="3">
        <f t="shared" si="43"/>
        <v>-5.8459595959596135E-2</v>
      </c>
      <c r="U372" s="1">
        <f t="shared" si="39"/>
        <v>11.591338383838384</v>
      </c>
      <c r="V372" s="3">
        <f t="shared" si="40"/>
        <v>-5.8459595959600819E-2</v>
      </c>
      <c r="W372" s="3">
        <f t="shared" si="41"/>
        <v>-9.0792011019284982E-2</v>
      </c>
    </row>
    <row r="373" spans="1:23" x14ac:dyDescent="0.25">
      <c r="A373" t="s">
        <v>16</v>
      </c>
      <c r="C373">
        <v>52.048828999999998</v>
      </c>
      <c r="D373">
        <v>-0.57217059999999997</v>
      </c>
      <c r="E373">
        <v>4</v>
      </c>
      <c r="F373">
        <v>4</v>
      </c>
      <c r="G373">
        <v>2022</v>
      </c>
      <c r="H373">
        <v>13</v>
      </c>
      <c r="I373">
        <v>55</v>
      </c>
      <c r="J373">
        <v>53</v>
      </c>
      <c r="K373">
        <v>43.24</v>
      </c>
      <c r="L373">
        <v>0</v>
      </c>
      <c r="M373">
        <v>41.594000000000001</v>
      </c>
      <c r="N373">
        <v>0.48199999999999998</v>
      </c>
      <c r="P373" s="1">
        <f t="shared" si="42"/>
        <v>11.553888888888888</v>
      </c>
      <c r="Q373" s="3">
        <f t="shared" si="37"/>
        <v>-1.6305555555555529</v>
      </c>
      <c r="R373" s="3">
        <f t="shared" si="38"/>
        <v>0.29499999999999993</v>
      </c>
      <c r="S373" s="3">
        <f t="shared" si="43"/>
        <v>-4.3181818181818314E-2</v>
      </c>
      <c r="U373" s="1">
        <f t="shared" si="39"/>
        <v>11.619696969696969</v>
      </c>
      <c r="V373" s="3">
        <f t="shared" si="40"/>
        <v>-4.3181818181819764E-2</v>
      </c>
      <c r="W373" s="3">
        <f t="shared" si="41"/>
        <v>-7.9949494949495659E-2</v>
      </c>
    </row>
    <row r="374" spans="1:23" x14ac:dyDescent="0.25">
      <c r="A374" t="s">
        <v>16</v>
      </c>
      <c r="C374">
        <v>52.048819399999999</v>
      </c>
      <c r="D374">
        <v>-0.57216560000000005</v>
      </c>
      <c r="E374">
        <v>4</v>
      </c>
      <c r="F374">
        <v>4</v>
      </c>
      <c r="G374">
        <v>2022</v>
      </c>
      <c r="H374">
        <v>13</v>
      </c>
      <c r="I374">
        <v>55</v>
      </c>
      <c r="J374">
        <v>53.1</v>
      </c>
      <c r="K374">
        <v>43.27</v>
      </c>
      <c r="L374">
        <v>0</v>
      </c>
      <c r="M374">
        <v>40.993000000000002</v>
      </c>
      <c r="N374">
        <v>0.48599999999999999</v>
      </c>
      <c r="P374" s="1">
        <f t="shared" si="42"/>
        <v>11.386944444444444</v>
      </c>
      <c r="Q374" s="3">
        <f t="shared" si="37"/>
        <v>-1.6694444444444478</v>
      </c>
      <c r="R374" s="3">
        <f t="shared" si="38"/>
        <v>-0.125</v>
      </c>
      <c r="S374" s="3">
        <f t="shared" si="43"/>
        <v>-4.0631313131313102E-2</v>
      </c>
      <c r="U374" s="1">
        <f t="shared" si="39"/>
        <v>11.623232323232322</v>
      </c>
      <c r="V374" s="3">
        <f t="shared" si="40"/>
        <v>-4.0631313131314073E-2</v>
      </c>
      <c r="W374" s="3">
        <f t="shared" si="41"/>
        <v>-7.2460973370064644E-2</v>
      </c>
    </row>
    <row r="375" spans="1:23" x14ac:dyDescent="0.25">
      <c r="A375" t="s">
        <v>16</v>
      </c>
      <c r="C375">
        <v>52.048809599999998</v>
      </c>
      <c r="D375">
        <v>-0.57216060000000002</v>
      </c>
      <c r="E375">
        <v>4</v>
      </c>
      <c r="F375">
        <v>4</v>
      </c>
      <c r="G375">
        <v>2022</v>
      </c>
      <c r="H375">
        <v>13</v>
      </c>
      <c r="I375">
        <v>55</v>
      </c>
      <c r="J375">
        <v>53.2</v>
      </c>
      <c r="K375">
        <v>43.28</v>
      </c>
      <c r="L375">
        <v>0</v>
      </c>
      <c r="M375">
        <v>41.226999999999997</v>
      </c>
      <c r="N375">
        <v>0.48599999999999999</v>
      </c>
      <c r="P375" s="1">
        <f t="shared" si="42"/>
        <v>11.451944444444445</v>
      </c>
      <c r="Q375" s="3">
        <f t="shared" si="37"/>
        <v>0.65000000000001279</v>
      </c>
      <c r="R375" s="3">
        <f t="shared" si="38"/>
        <v>-0.31611111111111079</v>
      </c>
      <c r="S375" s="3">
        <f t="shared" si="43"/>
        <v>-4.1540404040403996E-2</v>
      </c>
      <c r="U375" s="1">
        <f t="shared" si="39"/>
        <v>11.597878787878786</v>
      </c>
      <c r="V375" s="3">
        <f t="shared" si="40"/>
        <v>-4.1540404040404155E-2</v>
      </c>
      <c r="W375" s="3">
        <f t="shared" si="41"/>
        <v>-6.1590909090908787E-2</v>
      </c>
    </row>
    <row r="376" spans="1:23" x14ac:dyDescent="0.25">
      <c r="A376" t="s">
        <v>16</v>
      </c>
      <c r="C376">
        <v>52.048799600000002</v>
      </c>
      <c r="D376">
        <v>-0.572156</v>
      </c>
      <c r="E376">
        <v>4</v>
      </c>
      <c r="F376">
        <v>4</v>
      </c>
      <c r="G376">
        <v>2022</v>
      </c>
      <c r="H376">
        <v>13</v>
      </c>
      <c r="I376">
        <v>55</v>
      </c>
      <c r="J376">
        <v>53.3</v>
      </c>
      <c r="K376">
        <v>43.29</v>
      </c>
      <c r="L376">
        <v>0</v>
      </c>
      <c r="M376">
        <v>41.442999999999998</v>
      </c>
      <c r="N376">
        <v>0.49</v>
      </c>
      <c r="P376" s="1">
        <f t="shared" si="42"/>
        <v>11.511944444444444</v>
      </c>
      <c r="Q376" s="3">
        <f t="shared" si="37"/>
        <v>0.59999999999998721</v>
      </c>
      <c r="R376" s="3">
        <f t="shared" si="38"/>
        <v>-0.28000000000000114</v>
      </c>
      <c r="S376" s="3">
        <f t="shared" si="43"/>
        <v>-4.3257575757575821E-2</v>
      </c>
      <c r="U376" s="1">
        <f t="shared" si="39"/>
        <v>11.574772727272725</v>
      </c>
      <c r="V376" s="3">
        <f t="shared" si="40"/>
        <v>-4.3257575757571942E-2</v>
      </c>
      <c r="W376" s="3">
        <f t="shared" si="41"/>
        <v>-4.6157024793387631E-2</v>
      </c>
    </row>
    <row r="377" spans="1:23" x14ac:dyDescent="0.25">
      <c r="A377" t="s">
        <v>16</v>
      </c>
      <c r="C377">
        <v>52.048789599999999</v>
      </c>
      <c r="D377">
        <v>-0.57215099999999997</v>
      </c>
      <c r="E377">
        <v>4</v>
      </c>
      <c r="F377">
        <v>4</v>
      </c>
      <c r="G377">
        <v>2022</v>
      </c>
      <c r="H377">
        <v>13</v>
      </c>
      <c r="I377">
        <v>55</v>
      </c>
      <c r="J377">
        <v>53.4</v>
      </c>
      <c r="K377">
        <v>43.34</v>
      </c>
      <c r="L377">
        <v>0</v>
      </c>
      <c r="M377">
        <v>42.329000000000001</v>
      </c>
      <c r="N377">
        <v>0.50800000000000001</v>
      </c>
      <c r="P377" s="1">
        <f t="shared" si="42"/>
        <v>11.758055555555556</v>
      </c>
      <c r="Q377" s="3">
        <f t="shared" si="37"/>
        <v>2.4611111111111228</v>
      </c>
      <c r="R377" s="3">
        <f t="shared" si="38"/>
        <v>-0.230833333333333</v>
      </c>
      <c r="S377" s="3">
        <f t="shared" si="43"/>
        <v>-6.3636363636363574E-2</v>
      </c>
      <c r="U377" s="1">
        <f t="shared" si="39"/>
        <v>11.551969696969694</v>
      </c>
      <c r="V377" s="3">
        <f t="shared" si="40"/>
        <v>-6.3636363636362603E-2</v>
      </c>
      <c r="W377" s="3">
        <f t="shared" si="41"/>
        <v>-2.8558310376491036E-2</v>
      </c>
    </row>
    <row r="378" spans="1:23" x14ac:dyDescent="0.25">
      <c r="A378" t="s">
        <v>16</v>
      </c>
      <c r="C378">
        <v>52.048779500000002</v>
      </c>
      <c r="D378">
        <v>-0.57214560000000003</v>
      </c>
      <c r="E378">
        <v>4</v>
      </c>
      <c r="F378">
        <v>4</v>
      </c>
      <c r="G378">
        <v>2022</v>
      </c>
      <c r="H378">
        <v>13</v>
      </c>
      <c r="I378">
        <v>55</v>
      </c>
      <c r="J378">
        <v>53.5</v>
      </c>
      <c r="K378">
        <v>43.32</v>
      </c>
      <c r="L378">
        <v>0</v>
      </c>
      <c r="M378">
        <v>42.497999999999998</v>
      </c>
      <c r="N378">
        <v>0.51800000000000002</v>
      </c>
      <c r="P378" s="1">
        <f t="shared" si="42"/>
        <v>11.805</v>
      </c>
      <c r="Q378" s="3">
        <f t="shared" si="37"/>
        <v>0.46944444444443789</v>
      </c>
      <c r="R378" s="3">
        <f t="shared" si="38"/>
        <v>-0.161944444444444</v>
      </c>
      <c r="S378" s="3">
        <f t="shared" si="43"/>
        <v>-8.972222222222212E-2</v>
      </c>
      <c r="U378" s="1">
        <f t="shared" si="39"/>
        <v>11.522424242424242</v>
      </c>
      <c r="V378" s="3">
        <f t="shared" si="40"/>
        <v>-8.9722222222219372E-2</v>
      </c>
      <c r="W378" s="3">
        <f t="shared" si="41"/>
        <v>-8.9531680440754508E-3</v>
      </c>
    </row>
    <row r="379" spans="1:23" x14ac:dyDescent="0.25">
      <c r="A379" t="s">
        <v>16</v>
      </c>
      <c r="C379">
        <v>52.0487696</v>
      </c>
      <c r="D379">
        <v>-0.57214069999999995</v>
      </c>
      <c r="E379">
        <v>4</v>
      </c>
      <c r="F379">
        <v>4</v>
      </c>
      <c r="G379">
        <v>2022</v>
      </c>
      <c r="H379">
        <v>13</v>
      </c>
      <c r="I379">
        <v>55</v>
      </c>
      <c r="J379">
        <v>53.6</v>
      </c>
      <c r="K379">
        <v>43.3</v>
      </c>
      <c r="L379">
        <v>0</v>
      </c>
      <c r="M379">
        <v>41.576000000000001</v>
      </c>
      <c r="N379">
        <v>0.53600000000000003</v>
      </c>
      <c r="P379" s="1">
        <f t="shared" si="42"/>
        <v>11.548888888888889</v>
      </c>
      <c r="Q379" s="3">
        <f t="shared" si="37"/>
        <v>-2.5611111111111029</v>
      </c>
      <c r="R379" s="3">
        <f t="shared" si="38"/>
        <v>5.0000000000007816E-3</v>
      </c>
      <c r="S379" s="3">
        <f t="shared" si="43"/>
        <v>-7.5707070707070598E-2</v>
      </c>
      <c r="U379" s="1">
        <f t="shared" si="39"/>
        <v>11.50770202020202</v>
      </c>
      <c r="V379" s="3">
        <f t="shared" si="40"/>
        <v>-7.5707070707068169E-2</v>
      </c>
      <c r="W379" s="3">
        <f t="shared" si="41"/>
        <v>1.3611111111112996E-2</v>
      </c>
    </row>
    <row r="380" spans="1:23" x14ac:dyDescent="0.25">
      <c r="A380" t="s">
        <v>16</v>
      </c>
      <c r="C380">
        <v>52.048759799999999</v>
      </c>
      <c r="D380">
        <v>-0.57213619999999998</v>
      </c>
      <c r="E380">
        <v>4</v>
      </c>
      <c r="F380">
        <v>4</v>
      </c>
      <c r="G380">
        <v>2022</v>
      </c>
      <c r="H380">
        <v>13</v>
      </c>
      <c r="I380">
        <v>55</v>
      </c>
      <c r="J380">
        <v>53.7</v>
      </c>
      <c r="K380">
        <v>43.29</v>
      </c>
      <c r="L380">
        <v>0</v>
      </c>
      <c r="M380">
        <v>41.021999999999998</v>
      </c>
      <c r="N380">
        <v>0.53600000000000003</v>
      </c>
      <c r="P380" s="1">
        <f t="shared" si="42"/>
        <v>11.395</v>
      </c>
      <c r="Q380" s="3">
        <f t="shared" si="37"/>
        <v>-1.5388888888888985</v>
      </c>
      <c r="R380" s="3">
        <f t="shared" si="38"/>
        <v>1.3055555555554932E-2</v>
      </c>
      <c r="S380" s="3">
        <f t="shared" si="43"/>
        <v>-1.4065656565656422E-2</v>
      </c>
      <c r="U380" s="1">
        <f t="shared" si="39"/>
        <v>11.514797979797981</v>
      </c>
      <c r="V380" s="3">
        <f t="shared" si="40"/>
        <v>-1.4065656565652063E-2</v>
      </c>
      <c r="W380" s="3">
        <f t="shared" si="41"/>
        <v>3.8721303948578492E-2</v>
      </c>
    </row>
    <row r="381" spans="1:23" x14ac:dyDescent="0.25">
      <c r="A381" t="s">
        <v>16</v>
      </c>
      <c r="C381">
        <v>52.048749700000002</v>
      </c>
      <c r="D381">
        <v>-0.57213170000000002</v>
      </c>
      <c r="E381">
        <v>4</v>
      </c>
      <c r="F381">
        <v>4</v>
      </c>
      <c r="G381">
        <v>2022</v>
      </c>
      <c r="H381">
        <v>13</v>
      </c>
      <c r="I381">
        <v>55</v>
      </c>
      <c r="J381">
        <v>53.8</v>
      </c>
      <c r="K381">
        <v>43.26</v>
      </c>
      <c r="L381">
        <v>0</v>
      </c>
      <c r="M381">
        <v>41.244999999999997</v>
      </c>
      <c r="N381">
        <v>0.52200000000000002</v>
      </c>
      <c r="P381" s="1">
        <f t="shared" si="42"/>
        <v>11.456944444444444</v>
      </c>
      <c r="Q381" s="3">
        <f t="shared" si="37"/>
        <v>0.61944444444444358</v>
      </c>
      <c r="R381" s="3">
        <f t="shared" si="38"/>
        <v>3.5000000000000142E-2</v>
      </c>
      <c r="S381" s="3">
        <f t="shared" si="43"/>
        <v>4.8131313131313226E-2</v>
      </c>
      <c r="U381" s="1">
        <f t="shared" si="39"/>
        <v>11.523434343434346</v>
      </c>
      <c r="V381" s="3">
        <f t="shared" si="40"/>
        <v>4.8131313131316134E-2</v>
      </c>
      <c r="W381" s="3">
        <f t="shared" si="41"/>
        <v>6.5989439853077675E-2</v>
      </c>
    </row>
    <row r="382" spans="1:23" x14ac:dyDescent="0.25">
      <c r="A382" t="s">
        <v>16</v>
      </c>
      <c r="C382">
        <v>52.048739599999998</v>
      </c>
      <c r="D382">
        <v>-0.57212730000000001</v>
      </c>
      <c r="E382">
        <v>4</v>
      </c>
      <c r="F382">
        <v>4</v>
      </c>
      <c r="G382">
        <v>2022</v>
      </c>
      <c r="H382">
        <v>13</v>
      </c>
      <c r="I382">
        <v>55</v>
      </c>
      <c r="J382">
        <v>53.9</v>
      </c>
      <c r="K382">
        <v>43.21</v>
      </c>
      <c r="L382">
        <v>0</v>
      </c>
      <c r="M382">
        <v>41.35</v>
      </c>
      <c r="N382">
        <v>0.52200000000000002</v>
      </c>
      <c r="P382" s="1">
        <f t="shared" si="42"/>
        <v>11.486111111111111</v>
      </c>
      <c r="Q382" s="3">
        <f t="shared" si="37"/>
        <v>0.29166666666666785</v>
      </c>
      <c r="R382" s="3">
        <f t="shared" si="38"/>
        <v>-0.19916666666666671</v>
      </c>
      <c r="S382" s="3">
        <f t="shared" si="43"/>
        <v>0.10792929292929317</v>
      </c>
      <c r="U382" s="1">
        <f t="shared" si="39"/>
        <v>11.527702020202021</v>
      </c>
      <c r="V382" s="3">
        <f t="shared" si="40"/>
        <v>0.10792929292929543</v>
      </c>
      <c r="W382" s="3">
        <f t="shared" si="41"/>
        <v>9.4967860422406916E-2</v>
      </c>
    </row>
    <row r="383" spans="1:23" x14ac:dyDescent="0.25">
      <c r="A383" t="s">
        <v>16</v>
      </c>
      <c r="C383">
        <v>52.048729600000001</v>
      </c>
      <c r="D383">
        <v>-0.57212300000000005</v>
      </c>
      <c r="E383">
        <v>4</v>
      </c>
      <c r="F383">
        <v>4</v>
      </c>
      <c r="G383">
        <v>2022</v>
      </c>
      <c r="H383">
        <v>13</v>
      </c>
      <c r="I383">
        <v>55</v>
      </c>
      <c r="J383">
        <v>54</v>
      </c>
      <c r="K383">
        <v>43.17</v>
      </c>
      <c r="L383">
        <v>0</v>
      </c>
      <c r="M383">
        <v>41.011000000000003</v>
      </c>
      <c r="N383">
        <v>0.49</v>
      </c>
      <c r="P383" s="1">
        <f t="shared" si="42"/>
        <v>11.391944444444444</v>
      </c>
      <c r="Q383" s="3">
        <f t="shared" si="37"/>
        <v>-0.94166666666666288</v>
      </c>
      <c r="R383" s="3">
        <f t="shared" si="38"/>
        <v>-2.1944444444443434E-2</v>
      </c>
      <c r="S383" s="3">
        <f t="shared" si="43"/>
        <v>0.15719696969696997</v>
      </c>
      <c r="U383" s="1">
        <f t="shared" si="39"/>
        <v>11.52997474747475</v>
      </c>
      <c r="V383" s="3">
        <f t="shared" si="40"/>
        <v>0.15719696969697061</v>
      </c>
      <c r="W383" s="3">
        <f t="shared" si="41"/>
        <v>0.12503213957759501</v>
      </c>
    </row>
    <row r="384" spans="1:23" x14ac:dyDescent="0.25">
      <c r="A384" t="s">
        <v>16</v>
      </c>
      <c r="C384">
        <v>52.048719499999997</v>
      </c>
      <c r="D384">
        <v>-0.57211909999999999</v>
      </c>
      <c r="E384">
        <v>4</v>
      </c>
      <c r="F384">
        <v>4</v>
      </c>
      <c r="G384">
        <v>2022</v>
      </c>
      <c r="H384">
        <v>13</v>
      </c>
      <c r="I384">
        <v>55</v>
      </c>
      <c r="J384">
        <v>54.1</v>
      </c>
      <c r="K384">
        <v>43.11</v>
      </c>
      <c r="L384">
        <v>0</v>
      </c>
      <c r="M384">
        <v>41.011000000000003</v>
      </c>
      <c r="N384">
        <v>0.49299999999999999</v>
      </c>
      <c r="P384" s="1">
        <f t="shared" si="42"/>
        <v>11.391944444444444</v>
      </c>
      <c r="Q384" s="3">
        <f t="shared" si="37"/>
        <v>0</v>
      </c>
      <c r="R384" s="3">
        <f t="shared" si="38"/>
        <v>0.44916666666666671</v>
      </c>
      <c r="S384" s="3">
        <f t="shared" si="43"/>
        <v>0.20502525252525269</v>
      </c>
      <c r="U384" s="1">
        <f t="shared" si="39"/>
        <v>11.547525252525254</v>
      </c>
      <c r="V384" s="3">
        <f t="shared" si="40"/>
        <v>0.20502525252525317</v>
      </c>
      <c r="W384" s="3">
        <f t="shared" si="41"/>
        <v>0.15350091827364601</v>
      </c>
    </row>
    <row r="385" spans="1:23" x14ac:dyDescent="0.25">
      <c r="A385" t="s">
        <v>16</v>
      </c>
      <c r="C385">
        <v>52.0487094</v>
      </c>
      <c r="D385">
        <v>-0.57211529999999999</v>
      </c>
      <c r="E385">
        <v>4</v>
      </c>
      <c r="F385">
        <v>4</v>
      </c>
      <c r="G385">
        <v>2022</v>
      </c>
      <c r="H385">
        <v>13</v>
      </c>
      <c r="I385">
        <v>55</v>
      </c>
      <c r="J385">
        <v>54.2</v>
      </c>
      <c r="K385">
        <v>43.07</v>
      </c>
      <c r="L385">
        <v>0</v>
      </c>
      <c r="M385">
        <v>41.274000000000001</v>
      </c>
      <c r="N385">
        <v>0.497</v>
      </c>
      <c r="P385" s="1">
        <f t="shared" si="42"/>
        <v>11.465</v>
      </c>
      <c r="Q385" s="3">
        <f t="shared" si="37"/>
        <v>0.73055555555555429</v>
      </c>
      <c r="R385" s="3">
        <f t="shared" si="38"/>
        <v>0.55305555555555586</v>
      </c>
      <c r="S385" s="3">
        <f t="shared" si="43"/>
        <v>0.23558080808080817</v>
      </c>
      <c r="U385" s="1">
        <f t="shared" si="39"/>
        <v>11.583813131313134</v>
      </c>
      <c r="V385" s="3">
        <f t="shared" si="40"/>
        <v>0.23558080808080639</v>
      </c>
      <c r="W385" s="3">
        <f t="shared" si="41"/>
        <v>0.17285812672176301</v>
      </c>
    </row>
    <row r="386" spans="1:23" x14ac:dyDescent="0.25">
      <c r="A386" t="s">
        <v>16</v>
      </c>
      <c r="C386">
        <v>52.048699200000001</v>
      </c>
      <c r="D386">
        <v>-0.57211160000000005</v>
      </c>
      <c r="E386">
        <v>4</v>
      </c>
      <c r="F386">
        <v>4</v>
      </c>
      <c r="G386">
        <v>2022</v>
      </c>
      <c r="H386">
        <v>13</v>
      </c>
      <c r="I386">
        <v>55</v>
      </c>
      <c r="J386">
        <v>54.3</v>
      </c>
      <c r="K386">
        <v>43.06</v>
      </c>
      <c r="L386">
        <v>0</v>
      </c>
      <c r="M386">
        <v>41.569000000000003</v>
      </c>
      <c r="N386">
        <v>0.52900000000000003</v>
      </c>
      <c r="P386" s="1">
        <f t="shared" si="42"/>
        <v>11.546944444444444</v>
      </c>
      <c r="Q386" s="3">
        <f t="shared" si="37"/>
        <v>0.81944444444443931</v>
      </c>
      <c r="R386" s="3">
        <f t="shared" si="38"/>
        <v>0.36805555555555536</v>
      </c>
      <c r="S386" s="3">
        <f t="shared" si="43"/>
        <v>0.2584090909090912</v>
      </c>
      <c r="U386" s="1">
        <f t="shared" si="39"/>
        <v>11.622904040404041</v>
      </c>
      <c r="V386" s="3">
        <f t="shared" si="40"/>
        <v>0.25840909090908681</v>
      </c>
      <c r="W386" s="3">
        <f t="shared" si="41"/>
        <v>0.17715564738291967</v>
      </c>
    </row>
    <row r="387" spans="1:23" x14ac:dyDescent="0.25">
      <c r="A387" t="s">
        <v>16</v>
      </c>
      <c r="C387">
        <v>52.048689099999997</v>
      </c>
      <c r="D387">
        <v>-0.57210830000000001</v>
      </c>
      <c r="E387">
        <v>4</v>
      </c>
      <c r="F387">
        <v>4</v>
      </c>
      <c r="G387">
        <v>2022</v>
      </c>
      <c r="H387">
        <v>13</v>
      </c>
      <c r="I387">
        <v>55</v>
      </c>
      <c r="J387">
        <v>54.4</v>
      </c>
      <c r="K387">
        <v>43.06</v>
      </c>
      <c r="L387">
        <v>0</v>
      </c>
      <c r="M387">
        <v>41.612000000000002</v>
      </c>
      <c r="N387">
        <v>0.56200000000000006</v>
      </c>
      <c r="P387" s="1">
        <f t="shared" si="42"/>
        <v>11.558888888888889</v>
      </c>
      <c r="Q387" s="3">
        <f t="shared" si="37"/>
        <v>0.11944444444445423</v>
      </c>
      <c r="R387" s="3">
        <f t="shared" si="38"/>
        <v>0.37777777777777821</v>
      </c>
      <c r="S387" s="3">
        <f t="shared" si="43"/>
        <v>0.27550505050505075</v>
      </c>
      <c r="U387" s="1">
        <f t="shared" si="39"/>
        <v>11.65989898989899</v>
      </c>
      <c r="V387" s="3">
        <f t="shared" si="40"/>
        <v>0.27550505050504981</v>
      </c>
      <c r="W387" s="3">
        <f t="shared" si="41"/>
        <v>0.17038567493112874</v>
      </c>
    </row>
    <row r="388" spans="1:23" x14ac:dyDescent="0.25">
      <c r="A388" t="s">
        <v>16</v>
      </c>
      <c r="C388">
        <v>52.048678600000002</v>
      </c>
      <c r="D388">
        <v>-0.57210490000000003</v>
      </c>
      <c r="E388">
        <v>4</v>
      </c>
      <c r="F388">
        <v>4</v>
      </c>
      <c r="G388">
        <v>2022</v>
      </c>
      <c r="H388">
        <v>13</v>
      </c>
      <c r="I388">
        <v>55</v>
      </c>
      <c r="J388">
        <v>54.5</v>
      </c>
      <c r="K388">
        <v>43.06</v>
      </c>
      <c r="L388">
        <v>0</v>
      </c>
      <c r="M388">
        <v>42.418999999999997</v>
      </c>
      <c r="N388">
        <v>0.57199999999999995</v>
      </c>
      <c r="P388" s="1">
        <f t="shared" si="42"/>
        <v>11.783055555555556</v>
      </c>
      <c r="Q388" s="3">
        <f t="shared" si="37"/>
        <v>2.2416666666666707</v>
      </c>
      <c r="R388" s="3">
        <f t="shared" si="38"/>
        <v>0.31111111111111178</v>
      </c>
      <c r="S388" s="3">
        <f t="shared" si="43"/>
        <v>0.26707070707070729</v>
      </c>
      <c r="U388" s="1">
        <f t="shared" si="39"/>
        <v>11.679621212121212</v>
      </c>
      <c r="V388" s="3">
        <f t="shared" si="40"/>
        <v>0.26707070707070635</v>
      </c>
      <c r="W388" s="3">
        <f t="shared" si="41"/>
        <v>0.15642791551882354</v>
      </c>
    </row>
    <row r="389" spans="1:23" x14ac:dyDescent="0.25">
      <c r="A389" t="s">
        <v>16</v>
      </c>
      <c r="C389">
        <v>52.048667999999999</v>
      </c>
      <c r="D389">
        <v>-0.57210179999999999</v>
      </c>
      <c r="E389">
        <v>4</v>
      </c>
      <c r="F389">
        <v>4</v>
      </c>
      <c r="G389">
        <v>2022</v>
      </c>
      <c r="H389">
        <v>13</v>
      </c>
      <c r="I389">
        <v>55</v>
      </c>
      <c r="J389">
        <v>54.6</v>
      </c>
      <c r="K389">
        <v>43.08</v>
      </c>
      <c r="L389">
        <v>0</v>
      </c>
      <c r="M389">
        <v>43.192999999999998</v>
      </c>
      <c r="N389">
        <v>0.58299999999999996</v>
      </c>
      <c r="P389" s="1">
        <f t="shared" si="42"/>
        <v>11.998055555555556</v>
      </c>
      <c r="Q389" s="3">
        <f t="shared" ref="Q389:Q452" si="44">10*($P389-$P388)</f>
        <v>2.1499999999999986</v>
      </c>
      <c r="R389" s="3">
        <f t="shared" si="38"/>
        <v>0.36416666666666586</v>
      </c>
      <c r="S389" s="3">
        <f t="shared" si="43"/>
        <v>0.22343434343434349</v>
      </c>
      <c r="U389" s="1">
        <f t="shared" si="39"/>
        <v>11.712727272727273</v>
      </c>
      <c r="V389" s="3">
        <f t="shared" si="40"/>
        <v>0.22343434343434154</v>
      </c>
      <c r="W389" s="3">
        <f t="shared" si="41"/>
        <v>0.13836088154269854</v>
      </c>
    </row>
    <row r="390" spans="1:23" x14ac:dyDescent="0.25">
      <c r="A390" t="s">
        <v>16</v>
      </c>
      <c r="C390">
        <v>52.048657599999999</v>
      </c>
      <c r="D390">
        <v>-0.57209860000000001</v>
      </c>
      <c r="E390">
        <v>4</v>
      </c>
      <c r="F390">
        <v>4</v>
      </c>
      <c r="G390">
        <v>2022</v>
      </c>
      <c r="H390">
        <v>13</v>
      </c>
      <c r="I390">
        <v>55</v>
      </c>
      <c r="J390">
        <v>54.7</v>
      </c>
      <c r="K390">
        <v>43.09</v>
      </c>
      <c r="L390">
        <v>0</v>
      </c>
      <c r="M390">
        <v>43.012999999999998</v>
      </c>
      <c r="N390">
        <v>0.56499999999999995</v>
      </c>
      <c r="P390" s="1">
        <f t="shared" si="42"/>
        <v>11.948055555555555</v>
      </c>
      <c r="Q390" s="3">
        <f t="shared" si="44"/>
        <v>-0.50000000000000711</v>
      </c>
      <c r="R390" s="3">
        <f t="shared" si="38"/>
        <v>0.34111111111111114</v>
      </c>
      <c r="S390" s="3">
        <f t="shared" si="43"/>
        <v>0.13722222222222219</v>
      </c>
      <c r="U390" s="1">
        <f t="shared" si="39"/>
        <v>11.750378787878788</v>
      </c>
      <c r="V390" s="3">
        <f t="shared" si="40"/>
        <v>0.1372222222222188</v>
      </c>
      <c r="W390" s="3">
        <f t="shared" si="41"/>
        <v>0.11698576675849282</v>
      </c>
    </row>
    <row r="391" spans="1:23" x14ac:dyDescent="0.25">
      <c r="A391" t="s">
        <v>16</v>
      </c>
      <c r="C391">
        <v>52.048647299999999</v>
      </c>
      <c r="D391">
        <v>-0.57209560000000004</v>
      </c>
      <c r="E391">
        <v>4</v>
      </c>
      <c r="F391">
        <v>4</v>
      </c>
      <c r="G391">
        <v>2022</v>
      </c>
      <c r="H391">
        <v>13</v>
      </c>
      <c r="I391">
        <v>55</v>
      </c>
      <c r="J391">
        <v>54.8</v>
      </c>
      <c r="K391">
        <v>43.13</v>
      </c>
      <c r="L391">
        <v>0</v>
      </c>
      <c r="M391">
        <v>42.57</v>
      </c>
      <c r="N391">
        <v>0.56499999999999995</v>
      </c>
      <c r="P391" s="1">
        <f t="shared" si="42"/>
        <v>11.824999999999999</v>
      </c>
      <c r="Q391" s="3">
        <f t="shared" si="44"/>
        <v>-1.2305555555555614</v>
      </c>
      <c r="R391" s="3">
        <f t="shared" si="38"/>
        <v>0.26416666666666799</v>
      </c>
      <c r="S391" s="3">
        <f t="shared" si="43"/>
        <v>3.320707070707065E-2</v>
      </c>
      <c r="U391" s="1">
        <f t="shared" si="39"/>
        <v>11.781843434343433</v>
      </c>
      <c r="V391" s="3">
        <f t="shared" si="40"/>
        <v>3.3207070707071296E-2</v>
      </c>
      <c r="W391" s="3">
        <f t="shared" si="41"/>
        <v>9.3838383838382999E-2</v>
      </c>
    </row>
    <row r="392" spans="1:23" x14ac:dyDescent="0.25">
      <c r="A392" t="s">
        <v>16</v>
      </c>
      <c r="C392">
        <v>52.048636799999997</v>
      </c>
      <c r="D392">
        <v>-0.57209290000000002</v>
      </c>
      <c r="E392">
        <v>4</v>
      </c>
      <c r="F392">
        <v>4</v>
      </c>
      <c r="G392">
        <v>2022</v>
      </c>
      <c r="H392">
        <v>13</v>
      </c>
      <c r="I392">
        <v>55</v>
      </c>
      <c r="J392">
        <v>54.9</v>
      </c>
      <c r="K392">
        <v>43.15</v>
      </c>
      <c r="L392">
        <v>0</v>
      </c>
      <c r="M392">
        <v>42.71</v>
      </c>
      <c r="N392">
        <v>0.56899999999999995</v>
      </c>
      <c r="P392" s="1">
        <f t="shared" si="42"/>
        <v>11.863888888888889</v>
      </c>
      <c r="Q392" s="3">
        <f t="shared" si="44"/>
        <v>0.38888888888889639</v>
      </c>
      <c r="R392" s="3">
        <f t="shared" si="38"/>
        <v>0.22305555555555578</v>
      </c>
      <c r="S392" s="3">
        <f t="shared" si="43"/>
        <v>-2.6338383838383838E-2</v>
      </c>
      <c r="U392" s="1">
        <f t="shared" si="39"/>
        <v>11.803207070707071</v>
      </c>
      <c r="V392" s="3">
        <f t="shared" si="40"/>
        <v>-2.6338383838384161E-2</v>
      </c>
      <c r="W392" s="3">
        <f t="shared" si="41"/>
        <v>6.971303948576639E-2</v>
      </c>
    </row>
    <row r="393" spans="1:23" x14ac:dyDescent="0.25">
      <c r="A393" t="s">
        <v>16</v>
      </c>
      <c r="C393">
        <v>52.048626599999999</v>
      </c>
      <c r="D393">
        <v>-0.57209010000000005</v>
      </c>
      <c r="E393">
        <v>4</v>
      </c>
      <c r="F393">
        <v>4</v>
      </c>
      <c r="G393">
        <v>2022</v>
      </c>
      <c r="H393">
        <v>13</v>
      </c>
      <c r="I393">
        <v>55</v>
      </c>
      <c r="J393">
        <v>55</v>
      </c>
      <c r="K393">
        <v>43.17</v>
      </c>
      <c r="L393">
        <v>0</v>
      </c>
      <c r="M393">
        <v>42.131</v>
      </c>
      <c r="N393">
        <v>0.52900000000000003</v>
      </c>
      <c r="P393" s="1">
        <f t="shared" si="42"/>
        <v>11.703055555555556</v>
      </c>
      <c r="Q393" s="3">
        <f t="shared" si="44"/>
        <v>-1.6083333333333272</v>
      </c>
      <c r="R393" s="3">
        <f t="shared" ref="R393:R456" si="45">($P398-$P388)</f>
        <v>-0.29194444444444478</v>
      </c>
      <c r="S393" s="3">
        <f t="shared" si="43"/>
        <v>-4.5606060606060629E-2</v>
      </c>
      <c r="U393" s="1">
        <f t="shared" ref="U393:U456" si="46">AVERAGE(P388:P398)</f>
        <v>11.797045454545456</v>
      </c>
      <c r="V393" s="3">
        <f t="shared" ref="V393:V456" si="47">($U398-$U388)</f>
        <v>-4.560606060606176E-2</v>
      </c>
      <c r="W393" s="3">
        <f t="shared" si="41"/>
        <v>4.7502295684113675E-2</v>
      </c>
    </row>
    <row r="394" spans="1:23" x14ac:dyDescent="0.25">
      <c r="A394" t="s">
        <v>16</v>
      </c>
      <c r="C394">
        <v>52.048616299999999</v>
      </c>
      <c r="D394">
        <v>-0.57208689999999995</v>
      </c>
      <c r="E394">
        <v>4</v>
      </c>
      <c r="F394">
        <v>4</v>
      </c>
      <c r="G394">
        <v>2022</v>
      </c>
      <c r="H394">
        <v>13</v>
      </c>
      <c r="I394">
        <v>55</v>
      </c>
      <c r="J394">
        <v>55.1</v>
      </c>
      <c r="K394">
        <v>43.19</v>
      </c>
      <c r="L394">
        <v>0</v>
      </c>
      <c r="M394">
        <v>42.322000000000003</v>
      </c>
      <c r="N394">
        <v>0.52600000000000002</v>
      </c>
      <c r="P394" s="1">
        <f t="shared" si="42"/>
        <v>11.75611111111111</v>
      </c>
      <c r="Q394" s="3">
        <f t="shared" si="44"/>
        <v>0.53055555555554079</v>
      </c>
      <c r="R394" s="3">
        <f t="shared" si="45"/>
        <v>-0.50194444444444564</v>
      </c>
      <c r="S394" s="3">
        <f t="shared" si="43"/>
        <v>-4.1540404040403996E-2</v>
      </c>
      <c r="U394" s="1">
        <f t="shared" si="46"/>
        <v>11.770959595959596</v>
      </c>
      <c r="V394" s="3">
        <f t="shared" si="47"/>
        <v>-4.1540404040404155E-2</v>
      </c>
      <c r="W394" s="3">
        <f t="shared" si="41"/>
        <v>3.2098255280073283E-2</v>
      </c>
    </row>
    <row r="395" spans="1:23" x14ac:dyDescent="0.25">
      <c r="A395" t="s">
        <v>16</v>
      </c>
      <c r="C395">
        <v>52.048605899999998</v>
      </c>
      <c r="D395">
        <v>-0.57208380000000003</v>
      </c>
      <c r="E395">
        <v>4</v>
      </c>
      <c r="F395">
        <v>4</v>
      </c>
      <c r="G395">
        <v>2022</v>
      </c>
      <c r="H395">
        <v>13</v>
      </c>
      <c r="I395">
        <v>55</v>
      </c>
      <c r="J395">
        <v>55.2</v>
      </c>
      <c r="K395">
        <v>43.2</v>
      </c>
      <c r="L395">
        <v>0</v>
      </c>
      <c r="M395">
        <v>42.502000000000002</v>
      </c>
      <c r="N395">
        <v>0.51500000000000001</v>
      </c>
      <c r="P395" s="1">
        <f t="shared" si="42"/>
        <v>11.806111111111111</v>
      </c>
      <c r="Q395" s="3">
        <f t="shared" si="44"/>
        <v>0.50000000000000711</v>
      </c>
      <c r="R395" s="3">
        <f t="shared" si="45"/>
        <v>-0.49916666666666742</v>
      </c>
      <c r="S395" s="3">
        <f t="shared" si="43"/>
        <v>-3.0101010101009962E-2</v>
      </c>
      <c r="U395" s="1">
        <f t="shared" si="46"/>
        <v>11.721035353535353</v>
      </c>
      <c r="V395" s="3">
        <f t="shared" si="47"/>
        <v>-3.0101010101009962E-2</v>
      </c>
      <c r="W395" s="3">
        <f t="shared" si="41"/>
        <v>2.8769513314968072E-2</v>
      </c>
    </row>
    <row r="396" spans="1:23" x14ac:dyDescent="0.25">
      <c r="A396" t="s">
        <v>16</v>
      </c>
      <c r="C396">
        <v>52.048595499999998</v>
      </c>
      <c r="D396">
        <v>-0.57208029999999999</v>
      </c>
      <c r="E396">
        <v>4</v>
      </c>
      <c r="F396">
        <v>4</v>
      </c>
      <c r="G396">
        <v>2022</v>
      </c>
      <c r="H396">
        <v>13</v>
      </c>
      <c r="I396">
        <v>55</v>
      </c>
      <c r="J396">
        <v>55.3</v>
      </c>
      <c r="K396">
        <v>43.18</v>
      </c>
      <c r="L396">
        <v>0</v>
      </c>
      <c r="M396">
        <v>42.52</v>
      </c>
      <c r="N396">
        <v>0.51500000000000001</v>
      </c>
      <c r="P396" s="1">
        <f t="shared" si="42"/>
        <v>11.811111111111112</v>
      </c>
      <c r="Q396" s="3">
        <f t="shared" si="44"/>
        <v>5.0000000000007816E-2</v>
      </c>
      <c r="R396" s="3">
        <f t="shared" si="45"/>
        <v>-0.59111111111111114</v>
      </c>
      <c r="S396" s="3">
        <f t="shared" si="43"/>
        <v>-1.9040404040403948E-2</v>
      </c>
      <c r="U396" s="1">
        <f t="shared" si="46"/>
        <v>11.656111111111112</v>
      </c>
      <c r="V396" s="3">
        <f t="shared" si="47"/>
        <v>-1.9040404040401526E-2</v>
      </c>
      <c r="W396" s="3">
        <f t="shared" si="41"/>
        <v>4.0957300275482472E-2</v>
      </c>
    </row>
    <row r="397" spans="1:23" x14ac:dyDescent="0.25">
      <c r="A397" t="s">
        <v>16</v>
      </c>
      <c r="C397">
        <v>52.048585099999997</v>
      </c>
      <c r="D397">
        <v>-0.57207669999999999</v>
      </c>
      <c r="E397">
        <v>4</v>
      </c>
      <c r="F397">
        <v>4</v>
      </c>
      <c r="G397">
        <v>2022</v>
      </c>
      <c r="H397">
        <v>13</v>
      </c>
      <c r="I397">
        <v>55</v>
      </c>
      <c r="J397">
        <v>55.4</v>
      </c>
      <c r="K397">
        <v>43.16</v>
      </c>
      <c r="L397">
        <v>0</v>
      </c>
      <c r="M397">
        <v>42.414999999999999</v>
      </c>
      <c r="N397">
        <v>0.51100000000000001</v>
      </c>
      <c r="P397" s="1">
        <f t="shared" si="42"/>
        <v>11.781944444444445</v>
      </c>
      <c r="Q397" s="3">
        <f t="shared" si="44"/>
        <v>-0.29166666666666785</v>
      </c>
      <c r="R397" s="3">
        <f t="shared" si="45"/>
        <v>-0.286944444444444</v>
      </c>
      <c r="S397" s="3">
        <f t="shared" si="43"/>
        <v>-6.96969696969709E-3</v>
      </c>
      <c r="U397" s="1">
        <f t="shared" si="46"/>
        <v>11.633560606060605</v>
      </c>
      <c r="V397" s="3">
        <f t="shared" si="47"/>
        <v>-6.9696969696959599E-3</v>
      </c>
      <c r="W397" s="3">
        <f t="shared" ref="W397:W460" si="48">AVERAGE(V392:V402)</f>
        <v>6.7511478420569884E-2</v>
      </c>
    </row>
    <row r="398" spans="1:23" x14ac:dyDescent="0.25">
      <c r="A398" t="s">
        <v>16</v>
      </c>
      <c r="C398">
        <v>52.048574899999998</v>
      </c>
      <c r="D398">
        <v>-0.57207370000000002</v>
      </c>
      <c r="E398">
        <v>4</v>
      </c>
      <c r="F398">
        <v>4</v>
      </c>
      <c r="G398">
        <v>2022</v>
      </c>
      <c r="H398">
        <v>13</v>
      </c>
      <c r="I398">
        <v>55</v>
      </c>
      <c r="J398">
        <v>55.5</v>
      </c>
      <c r="K398">
        <v>43.1</v>
      </c>
      <c r="L398">
        <v>0</v>
      </c>
      <c r="M398">
        <v>41.368000000000002</v>
      </c>
      <c r="N398">
        <v>0.51500000000000001</v>
      </c>
      <c r="P398" s="1">
        <f t="shared" si="42"/>
        <v>11.491111111111111</v>
      </c>
      <c r="Q398" s="3">
        <f t="shared" si="44"/>
        <v>-2.908333333333335</v>
      </c>
      <c r="R398" s="3">
        <f t="shared" si="45"/>
        <v>0.1658333333333335</v>
      </c>
      <c r="S398" s="3">
        <f t="shared" si="43"/>
        <v>3.1186868686868475E-2</v>
      </c>
      <c r="U398" s="1">
        <f t="shared" si="46"/>
        <v>11.63401515151515</v>
      </c>
      <c r="V398" s="3">
        <f t="shared" si="47"/>
        <v>3.1186868686869929E-2</v>
      </c>
      <c r="W398" s="3">
        <f t="shared" si="48"/>
        <v>0.10011478420569407</v>
      </c>
    </row>
    <row r="399" spans="1:23" x14ac:dyDescent="0.25">
      <c r="A399" t="s">
        <v>16</v>
      </c>
      <c r="C399">
        <v>52.0485647</v>
      </c>
      <c r="D399">
        <v>-0.57207050000000004</v>
      </c>
      <c r="E399">
        <v>4</v>
      </c>
      <c r="F399">
        <v>4</v>
      </c>
      <c r="G399">
        <v>2022</v>
      </c>
      <c r="H399">
        <v>13</v>
      </c>
      <c r="I399">
        <v>55</v>
      </c>
      <c r="J399">
        <v>55.6</v>
      </c>
      <c r="K399">
        <v>43.07</v>
      </c>
      <c r="L399">
        <v>0</v>
      </c>
      <c r="M399">
        <v>41.386000000000003</v>
      </c>
      <c r="N399">
        <v>0.52900000000000003</v>
      </c>
      <c r="P399" s="1">
        <f t="shared" si="42"/>
        <v>11.496111111111111</v>
      </c>
      <c r="Q399" s="3">
        <f t="shared" si="44"/>
        <v>4.9999999999990052E-2</v>
      </c>
      <c r="R399" s="3">
        <f t="shared" si="45"/>
        <v>0.35583333333333478</v>
      </c>
      <c r="S399" s="3">
        <f t="shared" si="43"/>
        <v>9.7626262626262547E-2</v>
      </c>
      <c r="U399" s="1">
        <f t="shared" si="46"/>
        <v>11.671186868686869</v>
      </c>
      <c r="V399" s="3">
        <f t="shared" si="47"/>
        <v>9.7626262626262061E-2</v>
      </c>
      <c r="W399" s="3">
        <f t="shared" si="48"/>
        <v>0.12859504132231481</v>
      </c>
    </row>
    <row r="400" spans="1:23" x14ac:dyDescent="0.25">
      <c r="A400" t="s">
        <v>16</v>
      </c>
      <c r="C400">
        <v>52.0485544</v>
      </c>
      <c r="D400">
        <v>-0.57206769999999996</v>
      </c>
      <c r="E400">
        <v>4</v>
      </c>
      <c r="F400">
        <v>4</v>
      </c>
      <c r="G400">
        <v>2022</v>
      </c>
      <c r="H400">
        <v>13</v>
      </c>
      <c r="I400">
        <v>55</v>
      </c>
      <c r="J400">
        <v>55.7</v>
      </c>
      <c r="K400">
        <v>43.02</v>
      </c>
      <c r="L400">
        <v>0</v>
      </c>
      <c r="M400">
        <v>41.216000000000001</v>
      </c>
      <c r="N400">
        <v>0.53300000000000003</v>
      </c>
      <c r="P400" s="1">
        <f t="shared" si="42"/>
        <v>11.448888888888888</v>
      </c>
      <c r="Q400" s="3">
        <f t="shared" si="44"/>
        <v>-0.47222222222222499</v>
      </c>
      <c r="R400" s="3">
        <f t="shared" si="45"/>
        <v>0.49000000000000021</v>
      </c>
      <c r="S400" s="3">
        <f t="shared" si="43"/>
        <v>0.18681818181818197</v>
      </c>
      <c r="U400" s="1">
        <f t="shared" si="46"/>
        <v>11.720277777777778</v>
      </c>
      <c r="V400" s="3">
        <f t="shared" si="47"/>
        <v>0.18681818181818421</v>
      </c>
      <c r="W400" s="3">
        <f t="shared" si="48"/>
        <v>0.14596189164371057</v>
      </c>
    </row>
    <row r="401" spans="1:23" x14ac:dyDescent="0.25">
      <c r="A401" t="s">
        <v>16</v>
      </c>
      <c r="C401">
        <v>52.048544499999998</v>
      </c>
      <c r="D401">
        <v>-0.5720655</v>
      </c>
      <c r="E401">
        <v>4</v>
      </c>
      <c r="F401">
        <v>4</v>
      </c>
      <c r="G401">
        <v>2022</v>
      </c>
      <c r="H401">
        <v>13</v>
      </c>
      <c r="I401">
        <v>55</v>
      </c>
      <c r="J401">
        <v>55.8</v>
      </c>
      <c r="K401">
        <v>43.04</v>
      </c>
      <c r="L401">
        <v>0</v>
      </c>
      <c r="M401">
        <v>40.442</v>
      </c>
      <c r="N401">
        <v>0.52900000000000003</v>
      </c>
      <c r="P401" s="1">
        <f t="shared" si="42"/>
        <v>11.233888888888888</v>
      </c>
      <c r="Q401" s="3">
        <f t="shared" si="44"/>
        <v>-2.1499999999999986</v>
      </c>
      <c r="R401" s="3">
        <f t="shared" si="45"/>
        <v>0.46277777777777729</v>
      </c>
      <c r="S401" s="3">
        <f t="shared" si="43"/>
        <v>0.27128787878787913</v>
      </c>
      <c r="U401" s="1">
        <f t="shared" si="46"/>
        <v>11.762803030303031</v>
      </c>
      <c r="V401" s="3">
        <f t="shared" si="47"/>
        <v>0.27128787878787719</v>
      </c>
      <c r="W401" s="3">
        <f t="shared" si="48"/>
        <v>0.15139807162534505</v>
      </c>
    </row>
    <row r="402" spans="1:23" x14ac:dyDescent="0.25">
      <c r="A402" t="s">
        <v>16</v>
      </c>
      <c r="C402">
        <v>52.048534099999998</v>
      </c>
      <c r="D402">
        <v>-0.57206319999999999</v>
      </c>
      <c r="E402">
        <v>4</v>
      </c>
      <c r="F402">
        <v>4</v>
      </c>
      <c r="G402">
        <v>2022</v>
      </c>
      <c r="H402">
        <v>13</v>
      </c>
      <c r="I402">
        <v>55</v>
      </c>
      <c r="J402">
        <v>55.9</v>
      </c>
      <c r="K402">
        <v>43.03</v>
      </c>
      <c r="L402">
        <v>0</v>
      </c>
      <c r="M402">
        <v>41.677</v>
      </c>
      <c r="N402">
        <v>0.51800000000000002</v>
      </c>
      <c r="P402" s="1">
        <f t="shared" ref="P402:P465" si="49">M402*1000/3600</f>
        <v>11.576944444444445</v>
      </c>
      <c r="Q402" s="3">
        <f t="shared" si="44"/>
        <v>3.4305555555555678</v>
      </c>
      <c r="R402" s="3">
        <f t="shared" si="45"/>
        <v>0.39694444444444343</v>
      </c>
      <c r="S402" s="3">
        <f t="shared" si="43"/>
        <v>0.32530303030303059</v>
      </c>
      <c r="U402" s="1">
        <f t="shared" si="46"/>
        <v>11.796237373737375</v>
      </c>
      <c r="V402" s="3">
        <f t="shared" si="47"/>
        <v>0.32530303030303287</v>
      </c>
      <c r="W402" s="3">
        <f t="shared" si="48"/>
        <v>0.14507116620753005</v>
      </c>
    </row>
    <row r="403" spans="1:23" x14ac:dyDescent="0.25">
      <c r="A403" t="s">
        <v>16</v>
      </c>
      <c r="C403">
        <v>52.048523600000003</v>
      </c>
      <c r="D403">
        <v>-0.57206049999999997</v>
      </c>
      <c r="E403">
        <v>4</v>
      </c>
      <c r="F403">
        <v>4</v>
      </c>
      <c r="G403">
        <v>2022</v>
      </c>
      <c r="H403">
        <v>13</v>
      </c>
      <c r="I403">
        <v>55</v>
      </c>
      <c r="J403">
        <v>56</v>
      </c>
      <c r="K403">
        <v>43.07</v>
      </c>
      <c r="L403">
        <v>0</v>
      </c>
      <c r="M403">
        <v>42.728000000000002</v>
      </c>
      <c r="N403">
        <v>0.53300000000000003</v>
      </c>
      <c r="P403" s="1">
        <f t="shared" si="49"/>
        <v>11.86888888888889</v>
      </c>
      <c r="Q403" s="3">
        <f t="shared" si="44"/>
        <v>2.9194444444444478</v>
      </c>
      <c r="R403" s="3">
        <f t="shared" si="45"/>
        <v>0.642777777777777</v>
      </c>
      <c r="S403" s="3">
        <f t="shared" ref="S403:S466" si="50">AVERAGE(R398:R408)</f>
        <v>0.33229797979797998</v>
      </c>
      <c r="U403" s="1">
        <f t="shared" si="46"/>
        <v>11.828232323232326</v>
      </c>
      <c r="V403" s="3">
        <f t="shared" si="47"/>
        <v>0.33229797979798192</v>
      </c>
      <c r="W403" s="3">
        <f t="shared" si="48"/>
        <v>0.12780532598714409</v>
      </c>
    </row>
    <row r="404" spans="1:23" x14ac:dyDescent="0.25">
      <c r="A404" t="s">
        <v>16</v>
      </c>
      <c r="C404">
        <v>52.048513</v>
      </c>
      <c r="D404">
        <v>-0.5720577</v>
      </c>
      <c r="E404">
        <v>4</v>
      </c>
      <c r="F404">
        <v>4</v>
      </c>
      <c r="G404">
        <v>2022</v>
      </c>
      <c r="H404">
        <v>13</v>
      </c>
      <c r="I404">
        <v>55</v>
      </c>
      <c r="J404">
        <v>56.1</v>
      </c>
      <c r="K404">
        <v>43.12</v>
      </c>
      <c r="L404">
        <v>0</v>
      </c>
      <c r="M404">
        <v>43.603000000000002</v>
      </c>
      <c r="N404">
        <v>0.55100000000000005</v>
      </c>
      <c r="P404" s="1">
        <f t="shared" si="49"/>
        <v>12.111944444444445</v>
      </c>
      <c r="Q404" s="3">
        <f t="shared" si="44"/>
        <v>2.4305555555555536</v>
      </c>
      <c r="R404" s="3">
        <f t="shared" si="45"/>
        <v>0.43888888888888999</v>
      </c>
      <c r="S404" s="3">
        <f t="shared" si="50"/>
        <v>0.26767676767676785</v>
      </c>
      <c r="U404" s="1">
        <f t="shared" si="46"/>
        <v>11.868585858585858</v>
      </c>
      <c r="V404" s="3">
        <f t="shared" si="47"/>
        <v>0.2676767676767664</v>
      </c>
      <c r="W404" s="3">
        <f t="shared" si="48"/>
        <v>9.725436179981628E-2</v>
      </c>
    </row>
    <row r="405" spans="1:23" x14ac:dyDescent="0.25">
      <c r="A405" t="s">
        <v>16</v>
      </c>
      <c r="C405">
        <v>52.048502300000003</v>
      </c>
      <c r="D405">
        <v>-0.57205459999999997</v>
      </c>
      <c r="E405">
        <v>4</v>
      </c>
      <c r="F405">
        <v>4</v>
      </c>
      <c r="G405">
        <v>2022</v>
      </c>
      <c r="H405">
        <v>13</v>
      </c>
      <c r="I405">
        <v>55</v>
      </c>
      <c r="J405">
        <v>56.2</v>
      </c>
      <c r="K405">
        <v>43.2</v>
      </c>
      <c r="L405">
        <v>0</v>
      </c>
      <c r="M405">
        <v>44.265999999999998</v>
      </c>
      <c r="N405">
        <v>0.55100000000000005</v>
      </c>
      <c r="P405" s="1">
        <f t="shared" si="49"/>
        <v>12.296111111111111</v>
      </c>
      <c r="Q405" s="3">
        <f t="shared" si="44"/>
        <v>1.8416666666666615</v>
      </c>
      <c r="R405" s="3">
        <f t="shared" si="45"/>
        <v>0.47916666666666785</v>
      </c>
      <c r="S405" s="3">
        <f t="shared" si="50"/>
        <v>0.1494949494949496</v>
      </c>
      <c r="U405" s="1">
        <f t="shared" si="46"/>
        <v>11.907853535353537</v>
      </c>
      <c r="V405" s="3">
        <f t="shared" si="47"/>
        <v>0.14949494949494913</v>
      </c>
      <c r="W405" s="3">
        <f t="shared" si="48"/>
        <v>5.1547291092745536E-2</v>
      </c>
    </row>
    <row r="406" spans="1:23" x14ac:dyDescent="0.25">
      <c r="A406" t="s">
        <v>16</v>
      </c>
      <c r="C406">
        <v>52.048491400000003</v>
      </c>
      <c r="D406">
        <v>-0.57205139999999999</v>
      </c>
      <c r="E406">
        <v>4</v>
      </c>
      <c r="F406">
        <v>4</v>
      </c>
      <c r="G406">
        <v>2022</v>
      </c>
      <c r="H406">
        <v>13</v>
      </c>
      <c r="I406">
        <v>55</v>
      </c>
      <c r="J406">
        <v>56.3</v>
      </c>
      <c r="K406">
        <v>43.2</v>
      </c>
      <c r="L406">
        <v>0</v>
      </c>
      <c r="M406">
        <v>44.186</v>
      </c>
      <c r="N406">
        <v>0.54400000000000004</v>
      </c>
      <c r="P406" s="1">
        <f t="shared" si="49"/>
        <v>12.273888888888889</v>
      </c>
      <c r="Q406" s="3">
        <f t="shared" si="44"/>
        <v>-0.22222222222222143</v>
      </c>
      <c r="R406" s="3">
        <f t="shared" si="45"/>
        <v>0.43000000000000149</v>
      </c>
      <c r="S406" s="3">
        <f t="shared" si="50"/>
        <v>2.9696969696969819E-2</v>
      </c>
      <c r="U406" s="1">
        <f t="shared" si="46"/>
        <v>11.92739898989899</v>
      </c>
      <c r="V406" s="3">
        <f t="shared" si="47"/>
        <v>2.9696969696969333E-2</v>
      </c>
      <c r="W406" s="3">
        <f t="shared" si="48"/>
        <v>-1.146694214876056E-2</v>
      </c>
    </row>
    <row r="407" spans="1:23" x14ac:dyDescent="0.25">
      <c r="A407" t="s">
        <v>16</v>
      </c>
      <c r="C407">
        <v>52.048480900000001</v>
      </c>
      <c r="D407">
        <v>-0.57204820000000001</v>
      </c>
      <c r="E407">
        <v>4</v>
      </c>
      <c r="F407">
        <v>4</v>
      </c>
      <c r="G407">
        <v>2022</v>
      </c>
      <c r="H407">
        <v>13</v>
      </c>
      <c r="I407">
        <v>55</v>
      </c>
      <c r="J407">
        <v>56.4</v>
      </c>
      <c r="K407">
        <v>43.25</v>
      </c>
      <c r="L407">
        <v>0</v>
      </c>
      <c r="M407">
        <v>43.844000000000001</v>
      </c>
      <c r="N407">
        <v>0.52900000000000003</v>
      </c>
      <c r="P407" s="1">
        <f t="shared" si="49"/>
        <v>12.178888888888888</v>
      </c>
      <c r="Q407" s="3">
        <f t="shared" si="44"/>
        <v>-0.95000000000000639</v>
      </c>
      <c r="R407" s="3">
        <f t="shared" si="45"/>
        <v>3.055555555555145E-3</v>
      </c>
      <c r="S407" s="3">
        <f t="shared" si="50"/>
        <v>-8.8636363636363444E-2</v>
      </c>
      <c r="U407" s="1">
        <f t="shared" si="46"/>
        <v>11.958863636363638</v>
      </c>
      <c r="V407" s="3">
        <f t="shared" si="47"/>
        <v>-8.8636363636366511E-2</v>
      </c>
      <c r="W407" s="3">
        <f t="shared" si="48"/>
        <v>-9.239898989899005E-2</v>
      </c>
    </row>
    <row r="408" spans="1:23" x14ac:dyDescent="0.25">
      <c r="A408" t="s">
        <v>16</v>
      </c>
      <c r="C408">
        <v>52.048470199999997</v>
      </c>
      <c r="D408">
        <v>-0.57204469999999996</v>
      </c>
      <c r="E408">
        <v>4</v>
      </c>
      <c r="F408">
        <v>4</v>
      </c>
      <c r="G408">
        <v>2022</v>
      </c>
      <c r="H408">
        <v>13</v>
      </c>
      <c r="I408">
        <v>55</v>
      </c>
      <c r="J408">
        <v>56.5</v>
      </c>
      <c r="K408">
        <v>43.24</v>
      </c>
      <c r="L408">
        <v>0</v>
      </c>
      <c r="M408">
        <v>43.682000000000002</v>
      </c>
      <c r="N408">
        <v>0.50800000000000001</v>
      </c>
      <c r="P408" s="1">
        <f t="shared" si="49"/>
        <v>12.133888888888889</v>
      </c>
      <c r="Q408" s="3">
        <f t="shared" si="44"/>
        <v>-0.44999999999999929</v>
      </c>
      <c r="R408" s="3">
        <f t="shared" si="45"/>
        <v>-0.21000000000000085</v>
      </c>
      <c r="S408" s="3">
        <f t="shared" si="50"/>
        <v>-0.19689393939393909</v>
      </c>
      <c r="U408" s="1">
        <f t="shared" si="46"/>
        <v>11.966313131313132</v>
      </c>
      <c r="V408" s="3">
        <f t="shared" si="47"/>
        <v>-0.19689393939394151</v>
      </c>
      <c r="W408" s="3">
        <f t="shared" si="48"/>
        <v>-0.18552112029384801</v>
      </c>
    </row>
    <row r="409" spans="1:23" x14ac:dyDescent="0.25">
      <c r="A409" t="s">
        <v>16</v>
      </c>
      <c r="C409">
        <v>52.048459600000001</v>
      </c>
      <c r="D409">
        <v>-0.57204120000000003</v>
      </c>
      <c r="E409">
        <v>4</v>
      </c>
      <c r="F409">
        <v>4</v>
      </c>
      <c r="G409">
        <v>2022</v>
      </c>
      <c r="H409">
        <v>13</v>
      </c>
      <c r="I409">
        <v>55</v>
      </c>
      <c r="J409">
        <v>56.6</v>
      </c>
      <c r="K409">
        <v>43.21</v>
      </c>
      <c r="L409">
        <v>0</v>
      </c>
      <c r="M409">
        <v>42.966000000000001</v>
      </c>
      <c r="N409">
        <v>0.504</v>
      </c>
      <c r="P409" s="1">
        <f t="shared" si="49"/>
        <v>11.935</v>
      </c>
      <c r="Q409" s="3">
        <f t="shared" si="44"/>
        <v>-1.98888888888888</v>
      </c>
      <c r="R409" s="3">
        <f t="shared" si="45"/>
        <v>-0.54499999999999993</v>
      </c>
      <c r="S409" s="3">
        <f t="shared" si="50"/>
        <v>-0.30487373737373696</v>
      </c>
      <c r="U409" s="1">
        <f t="shared" si="46"/>
        <v>11.938863636363635</v>
      </c>
      <c r="V409" s="3">
        <f t="shared" si="47"/>
        <v>-0.30487373737373602</v>
      </c>
      <c r="W409" s="3">
        <f t="shared" si="48"/>
        <v>-0.28300505050505093</v>
      </c>
    </row>
    <row r="410" spans="1:23" x14ac:dyDescent="0.25">
      <c r="A410" t="s">
        <v>16</v>
      </c>
      <c r="C410">
        <v>52.048448899999997</v>
      </c>
      <c r="D410">
        <v>-0.57203780000000004</v>
      </c>
      <c r="E410">
        <v>4</v>
      </c>
      <c r="F410">
        <v>4</v>
      </c>
      <c r="G410">
        <v>2022</v>
      </c>
      <c r="H410">
        <v>13</v>
      </c>
      <c r="I410">
        <v>55</v>
      </c>
      <c r="J410">
        <v>56.7</v>
      </c>
      <c r="K410">
        <v>43.14</v>
      </c>
      <c r="L410">
        <v>0</v>
      </c>
      <c r="M410">
        <v>42.941000000000003</v>
      </c>
      <c r="N410">
        <v>0.49299999999999999</v>
      </c>
      <c r="P410" s="1">
        <f t="shared" si="49"/>
        <v>11.928055555555556</v>
      </c>
      <c r="Q410" s="3">
        <f t="shared" si="44"/>
        <v>-6.9444444444446418E-2</v>
      </c>
      <c r="R410" s="3">
        <f t="shared" si="45"/>
        <v>-0.94416666666666593</v>
      </c>
      <c r="S410" s="3">
        <f t="shared" si="50"/>
        <v>-0.40515151515151487</v>
      </c>
      <c r="U410" s="1">
        <f t="shared" si="46"/>
        <v>11.869772727272727</v>
      </c>
      <c r="V410" s="3">
        <f t="shared" si="47"/>
        <v>-0.40515151515151615</v>
      </c>
      <c r="W410" s="3">
        <f t="shared" si="48"/>
        <v>-0.3740197428833793</v>
      </c>
    </row>
    <row r="411" spans="1:23" x14ac:dyDescent="0.25">
      <c r="A411" t="s">
        <v>16</v>
      </c>
      <c r="C411">
        <v>52.048438500000003</v>
      </c>
      <c r="D411">
        <v>-0.57203459999999995</v>
      </c>
      <c r="E411">
        <v>4</v>
      </c>
      <c r="F411">
        <v>4</v>
      </c>
      <c r="G411">
        <v>2022</v>
      </c>
      <c r="H411">
        <v>13</v>
      </c>
      <c r="I411">
        <v>55</v>
      </c>
      <c r="J411">
        <v>56.8</v>
      </c>
      <c r="K411">
        <v>43.09</v>
      </c>
      <c r="L411">
        <v>0</v>
      </c>
      <c r="M411">
        <v>41.99</v>
      </c>
      <c r="N411">
        <v>0.5</v>
      </c>
      <c r="P411" s="1">
        <f t="shared" si="49"/>
        <v>11.66388888888889</v>
      </c>
      <c r="Q411" s="3">
        <f t="shared" si="44"/>
        <v>-2.6416666666666622</v>
      </c>
      <c r="R411" s="3">
        <f t="shared" si="45"/>
        <v>-0.8277777777777775</v>
      </c>
      <c r="S411" s="3">
        <f t="shared" si="50"/>
        <v>-0.50633838383838381</v>
      </c>
      <c r="U411" s="1">
        <f t="shared" si="46"/>
        <v>11.7925</v>
      </c>
      <c r="V411" s="3">
        <f t="shared" si="47"/>
        <v>-0.50633838383838281</v>
      </c>
      <c r="W411" s="3">
        <f t="shared" si="48"/>
        <v>-0.45109274563820007</v>
      </c>
    </row>
    <row r="412" spans="1:23" x14ac:dyDescent="0.25">
      <c r="A412" t="s">
        <v>16</v>
      </c>
      <c r="C412">
        <v>52.0484279</v>
      </c>
      <c r="D412">
        <v>-0.57203179999999998</v>
      </c>
      <c r="E412">
        <v>4</v>
      </c>
      <c r="F412">
        <v>4</v>
      </c>
      <c r="G412">
        <v>2022</v>
      </c>
      <c r="H412">
        <v>13</v>
      </c>
      <c r="I412">
        <v>55</v>
      </c>
      <c r="J412">
        <v>56.9</v>
      </c>
      <c r="K412">
        <v>43</v>
      </c>
      <c r="L412">
        <v>0</v>
      </c>
      <c r="M412">
        <v>41.688000000000002</v>
      </c>
      <c r="N412">
        <v>0.51800000000000002</v>
      </c>
      <c r="P412" s="1">
        <f t="shared" si="49"/>
        <v>11.58</v>
      </c>
      <c r="Q412" s="3">
        <f t="shared" si="44"/>
        <v>-0.83888888888889568</v>
      </c>
      <c r="R412" s="3">
        <f t="shared" si="45"/>
        <v>-0.83888888888888857</v>
      </c>
      <c r="S412" s="3">
        <f t="shared" si="50"/>
        <v>-0.61896464646464655</v>
      </c>
      <c r="U412" s="1">
        <f t="shared" si="46"/>
        <v>11.707601010101008</v>
      </c>
      <c r="V412" s="3">
        <f t="shared" si="47"/>
        <v>-0.61896464646464722</v>
      </c>
      <c r="W412" s="3">
        <f t="shared" si="48"/>
        <v>-0.51353305785123915</v>
      </c>
    </row>
    <row r="413" spans="1:23" x14ac:dyDescent="0.25">
      <c r="A413" t="s">
        <v>16</v>
      </c>
      <c r="C413">
        <v>52.048417499999999</v>
      </c>
      <c r="D413">
        <v>-0.57202889999999995</v>
      </c>
      <c r="E413">
        <v>4</v>
      </c>
      <c r="F413">
        <v>4</v>
      </c>
      <c r="G413">
        <v>2022</v>
      </c>
      <c r="H413">
        <v>13</v>
      </c>
      <c r="I413">
        <v>55</v>
      </c>
      <c r="J413">
        <v>57</v>
      </c>
      <c r="K413">
        <v>42.97</v>
      </c>
      <c r="L413">
        <v>0</v>
      </c>
      <c r="M413">
        <v>41.972000000000001</v>
      </c>
      <c r="N413">
        <v>0.53300000000000003</v>
      </c>
      <c r="P413" s="1">
        <f t="shared" si="49"/>
        <v>11.658888888888889</v>
      </c>
      <c r="Q413" s="3">
        <f t="shared" si="44"/>
        <v>0.78888888888888786</v>
      </c>
      <c r="R413" s="3">
        <f t="shared" si="45"/>
        <v>-0.79388888888888864</v>
      </c>
      <c r="S413" s="3">
        <f t="shared" si="50"/>
        <v>-0.69904040404040413</v>
      </c>
      <c r="U413" s="1">
        <f t="shared" si="46"/>
        <v>11.631338383838385</v>
      </c>
      <c r="V413" s="3">
        <f t="shared" si="47"/>
        <v>-0.69904040404040479</v>
      </c>
      <c r="W413" s="3">
        <f t="shared" si="48"/>
        <v>-0.5615472910927447</v>
      </c>
    </row>
    <row r="414" spans="1:23" x14ac:dyDescent="0.25">
      <c r="A414" t="s">
        <v>16</v>
      </c>
      <c r="C414">
        <v>52.0484072</v>
      </c>
      <c r="D414">
        <v>-0.57202600000000003</v>
      </c>
      <c r="E414">
        <v>4</v>
      </c>
      <c r="F414">
        <v>4</v>
      </c>
      <c r="G414">
        <v>2022</v>
      </c>
      <c r="H414">
        <v>13</v>
      </c>
      <c r="I414">
        <v>55</v>
      </c>
      <c r="J414">
        <v>57.1</v>
      </c>
      <c r="K414">
        <v>42.93</v>
      </c>
      <c r="L414">
        <v>0</v>
      </c>
      <c r="M414">
        <v>41.640999999999998</v>
      </c>
      <c r="N414">
        <v>0.51500000000000001</v>
      </c>
      <c r="P414" s="1">
        <f t="shared" si="49"/>
        <v>11.566944444444445</v>
      </c>
      <c r="Q414" s="3">
        <f t="shared" si="44"/>
        <v>-0.91944444444443718</v>
      </c>
      <c r="R414" s="3">
        <f t="shared" si="45"/>
        <v>-0.54499999999999993</v>
      </c>
      <c r="S414" s="3">
        <f t="shared" si="50"/>
        <v>-0.74002525252525264</v>
      </c>
      <c r="U414" s="1">
        <f t="shared" si="46"/>
        <v>11.563712121212122</v>
      </c>
      <c r="V414" s="3">
        <f t="shared" si="47"/>
        <v>-0.74002525252524975</v>
      </c>
      <c r="W414" s="3">
        <f t="shared" si="48"/>
        <v>-0.59586088154269878</v>
      </c>
    </row>
    <row r="415" spans="1:23" x14ac:dyDescent="0.25">
      <c r="A415" t="s">
        <v>16</v>
      </c>
      <c r="C415">
        <v>52.048397100000003</v>
      </c>
      <c r="D415">
        <v>-0.57202370000000002</v>
      </c>
      <c r="E415">
        <v>4</v>
      </c>
      <c r="F415">
        <v>4</v>
      </c>
      <c r="G415">
        <v>2022</v>
      </c>
      <c r="H415">
        <v>13</v>
      </c>
      <c r="I415">
        <v>55</v>
      </c>
      <c r="J415">
        <v>57.2</v>
      </c>
      <c r="K415">
        <v>42.9</v>
      </c>
      <c r="L415">
        <v>0</v>
      </c>
      <c r="M415">
        <v>40.866999999999997</v>
      </c>
      <c r="N415">
        <v>0.497</v>
      </c>
      <c r="P415" s="1">
        <f t="shared" si="49"/>
        <v>11.351944444444445</v>
      </c>
      <c r="Q415" s="3">
        <f t="shared" si="44"/>
        <v>-2.1499999999999986</v>
      </c>
      <c r="R415" s="3">
        <f t="shared" si="45"/>
        <v>-0.66416666666666657</v>
      </c>
      <c r="S415" s="3">
        <f t="shared" si="50"/>
        <v>-0.73348484848484863</v>
      </c>
      <c r="U415" s="1">
        <f t="shared" si="46"/>
        <v>11.502702020202021</v>
      </c>
      <c r="V415" s="3">
        <f t="shared" si="47"/>
        <v>-0.73348484848484574</v>
      </c>
      <c r="W415" s="3">
        <f t="shared" si="48"/>
        <v>-0.6163498622589525</v>
      </c>
    </row>
    <row r="416" spans="1:23" x14ac:dyDescent="0.25">
      <c r="A416" t="s">
        <v>16</v>
      </c>
      <c r="C416">
        <v>52.048386999999998</v>
      </c>
      <c r="D416">
        <v>-0.57202149999999996</v>
      </c>
      <c r="E416">
        <v>4</v>
      </c>
      <c r="F416">
        <v>4</v>
      </c>
      <c r="G416">
        <v>2022</v>
      </c>
      <c r="H416">
        <v>13</v>
      </c>
      <c r="I416">
        <v>55</v>
      </c>
      <c r="J416">
        <v>57.3</v>
      </c>
      <c r="K416">
        <v>42.94</v>
      </c>
      <c r="L416">
        <v>0</v>
      </c>
      <c r="M416">
        <v>41.206000000000003</v>
      </c>
      <c r="N416">
        <v>0.52200000000000002</v>
      </c>
      <c r="P416" s="1">
        <f t="shared" si="49"/>
        <v>11.446111111111112</v>
      </c>
      <c r="Q416" s="3">
        <f t="shared" si="44"/>
        <v>0.94166666666666288</v>
      </c>
      <c r="R416" s="3">
        <f t="shared" si="45"/>
        <v>-0.63388888888889028</v>
      </c>
      <c r="S416" s="3">
        <f t="shared" si="50"/>
        <v>-0.69830808080808104</v>
      </c>
      <c r="U416" s="1">
        <f t="shared" si="46"/>
        <v>11.421060606060607</v>
      </c>
      <c r="V416" s="3">
        <f t="shared" si="47"/>
        <v>-0.69830808080807927</v>
      </c>
      <c r="W416" s="3">
        <f t="shared" si="48"/>
        <v>-0.62075528007346115</v>
      </c>
    </row>
    <row r="417" spans="1:23" x14ac:dyDescent="0.25">
      <c r="A417" t="s">
        <v>16</v>
      </c>
      <c r="C417">
        <v>52.048377199999997</v>
      </c>
      <c r="D417">
        <v>-0.5720191</v>
      </c>
      <c r="E417">
        <v>4</v>
      </c>
      <c r="F417">
        <v>4</v>
      </c>
      <c r="G417">
        <v>2022</v>
      </c>
      <c r="H417">
        <v>13</v>
      </c>
      <c r="I417">
        <v>55</v>
      </c>
      <c r="J417">
        <v>57.4</v>
      </c>
      <c r="K417">
        <v>43.01</v>
      </c>
      <c r="L417">
        <v>0</v>
      </c>
      <c r="M417">
        <v>40.823999999999998</v>
      </c>
      <c r="N417">
        <v>0.53600000000000003</v>
      </c>
      <c r="P417" s="1">
        <f t="shared" si="49"/>
        <v>11.34</v>
      </c>
      <c r="Q417" s="3">
        <f t="shared" si="44"/>
        <v>-1.0611111111111171</v>
      </c>
      <c r="R417" s="3">
        <f t="shared" si="45"/>
        <v>-0.80888888888888921</v>
      </c>
      <c r="S417" s="3">
        <f t="shared" si="50"/>
        <v>-0.65714646464646487</v>
      </c>
      <c r="U417" s="1">
        <f t="shared" si="46"/>
        <v>11.339898989898991</v>
      </c>
      <c r="V417" s="3">
        <f t="shared" si="47"/>
        <v>-0.65714646464646087</v>
      </c>
      <c r="W417" s="3">
        <f t="shared" si="48"/>
        <v>-0.60836776859504083</v>
      </c>
    </row>
    <row r="418" spans="1:23" x14ac:dyDescent="0.25">
      <c r="A418" t="s">
        <v>16</v>
      </c>
      <c r="C418">
        <v>52.048367300000002</v>
      </c>
      <c r="D418">
        <v>-0.57201650000000004</v>
      </c>
      <c r="E418">
        <v>4</v>
      </c>
      <c r="F418">
        <v>4</v>
      </c>
      <c r="G418">
        <v>2022</v>
      </c>
      <c r="H418">
        <v>13</v>
      </c>
      <c r="I418">
        <v>55</v>
      </c>
      <c r="J418">
        <v>57.5</v>
      </c>
      <c r="K418">
        <v>43.04</v>
      </c>
      <c r="L418">
        <v>0</v>
      </c>
      <c r="M418">
        <v>40.823999999999998</v>
      </c>
      <c r="N418">
        <v>0.52900000000000003</v>
      </c>
      <c r="P418" s="1">
        <f t="shared" si="49"/>
        <v>11.34</v>
      </c>
      <c r="Q418" s="3">
        <f t="shared" si="44"/>
        <v>0</v>
      </c>
      <c r="R418" s="3">
        <f t="shared" si="45"/>
        <v>-0.87777777777777821</v>
      </c>
      <c r="S418" s="3">
        <f t="shared" si="50"/>
        <v>-0.6167929292929295</v>
      </c>
      <c r="U418" s="1">
        <f t="shared" si="46"/>
        <v>11.267272727272728</v>
      </c>
      <c r="V418" s="3">
        <f t="shared" si="47"/>
        <v>-0.61679292929292728</v>
      </c>
      <c r="W418" s="3">
        <f t="shared" si="48"/>
        <v>-0.57798209366391129</v>
      </c>
    </row>
    <row r="419" spans="1:23" x14ac:dyDescent="0.25">
      <c r="A419" t="s">
        <v>16</v>
      </c>
      <c r="C419">
        <v>52.0483574</v>
      </c>
      <c r="D419">
        <v>-0.57201340000000001</v>
      </c>
      <c r="E419">
        <v>4</v>
      </c>
      <c r="F419">
        <v>4</v>
      </c>
      <c r="G419">
        <v>2022</v>
      </c>
      <c r="H419">
        <v>13</v>
      </c>
      <c r="I419">
        <v>55</v>
      </c>
      <c r="J419">
        <v>57.6</v>
      </c>
      <c r="K419">
        <v>43.08</v>
      </c>
      <c r="L419">
        <v>0</v>
      </c>
      <c r="M419">
        <v>41.003999999999998</v>
      </c>
      <c r="N419">
        <v>0.52900000000000003</v>
      </c>
      <c r="P419" s="1">
        <f t="shared" si="49"/>
        <v>11.39</v>
      </c>
      <c r="Q419" s="3">
        <f t="shared" si="44"/>
        <v>0.50000000000000711</v>
      </c>
      <c r="R419" s="3">
        <f t="shared" si="45"/>
        <v>-0.66083333333333449</v>
      </c>
      <c r="S419" s="3">
        <f t="shared" si="50"/>
        <v>-0.57434343434343471</v>
      </c>
      <c r="U419" s="1">
        <f t="shared" si="46"/>
        <v>11.198838383838385</v>
      </c>
      <c r="V419" s="3">
        <f t="shared" si="47"/>
        <v>-0.5743434343434366</v>
      </c>
      <c r="W419" s="3">
        <f t="shared" si="48"/>
        <v>-0.5337580348943981</v>
      </c>
    </row>
    <row r="420" spans="1:23" x14ac:dyDescent="0.25">
      <c r="A420" t="s">
        <v>16</v>
      </c>
      <c r="C420">
        <v>52.048347700000001</v>
      </c>
      <c r="D420">
        <v>-0.57201000000000002</v>
      </c>
      <c r="E420">
        <v>4</v>
      </c>
      <c r="F420">
        <v>4</v>
      </c>
      <c r="G420">
        <v>2022</v>
      </c>
      <c r="H420">
        <v>13</v>
      </c>
      <c r="I420">
        <v>55</v>
      </c>
      <c r="J420">
        <v>57.7</v>
      </c>
      <c r="K420">
        <v>43.09</v>
      </c>
      <c r="L420">
        <v>0</v>
      </c>
      <c r="M420">
        <v>40.549999999999997</v>
      </c>
      <c r="N420">
        <v>0.51100000000000001</v>
      </c>
      <c r="P420" s="1">
        <f t="shared" si="49"/>
        <v>11.263888888888889</v>
      </c>
      <c r="Q420" s="3">
        <f t="shared" si="44"/>
        <v>-1.2611111111111128</v>
      </c>
      <c r="R420" s="3">
        <f t="shared" si="45"/>
        <v>-0.47305555555555578</v>
      </c>
      <c r="S420" s="3">
        <f t="shared" si="50"/>
        <v>-0.53025252525252564</v>
      </c>
      <c r="U420" s="1">
        <f t="shared" si="46"/>
        <v>11.136287878787881</v>
      </c>
      <c r="V420" s="3">
        <f t="shared" si="47"/>
        <v>-0.53025252525252675</v>
      </c>
      <c r="W420" s="3">
        <f t="shared" si="48"/>
        <v>-0.48223829201101931</v>
      </c>
    </row>
    <row r="421" spans="1:23" x14ac:dyDescent="0.25">
      <c r="A421" t="s">
        <v>16</v>
      </c>
      <c r="C421">
        <v>52.0483379</v>
      </c>
      <c r="D421">
        <v>-0.57200689999999998</v>
      </c>
      <c r="E421">
        <v>4</v>
      </c>
      <c r="F421">
        <v>4</v>
      </c>
      <c r="G421">
        <v>2022</v>
      </c>
      <c r="H421">
        <v>13</v>
      </c>
      <c r="I421">
        <v>55</v>
      </c>
      <c r="J421">
        <v>57.8</v>
      </c>
      <c r="K421">
        <v>43.06</v>
      </c>
      <c r="L421">
        <v>0</v>
      </c>
      <c r="M421">
        <v>39.707999999999998</v>
      </c>
      <c r="N421">
        <v>0.51500000000000001</v>
      </c>
      <c r="P421" s="1">
        <f t="shared" si="49"/>
        <v>11.03</v>
      </c>
      <c r="Q421" s="3">
        <f t="shared" si="44"/>
        <v>-2.3388888888888992</v>
      </c>
      <c r="R421" s="3">
        <f t="shared" si="45"/>
        <v>-0.55722222222222229</v>
      </c>
      <c r="S421" s="3">
        <f t="shared" si="50"/>
        <v>-0.45361111111111135</v>
      </c>
      <c r="U421" s="1">
        <f t="shared" si="46"/>
        <v>11.094191919191921</v>
      </c>
      <c r="V421" s="3">
        <f t="shared" si="47"/>
        <v>-0.45361111111111185</v>
      </c>
      <c r="W421" s="3">
        <f t="shared" si="48"/>
        <v>-0.42932047750229607</v>
      </c>
    </row>
    <row r="422" spans="1:23" x14ac:dyDescent="0.25">
      <c r="A422" t="s">
        <v>16</v>
      </c>
      <c r="C422">
        <v>52.048328400000003</v>
      </c>
      <c r="D422">
        <v>-0.57200399999999996</v>
      </c>
      <c r="E422">
        <v>4</v>
      </c>
      <c r="F422">
        <v>4</v>
      </c>
      <c r="G422">
        <v>2022</v>
      </c>
      <c r="H422">
        <v>13</v>
      </c>
      <c r="I422">
        <v>55</v>
      </c>
      <c r="J422">
        <v>57.9</v>
      </c>
      <c r="K422">
        <v>43.02</v>
      </c>
      <c r="L422">
        <v>0</v>
      </c>
      <c r="M422">
        <v>38.776000000000003</v>
      </c>
      <c r="N422">
        <v>0.51100000000000001</v>
      </c>
      <c r="P422" s="1">
        <f t="shared" si="49"/>
        <v>10.771111111111111</v>
      </c>
      <c r="Q422" s="3">
        <f t="shared" si="44"/>
        <v>-2.588888888888885</v>
      </c>
      <c r="R422" s="3">
        <f t="shared" si="45"/>
        <v>-0.375</v>
      </c>
      <c r="S422" s="3">
        <f t="shared" si="50"/>
        <v>-0.37007575757575767</v>
      </c>
      <c r="U422" s="1">
        <f t="shared" si="46"/>
        <v>11.050454545454548</v>
      </c>
      <c r="V422" s="3">
        <f t="shared" si="47"/>
        <v>-0.3700757575757585</v>
      </c>
      <c r="W422" s="3">
        <f t="shared" si="48"/>
        <v>-0.37707759412304931</v>
      </c>
    </row>
    <row r="423" spans="1:23" x14ac:dyDescent="0.25">
      <c r="A423" t="s">
        <v>16</v>
      </c>
      <c r="C423">
        <v>52.048318899999998</v>
      </c>
      <c r="D423">
        <v>-0.57200110000000004</v>
      </c>
      <c r="E423">
        <v>4</v>
      </c>
      <c r="F423">
        <v>4</v>
      </c>
      <c r="G423">
        <v>2022</v>
      </c>
      <c r="H423">
        <v>13</v>
      </c>
      <c r="I423">
        <v>55</v>
      </c>
      <c r="J423">
        <v>58</v>
      </c>
      <c r="K423">
        <v>43.01</v>
      </c>
      <c r="L423">
        <v>0</v>
      </c>
      <c r="M423">
        <v>38.811999999999998</v>
      </c>
      <c r="N423">
        <v>0.52200000000000002</v>
      </c>
      <c r="P423" s="1">
        <f t="shared" si="49"/>
        <v>10.781111111111111</v>
      </c>
      <c r="Q423" s="3">
        <f t="shared" si="44"/>
        <v>9.9999999999997868E-2</v>
      </c>
      <c r="R423" s="3">
        <f t="shared" si="45"/>
        <v>-0.39499999999999957</v>
      </c>
      <c r="S423" s="3">
        <f t="shared" si="50"/>
        <v>-0.28472222222222227</v>
      </c>
      <c r="U423" s="1">
        <f t="shared" si="46"/>
        <v>11.014545454545457</v>
      </c>
      <c r="V423" s="3">
        <f t="shared" si="47"/>
        <v>-0.28472222222222321</v>
      </c>
      <c r="W423" s="3">
        <f t="shared" si="48"/>
        <v>-0.3274288337924714</v>
      </c>
    </row>
    <row r="424" spans="1:23" x14ac:dyDescent="0.25">
      <c r="A424" t="s">
        <v>16</v>
      </c>
      <c r="C424">
        <v>52.048309199999998</v>
      </c>
      <c r="D424">
        <v>-0.57199820000000001</v>
      </c>
      <c r="E424">
        <v>4</v>
      </c>
      <c r="F424">
        <v>4</v>
      </c>
      <c r="G424">
        <v>2022</v>
      </c>
      <c r="H424">
        <v>13</v>
      </c>
      <c r="I424">
        <v>55</v>
      </c>
      <c r="J424">
        <v>58.1</v>
      </c>
      <c r="K424">
        <v>42.99</v>
      </c>
      <c r="L424">
        <v>0</v>
      </c>
      <c r="M424">
        <v>39.262</v>
      </c>
      <c r="N424">
        <v>0.51100000000000001</v>
      </c>
      <c r="P424" s="1">
        <f t="shared" si="49"/>
        <v>10.906111111111111</v>
      </c>
      <c r="Q424" s="3">
        <f t="shared" si="44"/>
        <v>1.25</v>
      </c>
      <c r="R424" s="3">
        <f t="shared" si="45"/>
        <v>-0.32694444444444493</v>
      </c>
      <c r="S424" s="3">
        <f t="shared" si="50"/>
        <v>-0.21257575757575753</v>
      </c>
      <c r="U424" s="1">
        <f t="shared" si="46"/>
        <v>10.989368686868685</v>
      </c>
      <c r="V424" s="3">
        <f t="shared" si="47"/>
        <v>-0.21257575757575964</v>
      </c>
      <c r="W424" s="3">
        <f t="shared" si="48"/>
        <v>-0.27960514233241618</v>
      </c>
    </row>
    <row r="425" spans="1:23" x14ac:dyDescent="0.25">
      <c r="A425" t="s">
        <v>16</v>
      </c>
      <c r="C425">
        <v>52.048299499999999</v>
      </c>
      <c r="D425">
        <v>-0.57199549999999999</v>
      </c>
      <c r="E425">
        <v>4</v>
      </c>
      <c r="F425">
        <v>4</v>
      </c>
      <c r="G425">
        <v>2022</v>
      </c>
      <c r="H425">
        <v>13</v>
      </c>
      <c r="I425">
        <v>55</v>
      </c>
      <c r="J425">
        <v>58.2</v>
      </c>
      <c r="K425">
        <v>42.98</v>
      </c>
      <c r="L425">
        <v>0</v>
      </c>
      <c r="M425">
        <v>39.164000000000001</v>
      </c>
      <c r="N425">
        <v>0.51500000000000001</v>
      </c>
      <c r="P425" s="1">
        <f t="shared" si="49"/>
        <v>10.878888888888889</v>
      </c>
      <c r="Q425" s="3">
        <f t="shared" si="44"/>
        <v>-0.27222222222221149</v>
      </c>
      <c r="R425" s="3">
        <f t="shared" si="45"/>
        <v>-6.0000000000000497E-2</v>
      </c>
      <c r="S425" s="3">
        <f t="shared" si="50"/>
        <v>-0.17330808080808069</v>
      </c>
      <c r="U425" s="1">
        <f t="shared" si="46"/>
        <v>10.972449494949494</v>
      </c>
      <c r="V425" s="3">
        <f t="shared" si="47"/>
        <v>-0.17330808080808247</v>
      </c>
      <c r="W425" s="3">
        <f t="shared" si="48"/>
        <v>-0.23539256198347178</v>
      </c>
    </row>
    <row r="426" spans="1:23" x14ac:dyDescent="0.25">
      <c r="A426" t="s">
        <v>16</v>
      </c>
      <c r="C426">
        <v>52.048289799999999</v>
      </c>
      <c r="D426">
        <v>-0.57199259999999996</v>
      </c>
      <c r="E426">
        <v>4</v>
      </c>
      <c r="F426">
        <v>4</v>
      </c>
      <c r="G426">
        <v>2022</v>
      </c>
      <c r="H426">
        <v>13</v>
      </c>
      <c r="I426">
        <v>55</v>
      </c>
      <c r="J426">
        <v>58.3</v>
      </c>
      <c r="K426">
        <v>42.95</v>
      </c>
      <c r="L426">
        <v>0</v>
      </c>
      <c r="M426">
        <v>39.200000000000003</v>
      </c>
      <c r="N426">
        <v>0.50800000000000001</v>
      </c>
      <c r="P426" s="1">
        <f t="shared" si="49"/>
        <v>10.888888888888889</v>
      </c>
      <c r="Q426" s="3">
        <f t="shared" si="44"/>
        <v>9.9999999999997868E-2</v>
      </c>
      <c r="R426" s="3">
        <f t="shared" si="45"/>
        <v>0.17888888888889021</v>
      </c>
      <c r="S426" s="3">
        <f t="shared" si="50"/>
        <v>-0.15138888888888874</v>
      </c>
      <c r="U426" s="1">
        <f t="shared" si="46"/>
        <v>10.967449494949495</v>
      </c>
      <c r="V426" s="3">
        <f t="shared" si="47"/>
        <v>-0.15138888888889035</v>
      </c>
      <c r="W426" s="3">
        <f t="shared" si="48"/>
        <v>-0.19762626262626315</v>
      </c>
    </row>
    <row r="427" spans="1:23" x14ac:dyDescent="0.25">
      <c r="A427" t="s">
        <v>16</v>
      </c>
      <c r="C427">
        <v>52.048280200000001</v>
      </c>
      <c r="D427">
        <v>-0.57198979999999999</v>
      </c>
      <c r="E427">
        <v>4</v>
      </c>
      <c r="F427">
        <v>4</v>
      </c>
      <c r="G427">
        <v>2022</v>
      </c>
      <c r="H427">
        <v>13</v>
      </c>
      <c r="I427">
        <v>55</v>
      </c>
      <c r="J427">
        <v>58.4</v>
      </c>
      <c r="K427">
        <v>42.96</v>
      </c>
      <c r="L427">
        <v>0</v>
      </c>
      <c r="M427">
        <v>39.473999999999997</v>
      </c>
      <c r="N427">
        <v>0.52200000000000002</v>
      </c>
      <c r="P427" s="1">
        <f t="shared" si="49"/>
        <v>10.965</v>
      </c>
      <c r="Q427" s="3">
        <f t="shared" si="44"/>
        <v>0.76111111111110574</v>
      </c>
      <c r="R427" s="3">
        <f t="shared" si="45"/>
        <v>0.28500000000000014</v>
      </c>
      <c r="S427" s="3">
        <f t="shared" si="50"/>
        <v>-0.12363636363636342</v>
      </c>
      <c r="U427" s="1">
        <f t="shared" si="46"/>
        <v>10.969823232323233</v>
      </c>
      <c r="V427" s="3">
        <f t="shared" si="47"/>
        <v>-0.12363636363636488</v>
      </c>
      <c r="W427" s="3">
        <f t="shared" si="48"/>
        <v>-0.16966942148760369</v>
      </c>
    </row>
    <row r="428" spans="1:23" x14ac:dyDescent="0.25">
      <c r="A428" t="s">
        <v>16</v>
      </c>
      <c r="C428">
        <v>52.048270500000001</v>
      </c>
      <c r="D428">
        <v>-0.57198720000000003</v>
      </c>
      <c r="E428">
        <v>4</v>
      </c>
      <c r="F428">
        <v>4</v>
      </c>
      <c r="G428">
        <v>2022</v>
      </c>
      <c r="H428">
        <v>13</v>
      </c>
      <c r="I428">
        <v>55</v>
      </c>
      <c r="J428">
        <v>58.5</v>
      </c>
      <c r="K428">
        <v>42.96</v>
      </c>
      <c r="L428">
        <v>0</v>
      </c>
      <c r="M428">
        <v>39.402000000000001</v>
      </c>
      <c r="N428">
        <v>0.52200000000000002</v>
      </c>
      <c r="P428" s="1">
        <f t="shared" si="49"/>
        <v>10.945</v>
      </c>
      <c r="Q428" s="3">
        <f t="shared" si="44"/>
        <v>-0.19999999999999574</v>
      </c>
      <c r="R428" s="3">
        <f t="shared" si="45"/>
        <v>0.13000000000000078</v>
      </c>
      <c r="S428" s="3">
        <f t="shared" si="50"/>
        <v>-0.11101010101010077</v>
      </c>
      <c r="U428" s="1">
        <f t="shared" si="46"/>
        <v>10.982550505050504</v>
      </c>
      <c r="V428" s="3">
        <f t="shared" si="47"/>
        <v>-0.11101010101010367</v>
      </c>
      <c r="W428" s="3">
        <f t="shared" si="48"/>
        <v>-0.15283746556473832</v>
      </c>
    </row>
    <row r="429" spans="1:23" x14ac:dyDescent="0.25">
      <c r="A429" t="s">
        <v>16</v>
      </c>
      <c r="C429">
        <v>52.048260800000001</v>
      </c>
      <c r="D429">
        <v>-0.57198439999999995</v>
      </c>
      <c r="E429">
        <v>4</v>
      </c>
      <c r="F429">
        <v>4</v>
      </c>
      <c r="G429">
        <v>2022</v>
      </c>
      <c r="H429">
        <v>13</v>
      </c>
      <c r="I429">
        <v>55</v>
      </c>
      <c r="J429">
        <v>58.6</v>
      </c>
      <c r="K429">
        <v>42.99</v>
      </c>
      <c r="L429">
        <v>0</v>
      </c>
      <c r="M429">
        <v>39.826999999999998</v>
      </c>
      <c r="N429">
        <v>0.52200000000000002</v>
      </c>
      <c r="P429" s="1">
        <f t="shared" si="49"/>
        <v>11.063055555555556</v>
      </c>
      <c r="Q429" s="3">
        <f t="shared" si="44"/>
        <v>1.1805555555555536</v>
      </c>
      <c r="R429" s="3">
        <f t="shared" si="45"/>
        <v>-8.4166666666666501E-2</v>
      </c>
      <c r="S429" s="3">
        <f t="shared" si="50"/>
        <v>-9.0732323232322956E-2</v>
      </c>
      <c r="U429" s="1">
        <f t="shared" si="46"/>
        <v>10.986262626262626</v>
      </c>
      <c r="V429" s="3">
        <f t="shared" si="47"/>
        <v>-9.0732323232320056E-2</v>
      </c>
      <c r="W429" s="3">
        <f t="shared" si="48"/>
        <v>-0.14632690541781412</v>
      </c>
    </row>
    <row r="430" spans="1:23" x14ac:dyDescent="0.25">
      <c r="A430" t="s">
        <v>16</v>
      </c>
      <c r="C430">
        <v>52.048251</v>
      </c>
      <c r="D430">
        <v>-0.57198119999999997</v>
      </c>
      <c r="E430">
        <v>4</v>
      </c>
      <c r="F430">
        <v>4</v>
      </c>
      <c r="G430">
        <v>2022</v>
      </c>
      <c r="H430">
        <v>13</v>
      </c>
      <c r="I430">
        <v>55</v>
      </c>
      <c r="J430">
        <v>58.7</v>
      </c>
      <c r="K430">
        <v>43.01</v>
      </c>
      <c r="L430">
        <v>0</v>
      </c>
      <c r="M430">
        <v>40.334000000000003</v>
      </c>
      <c r="N430">
        <v>0.52200000000000002</v>
      </c>
      <c r="P430" s="1">
        <f t="shared" si="49"/>
        <v>11.203888888888889</v>
      </c>
      <c r="Q430" s="3">
        <f t="shared" si="44"/>
        <v>1.4083333333333314</v>
      </c>
      <c r="R430" s="3">
        <f t="shared" si="45"/>
        <v>-0.22888888888888914</v>
      </c>
      <c r="S430" s="3">
        <f t="shared" si="50"/>
        <v>-8.8005050505050128E-2</v>
      </c>
      <c r="U430" s="1">
        <f t="shared" si="46"/>
        <v>10.962979797979798</v>
      </c>
      <c r="V430" s="3">
        <f t="shared" si="47"/>
        <v>-8.8005050505048033E-2</v>
      </c>
      <c r="W430" s="3">
        <f t="shared" si="48"/>
        <v>-0.14480257116620684</v>
      </c>
    </row>
    <row r="431" spans="1:23" x14ac:dyDescent="0.25">
      <c r="A431" t="s">
        <v>16</v>
      </c>
      <c r="C431">
        <v>52.048241099999998</v>
      </c>
      <c r="D431">
        <v>-0.57197799999999999</v>
      </c>
      <c r="E431">
        <v>4</v>
      </c>
      <c r="F431">
        <v>4</v>
      </c>
      <c r="G431">
        <v>2022</v>
      </c>
      <c r="H431">
        <v>13</v>
      </c>
      <c r="I431">
        <v>55</v>
      </c>
      <c r="J431">
        <v>58.8</v>
      </c>
      <c r="K431">
        <v>43.01</v>
      </c>
      <c r="L431">
        <v>0</v>
      </c>
      <c r="M431">
        <v>40.351999999999997</v>
      </c>
      <c r="N431">
        <v>0.52200000000000002</v>
      </c>
      <c r="P431" s="1">
        <f t="shared" si="49"/>
        <v>11.20888888888889</v>
      </c>
      <c r="Q431" s="3">
        <f t="shared" si="44"/>
        <v>5.0000000000007816E-2</v>
      </c>
      <c r="R431" s="3">
        <f t="shared" si="45"/>
        <v>-0.23194444444444429</v>
      </c>
      <c r="S431" s="3">
        <f t="shared" si="50"/>
        <v>-0.11482323232323194</v>
      </c>
      <c r="U431" s="1">
        <f t="shared" si="46"/>
        <v>10.942803030303031</v>
      </c>
      <c r="V431" s="3">
        <f t="shared" si="47"/>
        <v>-0.11482323232323211</v>
      </c>
      <c r="W431" s="3">
        <f t="shared" si="48"/>
        <v>-0.14325298438934697</v>
      </c>
    </row>
    <row r="432" spans="1:23" x14ac:dyDescent="0.25">
      <c r="A432" t="s">
        <v>16</v>
      </c>
      <c r="C432">
        <v>52.0482315</v>
      </c>
      <c r="D432">
        <v>-0.57197529999999996</v>
      </c>
      <c r="E432">
        <v>4</v>
      </c>
      <c r="F432">
        <v>4</v>
      </c>
      <c r="G432">
        <v>2022</v>
      </c>
      <c r="H432">
        <v>13</v>
      </c>
      <c r="I432">
        <v>55</v>
      </c>
      <c r="J432">
        <v>58.9</v>
      </c>
      <c r="K432">
        <v>43.05</v>
      </c>
      <c r="L432">
        <v>0</v>
      </c>
      <c r="M432">
        <v>39.802</v>
      </c>
      <c r="N432">
        <v>0.52200000000000002</v>
      </c>
      <c r="P432" s="1">
        <f t="shared" si="49"/>
        <v>11.056111111111111</v>
      </c>
      <c r="Q432" s="3">
        <f t="shared" si="44"/>
        <v>-1.5277777777777857</v>
      </c>
      <c r="R432" s="3">
        <f t="shared" si="45"/>
        <v>-0.25194444444444386</v>
      </c>
      <c r="S432" s="3">
        <f t="shared" si="50"/>
        <v>-0.14608585858585824</v>
      </c>
      <c r="U432" s="1">
        <f t="shared" si="46"/>
        <v>10.926818181818183</v>
      </c>
      <c r="V432" s="3">
        <f t="shared" si="47"/>
        <v>-0.14608585858585776</v>
      </c>
      <c r="W432" s="3">
        <f t="shared" si="48"/>
        <v>-0.14045684113865822</v>
      </c>
    </row>
    <row r="433" spans="1:23" x14ac:dyDescent="0.25">
      <c r="A433" t="s">
        <v>16</v>
      </c>
      <c r="C433">
        <v>52.0482218</v>
      </c>
      <c r="D433">
        <v>-0.57197290000000001</v>
      </c>
      <c r="E433">
        <v>4</v>
      </c>
      <c r="F433">
        <v>4</v>
      </c>
      <c r="G433">
        <v>2022</v>
      </c>
      <c r="H433">
        <v>13</v>
      </c>
      <c r="I433">
        <v>55</v>
      </c>
      <c r="J433">
        <v>59</v>
      </c>
      <c r="K433">
        <v>43.05</v>
      </c>
      <c r="L433">
        <v>0</v>
      </c>
      <c r="M433">
        <v>39.28</v>
      </c>
      <c r="N433">
        <v>0.52600000000000002</v>
      </c>
      <c r="P433" s="1">
        <f t="shared" si="49"/>
        <v>10.911111111111111</v>
      </c>
      <c r="Q433" s="3">
        <f t="shared" si="44"/>
        <v>-1.4499999999999957</v>
      </c>
      <c r="R433" s="3">
        <f t="shared" si="45"/>
        <v>-0.23611111111111072</v>
      </c>
      <c r="S433" s="3">
        <f t="shared" si="50"/>
        <v>-0.18492424242424219</v>
      </c>
      <c r="U433" s="1">
        <f t="shared" si="46"/>
        <v>10.903535353535354</v>
      </c>
      <c r="V433" s="3">
        <f t="shared" si="47"/>
        <v>-0.18492424242423944</v>
      </c>
      <c r="W433" s="3">
        <f t="shared" si="48"/>
        <v>-0.13576216712580222</v>
      </c>
    </row>
    <row r="434" spans="1:23" x14ac:dyDescent="0.25">
      <c r="A434" t="s">
        <v>16</v>
      </c>
      <c r="C434">
        <v>52.048212200000002</v>
      </c>
      <c r="D434">
        <v>-0.57197050000000005</v>
      </c>
      <c r="E434">
        <v>4</v>
      </c>
      <c r="F434">
        <v>4</v>
      </c>
      <c r="G434">
        <v>2022</v>
      </c>
      <c r="H434">
        <v>13</v>
      </c>
      <c r="I434">
        <v>55</v>
      </c>
      <c r="J434">
        <v>59.1</v>
      </c>
      <c r="K434">
        <v>43.05</v>
      </c>
      <c r="L434">
        <v>0</v>
      </c>
      <c r="M434">
        <v>38.959000000000003</v>
      </c>
      <c r="N434">
        <v>0.51800000000000002</v>
      </c>
      <c r="P434" s="1">
        <f t="shared" si="49"/>
        <v>10.821944444444444</v>
      </c>
      <c r="Q434" s="3">
        <f t="shared" si="44"/>
        <v>-0.89166666666667282</v>
      </c>
      <c r="R434" s="3">
        <f t="shared" si="45"/>
        <v>-0.17194444444444379</v>
      </c>
      <c r="S434" s="3">
        <f t="shared" si="50"/>
        <v>-0.21310606060606041</v>
      </c>
      <c r="U434" s="1">
        <f t="shared" si="46"/>
        <v>10.898636363636365</v>
      </c>
      <c r="V434" s="3">
        <f t="shared" si="47"/>
        <v>-0.21310606060605686</v>
      </c>
      <c r="W434" s="3">
        <f t="shared" si="48"/>
        <v>-0.12904269972451649</v>
      </c>
    </row>
    <row r="435" spans="1:23" x14ac:dyDescent="0.25">
      <c r="A435" t="s">
        <v>16</v>
      </c>
      <c r="C435">
        <v>52.048202799999999</v>
      </c>
      <c r="D435">
        <v>-0.57196840000000004</v>
      </c>
      <c r="E435">
        <v>4</v>
      </c>
      <c r="F435">
        <v>4</v>
      </c>
      <c r="G435">
        <v>2022</v>
      </c>
      <c r="H435">
        <v>13</v>
      </c>
      <c r="I435">
        <v>55</v>
      </c>
      <c r="J435">
        <v>59.2</v>
      </c>
      <c r="K435">
        <v>43.05</v>
      </c>
      <c r="L435">
        <v>0</v>
      </c>
      <c r="M435">
        <v>38.340000000000003</v>
      </c>
      <c r="N435">
        <v>0.52600000000000002</v>
      </c>
      <c r="P435" s="1">
        <f t="shared" si="49"/>
        <v>10.65</v>
      </c>
      <c r="Q435" s="3">
        <f t="shared" si="44"/>
        <v>-1.7194444444444379</v>
      </c>
      <c r="R435" s="3">
        <f t="shared" si="45"/>
        <v>-0.29694444444444379</v>
      </c>
      <c r="S435" s="3">
        <f t="shared" si="50"/>
        <v>-0.19580808080808074</v>
      </c>
      <c r="U435" s="1">
        <f t="shared" si="46"/>
        <v>10.884444444444446</v>
      </c>
      <c r="V435" s="3">
        <f t="shared" si="47"/>
        <v>-0.19580808080807977</v>
      </c>
      <c r="W435" s="3">
        <f t="shared" si="48"/>
        <v>-0.12081955922864909</v>
      </c>
    </row>
    <row r="436" spans="1:23" x14ac:dyDescent="0.25">
      <c r="A436" t="s">
        <v>16</v>
      </c>
      <c r="C436">
        <v>52.048193400000002</v>
      </c>
      <c r="D436">
        <v>-0.57196639999999999</v>
      </c>
      <c r="E436">
        <v>4</v>
      </c>
      <c r="F436">
        <v>4</v>
      </c>
      <c r="G436">
        <v>2022</v>
      </c>
      <c r="H436">
        <v>13</v>
      </c>
      <c r="I436">
        <v>55</v>
      </c>
      <c r="J436">
        <v>59.3</v>
      </c>
      <c r="K436">
        <v>43.08</v>
      </c>
      <c r="L436">
        <v>0</v>
      </c>
      <c r="M436">
        <v>38.365000000000002</v>
      </c>
      <c r="N436">
        <v>0.51800000000000002</v>
      </c>
      <c r="P436" s="1">
        <f t="shared" si="49"/>
        <v>10.656944444444445</v>
      </c>
      <c r="Q436" s="3">
        <f t="shared" si="44"/>
        <v>6.9444444444446418E-2</v>
      </c>
      <c r="R436" s="3">
        <f t="shared" si="45"/>
        <v>-0.35500000000000043</v>
      </c>
      <c r="S436" s="3">
        <f t="shared" si="50"/>
        <v>-0.15626262626262613</v>
      </c>
      <c r="U436" s="1">
        <f t="shared" si="46"/>
        <v>10.852626262626263</v>
      </c>
      <c r="V436" s="3">
        <f t="shared" si="47"/>
        <v>-0.15626262626262388</v>
      </c>
      <c r="W436" s="3">
        <f t="shared" si="48"/>
        <v>-0.10800964187327738</v>
      </c>
    </row>
    <row r="437" spans="1:23" x14ac:dyDescent="0.25">
      <c r="A437" t="s">
        <v>16</v>
      </c>
      <c r="C437">
        <v>52.048183799999997</v>
      </c>
      <c r="D437">
        <v>-0.57196440000000004</v>
      </c>
      <c r="E437">
        <v>4</v>
      </c>
      <c r="F437">
        <v>4</v>
      </c>
      <c r="G437">
        <v>2022</v>
      </c>
      <c r="H437">
        <v>13</v>
      </c>
      <c r="I437">
        <v>55</v>
      </c>
      <c r="J437">
        <v>59.4</v>
      </c>
      <c r="K437">
        <v>43.07</v>
      </c>
      <c r="L437">
        <v>0</v>
      </c>
      <c r="M437">
        <v>38.567</v>
      </c>
      <c r="N437">
        <v>0.51500000000000001</v>
      </c>
      <c r="P437" s="1">
        <f t="shared" si="49"/>
        <v>10.713055555555556</v>
      </c>
      <c r="Q437" s="3">
        <f t="shared" si="44"/>
        <v>0.56111111111111001</v>
      </c>
      <c r="R437" s="3">
        <f t="shared" si="45"/>
        <v>-0.16499999999999915</v>
      </c>
      <c r="S437" s="3">
        <f t="shared" si="50"/>
        <v>-0.12063131313131302</v>
      </c>
      <c r="U437" s="1">
        <f t="shared" si="46"/>
        <v>10.823737373737375</v>
      </c>
      <c r="V437" s="3">
        <f t="shared" si="47"/>
        <v>-0.12063131313131414</v>
      </c>
      <c r="W437" s="3">
        <f t="shared" si="48"/>
        <v>-8.8432047750228809E-2</v>
      </c>
    </row>
    <row r="438" spans="1:23" x14ac:dyDescent="0.25">
      <c r="A438" t="s">
        <v>16</v>
      </c>
      <c r="C438">
        <v>52.048174299999999</v>
      </c>
      <c r="D438">
        <v>-0.57196250000000004</v>
      </c>
      <c r="E438">
        <v>4</v>
      </c>
      <c r="F438">
        <v>4</v>
      </c>
      <c r="G438">
        <v>2022</v>
      </c>
      <c r="H438">
        <v>13</v>
      </c>
      <c r="I438">
        <v>55</v>
      </c>
      <c r="J438">
        <v>59.5</v>
      </c>
      <c r="K438">
        <v>43.08</v>
      </c>
      <c r="L438">
        <v>0</v>
      </c>
      <c r="M438">
        <v>38.552</v>
      </c>
      <c r="N438">
        <v>0.51100000000000001</v>
      </c>
      <c r="P438" s="1">
        <f t="shared" si="49"/>
        <v>10.70888888888889</v>
      </c>
      <c r="Q438" s="3">
        <f t="shared" si="44"/>
        <v>-4.1666666666664298E-2</v>
      </c>
      <c r="R438" s="3">
        <f t="shared" si="45"/>
        <v>-0.14222222222222314</v>
      </c>
      <c r="S438" s="3">
        <f t="shared" si="50"/>
        <v>-7.1994949494949528E-2</v>
      </c>
      <c r="U438" s="1">
        <f t="shared" si="46"/>
        <v>10.797626262626265</v>
      </c>
      <c r="V438" s="3">
        <f t="shared" si="47"/>
        <v>-7.1994949494948557E-2</v>
      </c>
      <c r="W438" s="3">
        <f t="shared" si="48"/>
        <v>-6.2151056014691945E-2</v>
      </c>
    </row>
    <row r="439" spans="1:23" x14ac:dyDescent="0.25">
      <c r="A439" t="s">
        <v>16</v>
      </c>
      <c r="C439">
        <v>52.048164499999999</v>
      </c>
      <c r="D439">
        <v>-0.57196029999999998</v>
      </c>
      <c r="E439">
        <v>4</v>
      </c>
      <c r="F439">
        <v>4</v>
      </c>
      <c r="G439">
        <v>2022</v>
      </c>
      <c r="H439">
        <v>13</v>
      </c>
      <c r="I439">
        <v>55</v>
      </c>
      <c r="J439">
        <v>59.6</v>
      </c>
      <c r="K439">
        <v>43.08</v>
      </c>
      <c r="L439">
        <v>0</v>
      </c>
      <c r="M439">
        <v>39.207999999999998</v>
      </c>
      <c r="N439">
        <v>0.50800000000000001</v>
      </c>
      <c r="P439" s="1">
        <f t="shared" si="49"/>
        <v>10.891111111111112</v>
      </c>
      <c r="Q439" s="3">
        <f t="shared" si="44"/>
        <v>1.8222222222222229</v>
      </c>
      <c r="R439" s="3">
        <f t="shared" si="45"/>
        <v>-0.17999999999999972</v>
      </c>
      <c r="S439" s="3">
        <f t="shared" si="50"/>
        <v>-3.7095959595959661E-2</v>
      </c>
      <c r="U439" s="1">
        <f t="shared" si="46"/>
        <v>10.773156565656569</v>
      </c>
      <c r="V439" s="3">
        <f t="shared" si="47"/>
        <v>-3.7095959595960792E-2</v>
      </c>
      <c r="W439" s="3">
        <f t="shared" si="48"/>
        <v>-2.8337924701561077E-2</v>
      </c>
    </row>
    <row r="440" spans="1:23" x14ac:dyDescent="0.25">
      <c r="A440" t="s">
        <v>16</v>
      </c>
      <c r="C440">
        <v>52.048154799999999</v>
      </c>
      <c r="D440">
        <v>-0.57195830000000003</v>
      </c>
      <c r="E440">
        <v>4</v>
      </c>
      <c r="F440">
        <v>4</v>
      </c>
      <c r="G440">
        <v>2022</v>
      </c>
      <c r="H440">
        <v>13</v>
      </c>
      <c r="I440">
        <v>55</v>
      </c>
      <c r="J440">
        <v>59.7</v>
      </c>
      <c r="K440">
        <v>43.09</v>
      </c>
      <c r="L440">
        <v>0</v>
      </c>
      <c r="M440">
        <v>39.265000000000001</v>
      </c>
      <c r="N440">
        <v>0.50800000000000001</v>
      </c>
      <c r="P440" s="1">
        <f t="shared" si="49"/>
        <v>10.906944444444445</v>
      </c>
      <c r="Q440" s="3">
        <f t="shared" si="44"/>
        <v>0.15833333333333144</v>
      </c>
      <c r="R440" s="3">
        <f t="shared" si="45"/>
        <v>0.10611111111110993</v>
      </c>
      <c r="S440" s="3">
        <f t="shared" si="50"/>
        <v>-2.7777777777790192E-4</v>
      </c>
      <c r="U440" s="1">
        <f t="shared" si="46"/>
        <v>10.767171717171719</v>
      </c>
      <c r="V440" s="3">
        <f t="shared" si="47"/>
        <v>-2.7777777777870938E-4</v>
      </c>
      <c r="W440" s="3">
        <f t="shared" si="48"/>
        <v>1.1962809917354827E-2</v>
      </c>
    </row>
    <row r="441" spans="1:23" x14ac:dyDescent="0.25">
      <c r="A441" t="s">
        <v>16</v>
      </c>
      <c r="C441">
        <v>52.0481452</v>
      </c>
      <c r="D441">
        <v>-0.57195629999999997</v>
      </c>
      <c r="E441">
        <v>4</v>
      </c>
      <c r="F441">
        <v>4</v>
      </c>
      <c r="G441">
        <v>2022</v>
      </c>
      <c r="H441">
        <v>13</v>
      </c>
      <c r="I441">
        <v>55</v>
      </c>
      <c r="J441">
        <v>59.8</v>
      </c>
      <c r="K441">
        <v>43.1</v>
      </c>
      <c r="L441">
        <v>0</v>
      </c>
      <c r="M441">
        <v>39.073999999999998</v>
      </c>
      <c r="N441">
        <v>0.50800000000000001</v>
      </c>
      <c r="P441" s="1">
        <f t="shared" si="49"/>
        <v>10.853888888888889</v>
      </c>
      <c r="Q441" s="3">
        <f t="shared" si="44"/>
        <v>-0.53055555555555856</v>
      </c>
      <c r="R441" s="3">
        <f t="shared" si="45"/>
        <v>0.20611111111111136</v>
      </c>
      <c r="S441" s="3">
        <f t="shared" si="50"/>
        <v>5.2904040404040197E-2</v>
      </c>
      <c r="U441" s="1">
        <f t="shared" si="46"/>
        <v>10.786540404040407</v>
      </c>
      <c r="V441" s="3">
        <f t="shared" si="47"/>
        <v>5.2904040404040842E-2</v>
      </c>
      <c r="W441" s="3">
        <f t="shared" si="48"/>
        <v>5.1095041322313121E-2</v>
      </c>
    </row>
    <row r="442" spans="1:23" x14ac:dyDescent="0.25">
      <c r="A442" t="s">
        <v>16</v>
      </c>
      <c r="C442">
        <v>52.0481354</v>
      </c>
      <c r="D442">
        <v>-0.57195459999999998</v>
      </c>
      <c r="E442">
        <v>4</v>
      </c>
      <c r="F442">
        <v>4</v>
      </c>
      <c r="G442">
        <v>2022</v>
      </c>
      <c r="H442">
        <v>13</v>
      </c>
      <c r="I442">
        <v>55</v>
      </c>
      <c r="J442">
        <v>59.9</v>
      </c>
      <c r="K442">
        <v>43.1</v>
      </c>
      <c r="L442">
        <v>0</v>
      </c>
      <c r="M442">
        <v>39.207999999999998</v>
      </c>
      <c r="N442">
        <v>0.504</v>
      </c>
      <c r="P442" s="1">
        <f t="shared" si="49"/>
        <v>10.891111111111112</v>
      </c>
      <c r="Q442" s="3">
        <f t="shared" si="44"/>
        <v>0.37222222222222712</v>
      </c>
      <c r="R442" s="3">
        <f t="shared" si="45"/>
        <v>0.16000000000000014</v>
      </c>
      <c r="S442" s="3">
        <f t="shared" si="50"/>
        <v>0.10053030303030284</v>
      </c>
      <c r="U442" s="1">
        <f t="shared" si="46"/>
        <v>10.806186868686869</v>
      </c>
      <c r="V442" s="3">
        <f t="shared" si="47"/>
        <v>0.10053030303030219</v>
      </c>
      <c r="W442" s="3">
        <f t="shared" si="48"/>
        <v>8.6903122130393709E-2</v>
      </c>
    </row>
    <row r="443" spans="1:23" x14ac:dyDescent="0.25">
      <c r="A443" t="s">
        <v>16</v>
      </c>
      <c r="C443">
        <v>52.048125800000001</v>
      </c>
      <c r="D443">
        <v>-0.57195309999999999</v>
      </c>
      <c r="E443">
        <v>4</v>
      </c>
      <c r="F443">
        <v>4</v>
      </c>
      <c r="G443">
        <v>2022</v>
      </c>
      <c r="H443">
        <v>13</v>
      </c>
      <c r="I443">
        <v>56</v>
      </c>
      <c r="J443">
        <v>0</v>
      </c>
      <c r="K443">
        <v>43.09</v>
      </c>
      <c r="L443">
        <v>0</v>
      </c>
      <c r="M443">
        <v>38.768000000000001</v>
      </c>
      <c r="N443">
        <v>0.5</v>
      </c>
      <c r="P443" s="1">
        <f t="shared" si="49"/>
        <v>10.768888888888888</v>
      </c>
      <c r="Q443" s="3">
        <f t="shared" si="44"/>
        <v>-1.2222222222222356</v>
      </c>
      <c r="R443" s="3">
        <f t="shared" si="45"/>
        <v>0.28305555555555451</v>
      </c>
      <c r="S443" s="3">
        <f t="shared" si="50"/>
        <v>0.14300505050505033</v>
      </c>
      <c r="U443" s="1">
        <f t="shared" si="46"/>
        <v>10.831540404040405</v>
      </c>
      <c r="V443" s="3">
        <f t="shared" si="47"/>
        <v>0.14300505050504775</v>
      </c>
      <c r="W443" s="3">
        <f t="shared" si="48"/>
        <v>0.11897612488521454</v>
      </c>
    </row>
    <row r="444" spans="1:23" x14ac:dyDescent="0.25">
      <c r="A444" t="s">
        <v>16</v>
      </c>
      <c r="C444">
        <v>52.048116200000003</v>
      </c>
      <c r="D444">
        <v>-0.57195200000000002</v>
      </c>
      <c r="E444">
        <v>4</v>
      </c>
      <c r="F444">
        <v>4</v>
      </c>
      <c r="G444">
        <v>2022</v>
      </c>
      <c r="H444">
        <v>13</v>
      </c>
      <c r="I444">
        <v>56</v>
      </c>
      <c r="J444">
        <v>0.1</v>
      </c>
      <c r="K444">
        <v>43.07</v>
      </c>
      <c r="L444">
        <v>0</v>
      </c>
      <c r="M444">
        <v>38.311</v>
      </c>
      <c r="N444">
        <v>0.5</v>
      </c>
      <c r="P444" s="1">
        <f t="shared" si="49"/>
        <v>10.641944444444444</v>
      </c>
      <c r="Q444" s="3">
        <f t="shared" si="44"/>
        <v>-1.2694444444444386</v>
      </c>
      <c r="R444" s="3">
        <f t="shared" si="45"/>
        <v>0.14777777777777779</v>
      </c>
      <c r="S444" s="3">
        <f t="shared" si="50"/>
        <v>0.18702020202020186</v>
      </c>
      <c r="U444" s="1">
        <f t="shared" si="46"/>
        <v>10.861540404040404</v>
      </c>
      <c r="V444" s="3">
        <f t="shared" si="47"/>
        <v>0.18702020202020009</v>
      </c>
      <c r="W444" s="3">
        <f t="shared" si="48"/>
        <v>0.14551193755739061</v>
      </c>
    </row>
    <row r="445" spans="1:23" x14ac:dyDescent="0.25">
      <c r="A445" t="s">
        <v>16</v>
      </c>
      <c r="C445">
        <v>52.048106500000003</v>
      </c>
      <c r="D445">
        <v>-0.57195119999999999</v>
      </c>
      <c r="E445">
        <v>4</v>
      </c>
      <c r="F445">
        <v>4</v>
      </c>
      <c r="G445">
        <v>2022</v>
      </c>
      <c r="H445">
        <v>13</v>
      </c>
      <c r="I445">
        <v>56</v>
      </c>
      <c r="J445">
        <v>0.2</v>
      </c>
      <c r="K445">
        <v>43.07</v>
      </c>
      <c r="L445">
        <v>0</v>
      </c>
      <c r="M445">
        <v>38.722000000000001</v>
      </c>
      <c r="N445">
        <v>0.49299999999999999</v>
      </c>
      <c r="P445" s="1">
        <f t="shared" si="49"/>
        <v>10.75611111111111</v>
      </c>
      <c r="Q445" s="3">
        <f t="shared" si="44"/>
        <v>1.1416666666666586</v>
      </c>
      <c r="R445" s="3">
        <f t="shared" si="45"/>
        <v>0.23305555555555557</v>
      </c>
      <c r="S445" s="3">
        <f t="shared" si="50"/>
        <v>0.23020202020202019</v>
      </c>
      <c r="U445" s="1">
        <f t="shared" si="46"/>
        <v>10.884166666666667</v>
      </c>
      <c r="V445" s="3">
        <f t="shared" si="47"/>
        <v>0.23020202020201808</v>
      </c>
      <c r="W445" s="3">
        <f t="shared" si="48"/>
        <v>0.16814967860422267</v>
      </c>
    </row>
    <row r="446" spans="1:23" x14ac:dyDescent="0.25">
      <c r="A446" t="s">
        <v>16</v>
      </c>
      <c r="C446">
        <v>52.048096700000002</v>
      </c>
      <c r="D446">
        <v>-0.57195030000000002</v>
      </c>
      <c r="E446">
        <v>4</v>
      </c>
      <c r="F446">
        <v>4</v>
      </c>
      <c r="G446">
        <v>2022</v>
      </c>
      <c r="H446">
        <v>13</v>
      </c>
      <c r="I446">
        <v>56</v>
      </c>
      <c r="J446">
        <v>0.3</v>
      </c>
      <c r="K446">
        <v>43.07</v>
      </c>
      <c r="L446">
        <v>0</v>
      </c>
      <c r="M446">
        <v>39.106999999999999</v>
      </c>
      <c r="N446">
        <v>0.497</v>
      </c>
      <c r="P446" s="1">
        <f t="shared" si="49"/>
        <v>10.863055555555556</v>
      </c>
      <c r="Q446" s="3">
        <f t="shared" si="44"/>
        <v>1.0694444444444606</v>
      </c>
      <c r="R446" s="3">
        <f t="shared" si="45"/>
        <v>0.28805555555555529</v>
      </c>
      <c r="S446" s="3">
        <f t="shared" si="50"/>
        <v>0.23464646464646466</v>
      </c>
      <c r="U446" s="1">
        <f t="shared" si="46"/>
        <v>10.905530303030304</v>
      </c>
      <c r="V446" s="3">
        <f t="shared" si="47"/>
        <v>0.23464646464646144</v>
      </c>
      <c r="W446" s="3">
        <f t="shared" si="48"/>
        <v>0.18593663911845598</v>
      </c>
    </row>
    <row r="447" spans="1:23" x14ac:dyDescent="0.25">
      <c r="A447" t="s">
        <v>16</v>
      </c>
      <c r="C447">
        <v>52.048087000000002</v>
      </c>
      <c r="D447">
        <v>-0.57194929999999999</v>
      </c>
      <c r="E447">
        <v>4</v>
      </c>
      <c r="F447">
        <v>4</v>
      </c>
      <c r="G447">
        <v>2022</v>
      </c>
      <c r="H447">
        <v>13</v>
      </c>
      <c r="I447">
        <v>56</v>
      </c>
      <c r="J447">
        <v>0.4</v>
      </c>
      <c r="K447">
        <v>43.09</v>
      </c>
      <c r="L447">
        <v>0</v>
      </c>
      <c r="M447">
        <v>39.143000000000001</v>
      </c>
      <c r="N447">
        <v>0.51100000000000001</v>
      </c>
      <c r="P447" s="1">
        <f t="shared" si="49"/>
        <v>10.873055555555556</v>
      </c>
      <c r="Q447" s="3">
        <f t="shared" si="44"/>
        <v>9.9999999999997868E-2</v>
      </c>
      <c r="R447" s="3">
        <f t="shared" si="45"/>
        <v>0.16888888888888864</v>
      </c>
      <c r="S447" s="3">
        <f t="shared" si="50"/>
        <v>0.23762626262626263</v>
      </c>
      <c r="U447" s="1">
        <f t="shared" si="46"/>
        <v>10.924267676767677</v>
      </c>
      <c r="V447" s="3">
        <f t="shared" si="47"/>
        <v>0.23762626262626263</v>
      </c>
      <c r="W447" s="3">
        <f t="shared" si="48"/>
        <v>0.1972520661157012</v>
      </c>
    </row>
    <row r="448" spans="1:23" x14ac:dyDescent="0.25">
      <c r="A448" t="s">
        <v>16</v>
      </c>
      <c r="C448">
        <v>52.048076999999999</v>
      </c>
      <c r="D448">
        <v>-0.57194860000000003</v>
      </c>
      <c r="E448">
        <v>4</v>
      </c>
      <c r="F448">
        <v>4</v>
      </c>
      <c r="G448">
        <v>2022</v>
      </c>
      <c r="H448">
        <v>13</v>
      </c>
      <c r="I448">
        <v>56</v>
      </c>
      <c r="J448">
        <v>0.5</v>
      </c>
      <c r="K448">
        <v>43.07</v>
      </c>
      <c r="L448">
        <v>0</v>
      </c>
      <c r="M448">
        <v>39.570999999999998</v>
      </c>
      <c r="N448">
        <v>0.5</v>
      </c>
      <c r="P448" s="1">
        <f t="shared" si="49"/>
        <v>10.991944444444444</v>
      </c>
      <c r="Q448" s="3">
        <f t="shared" si="44"/>
        <v>1.1888888888888793</v>
      </c>
      <c r="R448" s="3">
        <f t="shared" si="45"/>
        <v>0.30222222222222328</v>
      </c>
      <c r="S448" s="3">
        <f t="shared" si="50"/>
        <v>0.23217171717171714</v>
      </c>
      <c r="U448" s="1">
        <f t="shared" si="46"/>
        <v>10.940631313131313</v>
      </c>
      <c r="V448" s="3">
        <f t="shared" si="47"/>
        <v>0.23217171717171503</v>
      </c>
      <c r="W448" s="3">
        <f t="shared" si="48"/>
        <v>0.20359274563819907</v>
      </c>
    </row>
    <row r="449" spans="1:23" x14ac:dyDescent="0.25">
      <c r="A449" t="s">
        <v>16</v>
      </c>
      <c r="C449">
        <v>52.048067199999998</v>
      </c>
      <c r="D449">
        <v>-0.57194769999999995</v>
      </c>
      <c r="E449">
        <v>4</v>
      </c>
      <c r="F449">
        <v>4</v>
      </c>
      <c r="G449">
        <v>2022</v>
      </c>
      <c r="H449">
        <v>13</v>
      </c>
      <c r="I449">
        <v>56</v>
      </c>
      <c r="J449">
        <v>0.6</v>
      </c>
      <c r="K449">
        <v>43.12</v>
      </c>
      <c r="L449">
        <v>0</v>
      </c>
      <c r="M449">
        <v>39.74</v>
      </c>
      <c r="N449">
        <v>0.5</v>
      </c>
      <c r="P449" s="1">
        <f t="shared" si="49"/>
        <v>11.03888888888889</v>
      </c>
      <c r="Q449" s="3">
        <f t="shared" si="44"/>
        <v>0.46944444444445566</v>
      </c>
      <c r="R449" s="3">
        <f t="shared" si="45"/>
        <v>0.34194444444444372</v>
      </c>
      <c r="S449" s="3">
        <f t="shared" si="50"/>
        <v>0.21989898989898987</v>
      </c>
      <c r="U449" s="1">
        <f t="shared" si="46"/>
        <v>10.960176767676769</v>
      </c>
      <c r="V449" s="3">
        <f t="shared" si="47"/>
        <v>0.21989898989898826</v>
      </c>
      <c r="W449" s="3">
        <f t="shared" si="48"/>
        <v>0.20371671258034818</v>
      </c>
    </row>
    <row r="450" spans="1:23" x14ac:dyDescent="0.25">
      <c r="A450" t="s">
        <v>16</v>
      </c>
      <c r="C450">
        <v>52.048057200000002</v>
      </c>
      <c r="D450">
        <v>-0.57194659999999997</v>
      </c>
      <c r="E450">
        <v>4</v>
      </c>
      <c r="F450">
        <v>4</v>
      </c>
      <c r="G450">
        <v>2022</v>
      </c>
      <c r="H450">
        <v>13</v>
      </c>
      <c r="I450">
        <v>56</v>
      </c>
      <c r="J450">
        <v>0.7</v>
      </c>
      <c r="K450">
        <v>43.15</v>
      </c>
      <c r="L450">
        <v>0</v>
      </c>
      <c r="M450">
        <v>40.103999999999999</v>
      </c>
      <c r="N450">
        <v>0.50800000000000001</v>
      </c>
      <c r="P450" s="1">
        <f t="shared" si="49"/>
        <v>11.14</v>
      </c>
      <c r="Q450" s="3">
        <f t="shared" si="44"/>
        <v>1.0111111111111093</v>
      </c>
      <c r="R450" s="3">
        <f t="shared" si="45"/>
        <v>0.29500000000000171</v>
      </c>
      <c r="S450" s="3">
        <f t="shared" si="50"/>
        <v>0.21191919191919179</v>
      </c>
      <c r="U450" s="1">
        <f t="shared" si="46"/>
        <v>10.997373737373737</v>
      </c>
      <c r="V450" s="3">
        <f t="shared" si="47"/>
        <v>0.21191919191919162</v>
      </c>
      <c r="W450" s="3">
        <f t="shared" si="48"/>
        <v>0.19718549127639984</v>
      </c>
    </row>
    <row r="451" spans="1:23" x14ac:dyDescent="0.25">
      <c r="A451" t="s">
        <v>16</v>
      </c>
      <c r="C451">
        <v>52.048047199999999</v>
      </c>
      <c r="D451">
        <v>-0.57194560000000005</v>
      </c>
      <c r="E451">
        <v>4</v>
      </c>
      <c r="F451">
        <v>4</v>
      </c>
      <c r="G451">
        <v>2022</v>
      </c>
      <c r="H451">
        <v>13</v>
      </c>
      <c r="I451">
        <v>56</v>
      </c>
      <c r="J451">
        <v>0.8</v>
      </c>
      <c r="K451">
        <v>43.15</v>
      </c>
      <c r="L451">
        <v>0</v>
      </c>
      <c r="M451">
        <v>40.110999999999997</v>
      </c>
      <c r="N451">
        <v>0.504</v>
      </c>
      <c r="P451" s="1">
        <f t="shared" si="49"/>
        <v>11.141944444444444</v>
      </c>
      <c r="Q451" s="3">
        <f t="shared" si="44"/>
        <v>1.9444444444438602E-2</v>
      </c>
      <c r="R451" s="3">
        <f t="shared" si="45"/>
        <v>0.15499999999999936</v>
      </c>
      <c r="S451" s="3">
        <f t="shared" si="50"/>
        <v>0.19537878787878782</v>
      </c>
      <c r="U451" s="1">
        <f t="shared" si="46"/>
        <v>11.021186868686868</v>
      </c>
      <c r="V451" s="3">
        <f t="shared" si="47"/>
        <v>0.19537878787878782</v>
      </c>
      <c r="W451" s="3">
        <f t="shared" si="48"/>
        <v>0.18555555555555533</v>
      </c>
    </row>
    <row r="452" spans="1:23" x14ac:dyDescent="0.25">
      <c r="A452" t="s">
        <v>16</v>
      </c>
      <c r="C452">
        <v>52.048037299999997</v>
      </c>
      <c r="D452">
        <v>-0.57194449999999997</v>
      </c>
      <c r="E452">
        <v>4</v>
      </c>
      <c r="F452">
        <v>4</v>
      </c>
      <c r="G452">
        <v>2022</v>
      </c>
      <c r="H452">
        <v>13</v>
      </c>
      <c r="I452">
        <v>56</v>
      </c>
      <c r="J452">
        <v>0.9</v>
      </c>
      <c r="K452">
        <v>43.16</v>
      </c>
      <c r="L452">
        <v>0</v>
      </c>
      <c r="M452">
        <v>39.816000000000003</v>
      </c>
      <c r="N452">
        <v>0.49299999999999999</v>
      </c>
      <c r="P452" s="1">
        <f t="shared" si="49"/>
        <v>11.06</v>
      </c>
      <c r="Q452" s="3">
        <f t="shared" si="44"/>
        <v>-0.81944444444443931</v>
      </c>
      <c r="R452" s="3">
        <f t="shared" si="45"/>
        <v>0.23888888888888893</v>
      </c>
      <c r="S452" s="3">
        <f t="shared" si="50"/>
        <v>0.17737373737373732</v>
      </c>
      <c r="U452" s="1">
        <f t="shared" si="46"/>
        <v>11.043813131313131</v>
      </c>
      <c r="V452" s="3">
        <f t="shared" si="47"/>
        <v>0.17737373737373829</v>
      </c>
      <c r="W452" s="3">
        <f t="shared" si="48"/>
        <v>0.17360422405876977</v>
      </c>
    </row>
    <row r="453" spans="1:23" x14ac:dyDescent="0.25">
      <c r="A453" t="s">
        <v>16</v>
      </c>
      <c r="C453">
        <v>52.048027300000001</v>
      </c>
      <c r="D453">
        <v>-0.57194330000000004</v>
      </c>
      <c r="E453">
        <v>4</v>
      </c>
      <c r="F453">
        <v>4</v>
      </c>
      <c r="G453">
        <v>2022</v>
      </c>
      <c r="H453">
        <v>13</v>
      </c>
      <c r="I453">
        <v>56</v>
      </c>
      <c r="J453">
        <v>1</v>
      </c>
      <c r="K453">
        <v>43.14</v>
      </c>
      <c r="L453">
        <v>0</v>
      </c>
      <c r="M453">
        <v>39.856000000000002</v>
      </c>
      <c r="N453">
        <v>0.49</v>
      </c>
      <c r="P453" s="1">
        <f t="shared" si="49"/>
        <v>11.071111111111112</v>
      </c>
      <c r="Q453" s="3">
        <f t="shared" ref="Q453:Q493" si="51">10*($P453-$P452)</f>
        <v>0.11111111111111072</v>
      </c>
      <c r="R453" s="3">
        <f t="shared" si="45"/>
        <v>9.9999999999999645E-2</v>
      </c>
      <c r="S453" s="3">
        <f t="shared" si="50"/>
        <v>0.17027777777777767</v>
      </c>
      <c r="U453" s="1">
        <f t="shared" si="46"/>
        <v>11.06371212121212</v>
      </c>
      <c r="V453" s="3">
        <f t="shared" si="47"/>
        <v>0.17027777777777864</v>
      </c>
      <c r="W453" s="3">
        <f t="shared" si="48"/>
        <v>0.16143250688705263</v>
      </c>
    </row>
    <row r="454" spans="1:23" x14ac:dyDescent="0.25">
      <c r="A454" t="s">
        <v>16</v>
      </c>
      <c r="C454">
        <v>52.0480175</v>
      </c>
      <c r="D454">
        <v>-0.57194230000000001</v>
      </c>
      <c r="E454">
        <v>4</v>
      </c>
      <c r="F454">
        <v>4</v>
      </c>
      <c r="G454">
        <v>2022</v>
      </c>
      <c r="H454">
        <v>13</v>
      </c>
      <c r="I454">
        <v>56</v>
      </c>
      <c r="J454">
        <v>1.1000000000000001</v>
      </c>
      <c r="K454">
        <v>43.14</v>
      </c>
      <c r="L454">
        <v>0</v>
      </c>
      <c r="M454">
        <v>39.542000000000002</v>
      </c>
      <c r="N454">
        <v>0.48199999999999998</v>
      </c>
      <c r="P454" s="1">
        <f t="shared" si="49"/>
        <v>10.983888888888888</v>
      </c>
      <c r="Q454" s="3">
        <f t="shared" si="51"/>
        <v>-0.87222222222223422</v>
      </c>
      <c r="R454" s="3">
        <f t="shared" si="45"/>
        <v>0.14805555555555472</v>
      </c>
      <c r="S454" s="3">
        <f t="shared" si="50"/>
        <v>0.14436868686868676</v>
      </c>
      <c r="U454" s="1">
        <f t="shared" si="46"/>
        <v>11.081439393939393</v>
      </c>
      <c r="V454" s="3">
        <f t="shared" si="47"/>
        <v>0.1443686868686882</v>
      </c>
      <c r="W454" s="3">
        <f t="shared" si="48"/>
        <v>0.15077364554637332</v>
      </c>
    </row>
    <row r="455" spans="1:23" x14ac:dyDescent="0.25">
      <c r="A455" t="s">
        <v>16</v>
      </c>
      <c r="C455">
        <v>52.048007599999998</v>
      </c>
      <c r="D455">
        <v>-0.57194100000000003</v>
      </c>
      <c r="E455">
        <v>4</v>
      </c>
      <c r="F455">
        <v>4</v>
      </c>
      <c r="G455">
        <v>2022</v>
      </c>
      <c r="H455">
        <v>13</v>
      </c>
      <c r="I455">
        <v>56</v>
      </c>
      <c r="J455">
        <v>1.2</v>
      </c>
      <c r="K455">
        <v>43.15</v>
      </c>
      <c r="L455">
        <v>0</v>
      </c>
      <c r="M455">
        <v>39.783999999999999</v>
      </c>
      <c r="N455">
        <v>0.47899999999999998</v>
      </c>
      <c r="P455" s="1">
        <f t="shared" si="49"/>
        <v>11.051111111111112</v>
      </c>
      <c r="Q455" s="3">
        <f t="shared" si="51"/>
        <v>0.67222222222223849</v>
      </c>
      <c r="R455" s="3">
        <f t="shared" si="45"/>
        <v>5.9999999999998721E-2</v>
      </c>
      <c r="S455" s="3">
        <f t="shared" si="50"/>
        <v>0.11517676767676752</v>
      </c>
      <c r="U455" s="1">
        <f t="shared" si="46"/>
        <v>11.096085858585859</v>
      </c>
      <c r="V455" s="3">
        <f t="shared" si="47"/>
        <v>0.11517676767676832</v>
      </c>
      <c r="W455" s="3">
        <f t="shared" si="48"/>
        <v>0.14159320477502357</v>
      </c>
    </row>
    <row r="456" spans="1:23" x14ac:dyDescent="0.25">
      <c r="A456" t="s">
        <v>16</v>
      </c>
      <c r="C456">
        <v>52.047997700000003</v>
      </c>
      <c r="D456">
        <v>-0.57193950000000005</v>
      </c>
      <c r="E456">
        <v>4</v>
      </c>
      <c r="F456">
        <v>4</v>
      </c>
      <c r="G456">
        <v>2022</v>
      </c>
      <c r="H456">
        <v>13</v>
      </c>
      <c r="I456">
        <v>56</v>
      </c>
      <c r="J456">
        <v>1.3</v>
      </c>
      <c r="K456">
        <v>43.14</v>
      </c>
      <c r="L456">
        <v>0</v>
      </c>
      <c r="M456">
        <v>39.664999999999999</v>
      </c>
      <c r="N456">
        <v>0.47499999999999998</v>
      </c>
      <c r="P456" s="1">
        <f t="shared" si="49"/>
        <v>11.018055555555556</v>
      </c>
      <c r="Q456" s="3">
        <f t="shared" si="51"/>
        <v>-0.33055555555556282</v>
      </c>
      <c r="R456" s="3">
        <f t="shared" si="45"/>
        <v>5.1111111111111995E-2</v>
      </c>
      <c r="S456" s="3">
        <f t="shared" si="50"/>
        <v>0.10227272727272695</v>
      </c>
      <c r="U456" s="1">
        <f t="shared" si="46"/>
        <v>11.100909090909092</v>
      </c>
      <c r="V456" s="3">
        <f t="shared" si="47"/>
        <v>0.1022727272727284</v>
      </c>
      <c r="W456" s="3">
        <f t="shared" si="48"/>
        <v>0.13498852157943117</v>
      </c>
    </row>
    <row r="457" spans="1:23" x14ac:dyDescent="0.25">
      <c r="A457" t="s">
        <v>16</v>
      </c>
      <c r="C457">
        <v>52.047987599999999</v>
      </c>
      <c r="D457">
        <v>-0.57193819999999995</v>
      </c>
      <c r="E457">
        <v>4</v>
      </c>
      <c r="F457">
        <v>4</v>
      </c>
      <c r="G457">
        <v>2022</v>
      </c>
      <c r="H457">
        <v>13</v>
      </c>
      <c r="I457">
        <v>56</v>
      </c>
      <c r="J457">
        <v>1.4</v>
      </c>
      <c r="K457">
        <v>43.11</v>
      </c>
      <c r="L457">
        <v>0</v>
      </c>
      <c r="M457">
        <v>40.003</v>
      </c>
      <c r="N457">
        <v>0.46800000000000003</v>
      </c>
      <c r="P457" s="1">
        <f t="shared" si="49"/>
        <v>11.111944444444445</v>
      </c>
      <c r="Q457" s="3">
        <f t="shared" si="51"/>
        <v>0.93888888888889355</v>
      </c>
      <c r="R457" s="3">
        <f t="shared" ref="R457:R488" si="52">($P462-$P452)</f>
        <v>8.9999999999999858E-2</v>
      </c>
      <c r="S457" s="3">
        <f t="shared" si="50"/>
        <v>0.10318181818181783</v>
      </c>
      <c r="U457" s="1">
        <f t="shared" ref="U457:U488" si="53">AVERAGE(P452:P462)</f>
        <v>11.101641414141415</v>
      </c>
      <c r="V457" s="3">
        <f t="shared" ref="V457:V488" si="54">($U462-$U452)</f>
        <v>0.10318181818182026</v>
      </c>
      <c r="W457" s="3">
        <f t="shared" si="48"/>
        <v>0.13063131313131346</v>
      </c>
    </row>
    <row r="458" spans="1:23" x14ac:dyDescent="0.25">
      <c r="A458" t="s">
        <v>16</v>
      </c>
      <c r="C458">
        <v>52.047977699999997</v>
      </c>
      <c r="D458">
        <v>-0.57193660000000002</v>
      </c>
      <c r="E458">
        <v>4</v>
      </c>
      <c r="F458">
        <v>4</v>
      </c>
      <c r="G458">
        <v>2022</v>
      </c>
      <c r="H458">
        <v>13</v>
      </c>
      <c r="I458">
        <v>56</v>
      </c>
      <c r="J458">
        <v>1.5</v>
      </c>
      <c r="K458">
        <v>43.11</v>
      </c>
      <c r="L458">
        <v>0</v>
      </c>
      <c r="M458">
        <v>39.930999999999997</v>
      </c>
      <c r="N458">
        <v>0.47499999999999998</v>
      </c>
      <c r="P458" s="1">
        <f t="shared" si="49"/>
        <v>11.091944444444444</v>
      </c>
      <c r="Q458" s="3">
        <f t="shared" si="51"/>
        <v>-0.2000000000000135</v>
      </c>
      <c r="R458" s="3">
        <f t="shared" si="52"/>
        <v>9.0833333333332433E-2</v>
      </c>
      <c r="S458" s="3">
        <f t="shared" si="50"/>
        <v>0.10373737373737348</v>
      </c>
      <c r="U458" s="1">
        <f t="shared" si="53"/>
        <v>11.110909090909091</v>
      </c>
      <c r="V458" s="3">
        <f t="shared" si="54"/>
        <v>0.10373737373737413</v>
      </c>
      <c r="W458" s="3">
        <f t="shared" si="48"/>
        <v>0.12608585858585866</v>
      </c>
    </row>
    <row r="459" spans="1:23" x14ac:dyDescent="0.25">
      <c r="A459" t="s">
        <v>16</v>
      </c>
      <c r="C459">
        <v>52.0479676</v>
      </c>
      <c r="D459">
        <v>-0.57193470000000002</v>
      </c>
      <c r="E459">
        <v>4</v>
      </c>
      <c r="F459">
        <v>4</v>
      </c>
      <c r="G459">
        <v>2022</v>
      </c>
      <c r="H459">
        <v>13</v>
      </c>
      <c r="I459">
        <v>56</v>
      </c>
      <c r="J459">
        <v>1.6</v>
      </c>
      <c r="K459">
        <v>43.09</v>
      </c>
      <c r="L459">
        <v>0</v>
      </c>
      <c r="M459">
        <v>40.273000000000003</v>
      </c>
      <c r="N459">
        <v>0.48199999999999998</v>
      </c>
      <c r="P459" s="1">
        <f t="shared" si="49"/>
        <v>11.186944444444444</v>
      </c>
      <c r="Q459" s="3">
        <f t="shared" si="51"/>
        <v>0.95000000000000639</v>
      </c>
      <c r="R459" s="3">
        <f t="shared" si="52"/>
        <v>1.7222222222223138E-2</v>
      </c>
      <c r="S459" s="3">
        <f t="shared" si="50"/>
        <v>0.11492424242424222</v>
      </c>
      <c r="U459" s="1">
        <f t="shared" si="53"/>
        <v>11.104545454545457</v>
      </c>
      <c r="V459" s="3">
        <f t="shared" si="54"/>
        <v>0.11492424242424271</v>
      </c>
      <c r="W459" s="3">
        <f t="shared" si="48"/>
        <v>0.12072314049586762</v>
      </c>
    </row>
    <row r="460" spans="1:23" x14ac:dyDescent="0.25">
      <c r="A460" t="s">
        <v>16</v>
      </c>
      <c r="C460">
        <v>52.047957500000003</v>
      </c>
      <c r="D460">
        <v>-0.57193280000000002</v>
      </c>
      <c r="E460">
        <v>4</v>
      </c>
      <c r="F460">
        <v>4</v>
      </c>
      <c r="G460">
        <v>2022</v>
      </c>
      <c r="H460">
        <v>13</v>
      </c>
      <c r="I460">
        <v>56</v>
      </c>
      <c r="J460">
        <v>1.7</v>
      </c>
      <c r="K460">
        <v>43.06</v>
      </c>
      <c r="L460">
        <v>0</v>
      </c>
      <c r="M460">
        <v>40.32</v>
      </c>
      <c r="N460">
        <v>0.47499999999999998</v>
      </c>
      <c r="P460" s="1">
        <f t="shared" si="49"/>
        <v>11.2</v>
      </c>
      <c r="Q460" s="3">
        <f t="shared" si="51"/>
        <v>0.13055555555554932</v>
      </c>
      <c r="R460" s="3">
        <f t="shared" si="52"/>
        <v>2.0833333333332149E-2</v>
      </c>
      <c r="S460" s="3">
        <f t="shared" si="50"/>
        <v>0.11891414141414135</v>
      </c>
      <c r="U460" s="1">
        <f t="shared" si="53"/>
        <v>11.112550505050505</v>
      </c>
      <c r="V460" s="3">
        <f t="shared" si="54"/>
        <v>0.11891414141414103</v>
      </c>
      <c r="W460" s="3">
        <f t="shared" si="48"/>
        <v>0.11605371900826421</v>
      </c>
    </row>
    <row r="461" spans="1:23" x14ac:dyDescent="0.25">
      <c r="A461" t="s">
        <v>16</v>
      </c>
      <c r="C461">
        <v>52.047947499999999</v>
      </c>
      <c r="D461">
        <v>-0.57193079999999996</v>
      </c>
      <c r="E461">
        <v>4</v>
      </c>
      <c r="F461">
        <v>4</v>
      </c>
      <c r="G461">
        <v>2022</v>
      </c>
      <c r="H461">
        <v>13</v>
      </c>
      <c r="I461">
        <v>56</v>
      </c>
      <c r="J461">
        <v>1.8</v>
      </c>
      <c r="K461">
        <v>43.05</v>
      </c>
      <c r="L461">
        <v>0</v>
      </c>
      <c r="M461">
        <v>40.295000000000002</v>
      </c>
      <c r="N461">
        <v>0.47499999999999998</v>
      </c>
      <c r="P461" s="1">
        <f t="shared" si="49"/>
        <v>11.193055555555556</v>
      </c>
      <c r="Q461" s="3">
        <f t="shared" si="51"/>
        <v>-6.9444444444428655E-2</v>
      </c>
      <c r="R461" s="3">
        <f t="shared" si="52"/>
        <v>0.1530555555555555</v>
      </c>
      <c r="S461" s="3">
        <f t="shared" si="50"/>
        <v>0.13926767676767682</v>
      </c>
      <c r="U461" s="1">
        <f t="shared" si="53"/>
        <v>11.123459595959597</v>
      </c>
      <c r="V461" s="3">
        <f t="shared" si="54"/>
        <v>0.13926767676767504</v>
      </c>
      <c r="W461" s="3">
        <f t="shared" ref="W461:W483" si="55">AVERAGE(V456:V466)</f>
        <v>0.11107897153351667</v>
      </c>
    </row>
    <row r="462" spans="1:23" x14ac:dyDescent="0.25">
      <c r="A462" t="s">
        <v>16</v>
      </c>
      <c r="C462">
        <v>52.047937500000003</v>
      </c>
      <c r="D462">
        <v>-0.57192900000000002</v>
      </c>
      <c r="E462">
        <v>4</v>
      </c>
      <c r="F462">
        <v>4</v>
      </c>
      <c r="G462">
        <v>2022</v>
      </c>
      <c r="H462">
        <v>13</v>
      </c>
      <c r="I462">
        <v>56</v>
      </c>
      <c r="J462">
        <v>1.9</v>
      </c>
      <c r="K462">
        <v>43.03</v>
      </c>
      <c r="L462">
        <v>0</v>
      </c>
      <c r="M462">
        <v>40.14</v>
      </c>
      <c r="N462">
        <v>0.47899999999999998</v>
      </c>
      <c r="P462" s="1">
        <f t="shared" si="49"/>
        <v>11.15</v>
      </c>
      <c r="Q462" s="3">
        <f t="shared" si="51"/>
        <v>-0.43055555555556069</v>
      </c>
      <c r="R462" s="3">
        <f t="shared" si="52"/>
        <v>0.16499999999999915</v>
      </c>
      <c r="S462" s="3">
        <f t="shared" si="50"/>
        <v>0.14744949494949483</v>
      </c>
      <c r="U462" s="1">
        <f t="shared" si="53"/>
        <v>11.146994949494951</v>
      </c>
      <c r="V462" s="3">
        <f t="shared" si="54"/>
        <v>0.14744949494949289</v>
      </c>
      <c r="W462" s="3">
        <f t="shared" si="55"/>
        <v>0.10248393021120221</v>
      </c>
    </row>
    <row r="463" spans="1:23" x14ac:dyDescent="0.25">
      <c r="A463" t="s">
        <v>16</v>
      </c>
      <c r="C463">
        <v>52.047927399999999</v>
      </c>
      <c r="D463">
        <v>-0.57192739999999997</v>
      </c>
      <c r="E463">
        <v>4</v>
      </c>
      <c r="F463">
        <v>4</v>
      </c>
      <c r="G463">
        <v>2022</v>
      </c>
      <c r="H463">
        <v>13</v>
      </c>
      <c r="I463">
        <v>56</v>
      </c>
      <c r="J463">
        <v>2</v>
      </c>
      <c r="K463">
        <v>43.01</v>
      </c>
      <c r="L463">
        <v>0</v>
      </c>
      <c r="M463">
        <v>40.183</v>
      </c>
      <c r="N463">
        <v>0.49</v>
      </c>
      <c r="P463" s="1">
        <f t="shared" si="49"/>
        <v>11.161944444444444</v>
      </c>
      <c r="Q463" s="3">
        <f t="shared" si="51"/>
        <v>0.11944444444443647</v>
      </c>
      <c r="R463" s="3">
        <f t="shared" si="52"/>
        <v>0.24500000000000099</v>
      </c>
      <c r="S463" s="3">
        <f t="shared" si="50"/>
        <v>0.12737373737373725</v>
      </c>
      <c r="U463" s="1">
        <f t="shared" si="53"/>
        <v>11.167449494949494</v>
      </c>
      <c r="V463" s="3">
        <f t="shared" si="54"/>
        <v>0.12737373737373581</v>
      </c>
      <c r="W463" s="3">
        <f t="shared" si="55"/>
        <v>8.8872819100090983E-2</v>
      </c>
    </row>
    <row r="464" spans="1:23" x14ac:dyDescent="0.25">
      <c r="A464" t="s">
        <v>16</v>
      </c>
      <c r="C464">
        <v>52.047917699999999</v>
      </c>
      <c r="D464">
        <v>-0.57192589999999999</v>
      </c>
      <c r="E464">
        <v>4</v>
      </c>
      <c r="F464">
        <v>4</v>
      </c>
      <c r="G464">
        <v>2022</v>
      </c>
      <c r="H464">
        <v>13</v>
      </c>
      <c r="I464">
        <v>56</v>
      </c>
      <c r="J464">
        <v>2.1</v>
      </c>
      <c r="K464">
        <v>43.02</v>
      </c>
      <c r="L464">
        <v>0</v>
      </c>
      <c r="M464">
        <v>39.603999999999999</v>
      </c>
      <c r="N464">
        <v>0.49299999999999999</v>
      </c>
      <c r="P464" s="1">
        <f t="shared" si="49"/>
        <v>11.001111111111111</v>
      </c>
      <c r="Q464" s="3">
        <f t="shared" si="51"/>
        <v>-1.6083333333333272</v>
      </c>
      <c r="R464" s="3">
        <f t="shared" si="52"/>
        <v>0.22305555555555578</v>
      </c>
      <c r="S464" s="3">
        <f t="shared" si="50"/>
        <v>0.11128787878787866</v>
      </c>
      <c r="U464" s="1">
        <f t="shared" si="53"/>
        <v>11.196363636363635</v>
      </c>
      <c r="V464" s="3">
        <f t="shared" si="54"/>
        <v>0.11128787878787705</v>
      </c>
      <c r="W464" s="3">
        <f t="shared" si="55"/>
        <v>6.9400826446280206E-2</v>
      </c>
    </row>
    <row r="465" spans="1:23" x14ac:dyDescent="0.25">
      <c r="A465" t="s">
        <v>16</v>
      </c>
      <c r="C465">
        <v>52.047907700000003</v>
      </c>
      <c r="D465">
        <v>-0.5719244</v>
      </c>
      <c r="E465">
        <v>4</v>
      </c>
      <c r="F465">
        <v>4</v>
      </c>
      <c r="G465">
        <v>2022</v>
      </c>
      <c r="H465">
        <v>13</v>
      </c>
      <c r="I465">
        <v>56</v>
      </c>
      <c r="J465">
        <v>2.2000000000000002</v>
      </c>
      <c r="K465">
        <v>43.01</v>
      </c>
      <c r="L465">
        <v>0</v>
      </c>
      <c r="M465">
        <v>39.859000000000002</v>
      </c>
      <c r="N465">
        <v>0.48599999999999999</v>
      </c>
      <c r="P465" s="1">
        <f t="shared" si="49"/>
        <v>11.071944444444444</v>
      </c>
      <c r="Q465" s="3">
        <f t="shared" si="51"/>
        <v>0.7083333333333286</v>
      </c>
      <c r="R465" s="3">
        <f t="shared" si="52"/>
        <v>0.19194444444444514</v>
      </c>
      <c r="S465" s="3">
        <f t="shared" si="50"/>
        <v>9.3005050505050271E-2</v>
      </c>
      <c r="U465" s="1">
        <f t="shared" si="53"/>
        <v>11.215</v>
      </c>
      <c r="V465" s="3">
        <f t="shared" si="54"/>
        <v>9.300505050505059E-2</v>
      </c>
      <c r="W465" s="3">
        <f t="shared" si="55"/>
        <v>4.2920110192836702E-2</v>
      </c>
    </row>
    <row r="466" spans="1:23" x14ac:dyDescent="0.25">
      <c r="A466" t="s">
        <v>16</v>
      </c>
      <c r="C466">
        <v>52.047897800000001</v>
      </c>
      <c r="D466">
        <v>-0.57192279999999995</v>
      </c>
      <c r="E466">
        <v>4</v>
      </c>
      <c r="F466">
        <v>4</v>
      </c>
      <c r="G466">
        <v>2022</v>
      </c>
      <c r="H466">
        <v>13</v>
      </c>
      <c r="I466">
        <v>56</v>
      </c>
      <c r="J466">
        <v>2.2999999999999998</v>
      </c>
      <c r="K466">
        <v>43.05</v>
      </c>
      <c r="L466">
        <v>0</v>
      </c>
      <c r="M466">
        <v>40.216000000000001</v>
      </c>
      <c r="N466">
        <v>0.48199999999999998</v>
      </c>
      <c r="P466" s="1">
        <f t="shared" ref="P466:P493" si="56">M466*1000/3600</f>
        <v>11.171111111111111</v>
      </c>
      <c r="Q466" s="3">
        <f t="shared" si="51"/>
        <v>0.99166666666667069</v>
      </c>
      <c r="R466" s="3">
        <f t="shared" si="52"/>
        <v>0.28388888888888886</v>
      </c>
      <c r="S466" s="3">
        <f t="shared" si="50"/>
        <v>6.0454545454545379E-2</v>
      </c>
      <c r="U466" s="1">
        <f t="shared" si="53"/>
        <v>11.240176767676767</v>
      </c>
      <c r="V466" s="3">
        <f t="shared" si="54"/>
        <v>6.0454545454545539E-2</v>
      </c>
      <c r="W466" s="3">
        <f t="shared" si="55"/>
        <v>9.1115702479331873E-3</v>
      </c>
    </row>
    <row r="467" spans="1:23" x14ac:dyDescent="0.25">
      <c r="A467" t="s">
        <v>16</v>
      </c>
      <c r="C467">
        <v>52.047887699999997</v>
      </c>
      <c r="D467">
        <v>-0.57192120000000002</v>
      </c>
      <c r="E467">
        <v>4</v>
      </c>
      <c r="F467">
        <v>4</v>
      </c>
      <c r="G467">
        <v>2022</v>
      </c>
      <c r="H467">
        <v>13</v>
      </c>
      <c r="I467">
        <v>56</v>
      </c>
      <c r="J467">
        <v>2.4</v>
      </c>
      <c r="K467">
        <v>43.08</v>
      </c>
      <c r="L467">
        <v>0</v>
      </c>
      <c r="M467">
        <v>40.597000000000001</v>
      </c>
      <c r="N467">
        <v>0.48599999999999999</v>
      </c>
      <c r="P467" s="1">
        <f t="shared" si="56"/>
        <v>11.276944444444444</v>
      </c>
      <c r="Q467" s="3">
        <f t="shared" si="51"/>
        <v>1.05833333333333</v>
      </c>
      <c r="R467" s="3">
        <f t="shared" si="52"/>
        <v>0.14111111111111008</v>
      </c>
      <c r="S467" s="3">
        <f t="shared" ref="S467:S483" si="57">AVERAGE(R462:R472)</f>
        <v>7.7272727272726435E-3</v>
      </c>
      <c r="U467" s="1">
        <f t="shared" si="53"/>
        <v>11.249090909090908</v>
      </c>
      <c r="V467" s="3">
        <f t="shared" si="54"/>
        <v>7.7272727272692521E-3</v>
      </c>
      <c r="W467" s="3">
        <f t="shared" si="55"/>
        <v>-3.2688246097337365E-2</v>
      </c>
    </row>
    <row r="468" spans="1:23" x14ac:dyDescent="0.25">
      <c r="A468" t="s">
        <v>16</v>
      </c>
      <c r="C468">
        <v>52.047877700000001</v>
      </c>
      <c r="D468">
        <v>-0.57191930000000002</v>
      </c>
      <c r="E468">
        <v>4</v>
      </c>
      <c r="F468">
        <v>4</v>
      </c>
      <c r="G468">
        <v>2022</v>
      </c>
      <c r="H468">
        <v>13</v>
      </c>
      <c r="I468">
        <v>56</v>
      </c>
      <c r="J468">
        <v>2.5</v>
      </c>
      <c r="K468">
        <v>43.11</v>
      </c>
      <c r="L468">
        <v>0</v>
      </c>
      <c r="M468">
        <v>40.813000000000002</v>
      </c>
      <c r="N468">
        <v>0.48599999999999999</v>
      </c>
      <c r="P468" s="1">
        <f t="shared" si="56"/>
        <v>11.336944444444445</v>
      </c>
      <c r="Q468" s="3">
        <f t="shared" si="51"/>
        <v>0.60000000000000497</v>
      </c>
      <c r="R468" s="3">
        <f t="shared" si="52"/>
        <v>-0.13083333333333336</v>
      </c>
      <c r="S468" s="3">
        <f t="shared" si="57"/>
        <v>-4.6540404040404132E-2</v>
      </c>
      <c r="U468" s="1">
        <f t="shared" si="53"/>
        <v>11.238282828282827</v>
      </c>
      <c r="V468" s="3">
        <f t="shared" si="54"/>
        <v>-4.654040404040316E-2</v>
      </c>
      <c r="W468" s="3">
        <f t="shared" si="55"/>
        <v>-7.9598255280073679E-2</v>
      </c>
    </row>
    <row r="469" spans="1:23" x14ac:dyDescent="0.25">
      <c r="A469" t="s">
        <v>16</v>
      </c>
      <c r="C469">
        <v>52.047867599999996</v>
      </c>
      <c r="D469">
        <v>-0.57191729999999996</v>
      </c>
      <c r="E469">
        <v>4</v>
      </c>
      <c r="F469">
        <v>4</v>
      </c>
      <c r="G469">
        <v>2022</v>
      </c>
      <c r="H469">
        <v>13</v>
      </c>
      <c r="I469">
        <v>56</v>
      </c>
      <c r="J469">
        <v>2.6</v>
      </c>
      <c r="K469">
        <v>43.16</v>
      </c>
      <c r="L469">
        <v>0</v>
      </c>
      <c r="M469">
        <v>41.076000000000001</v>
      </c>
      <c r="N469">
        <v>0.48599999999999999</v>
      </c>
      <c r="P469" s="1">
        <f t="shared" si="56"/>
        <v>11.41</v>
      </c>
      <c r="Q469" s="3">
        <f t="shared" si="51"/>
        <v>0.73055555555555429</v>
      </c>
      <c r="R469" s="3">
        <f t="shared" si="52"/>
        <v>-8.6111111111112137E-2</v>
      </c>
      <c r="S469" s="3">
        <f t="shared" si="57"/>
        <v>-0.1104545454545456</v>
      </c>
      <c r="U469" s="1">
        <f t="shared" si="53"/>
        <v>11.215833333333334</v>
      </c>
      <c r="V469" s="3">
        <f t="shared" si="54"/>
        <v>-0.11045454545454447</v>
      </c>
      <c r="W469" s="3">
        <f t="shared" si="55"/>
        <v>-0.12475895316804429</v>
      </c>
    </row>
    <row r="470" spans="1:23" x14ac:dyDescent="0.25">
      <c r="A470" t="s">
        <v>16</v>
      </c>
      <c r="C470">
        <v>52.047857700000002</v>
      </c>
      <c r="D470">
        <v>-0.57191499999999995</v>
      </c>
      <c r="E470">
        <v>4</v>
      </c>
      <c r="F470">
        <v>4</v>
      </c>
      <c r="G470">
        <v>2022</v>
      </c>
      <c r="H470">
        <v>13</v>
      </c>
      <c r="I470">
        <v>56</v>
      </c>
      <c r="J470">
        <v>2.7</v>
      </c>
      <c r="K470">
        <v>43.21</v>
      </c>
      <c r="L470">
        <v>0</v>
      </c>
      <c r="M470">
        <v>41.011000000000003</v>
      </c>
      <c r="N470">
        <v>0.47899999999999998</v>
      </c>
      <c r="P470" s="1">
        <f t="shared" si="56"/>
        <v>11.391944444444444</v>
      </c>
      <c r="Q470" s="3">
        <f t="shared" si="51"/>
        <v>-0.18055555555555713</v>
      </c>
      <c r="R470" s="3">
        <f t="shared" si="52"/>
        <v>-0.18388888888888921</v>
      </c>
      <c r="S470" s="3">
        <f t="shared" si="57"/>
        <v>-0.17636363636363647</v>
      </c>
      <c r="U470" s="1">
        <f t="shared" si="53"/>
        <v>11.205555555555556</v>
      </c>
      <c r="V470" s="3">
        <f t="shared" si="54"/>
        <v>-0.17636363636363583</v>
      </c>
      <c r="W470" s="3">
        <f t="shared" si="55"/>
        <v>-0.16798668503213968</v>
      </c>
    </row>
    <row r="471" spans="1:23" x14ac:dyDescent="0.25">
      <c r="A471" t="s">
        <v>16</v>
      </c>
      <c r="C471">
        <v>52.047847599999997</v>
      </c>
      <c r="D471">
        <v>-0.57191219999999998</v>
      </c>
      <c r="E471">
        <v>4</v>
      </c>
      <c r="F471">
        <v>4</v>
      </c>
      <c r="G471">
        <v>2022</v>
      </c>
      <c r="H471">
        <v>13</v>
      </c>
      <c r="I471">
        <v>56</v>
      </c>
      <c r="J471">
        <v>2.8</v>
      </c>
      <c r="K471">
        <v>43.23</v>
      </c>
      <c r="L471">
        <v>0</v>
      </c>
      <c r="M471">
        <v>41.317</v>
      </c>
      <c r="N471">
        <v>0.48199999999999998</v>
      </c>
      <c r="P471" s="1">
        <f t="shared" si="56"/>
        <v>11.476944444444445</v>
      </c>
      <c r="Q471" s="3">
        <f t="shared" si="51"/>
        <v>0.85000000000000853</v>
      </c>
      <c r="R471" s="3">
        <f t="shared" si="52"/>
        <v>-0.33722222222222165</v>
      </c>
      <c r="S471" s="3">
        <f t="shared" si="57"/>
        <v>-0.2529797979797983</v>
      </c>
      <c r="U471" s="1">
        <f t="shared" si="53"/>
        <v>11.183914141414142</v>
      </c>
      <c r="V471" s="3">
        <f t="shared" si="54"/>
        <v>-0.25297979797979764</v>
      </c>
      <c r="W471" s="3">
        <f t="shared" si="55"/>
        <v>-0.20705693296602395</v>
      </c>
    </row>
    <row r="472" spans="1:23" x14ac:dyDescent="0.25">
      <c r="A472" t="s">
        <v>16</v>
      </c>
      <c r="C472">
        <v>52.0478375</v>
      </c>
      <c r="D472">
        <v>-0.57190969999999997</v>
      </c>
      <c r="E472">
        <v>4</v>
      </c>
      <c r="F472">
        <v>4</v>
      </c>
      <c r="G472">
        <v>2022</v>
      </c>
      <c r="H472">
        <v>13</v>
      </c>
      <c r="I472">
        <v>56</v>
      </c>
      <c r="J472">
        <v>2.9</v>
      </c>
      <c r="K472">
        <v>43.2</v>
      </c>
      <c r="L472">
        <v>0</v>
      </c>
      <c r="M472">
        <v>40.648000000000003</v>
      </c>
      <c r="N472">
        <v>0.48599999999999999</v>
      </c>
      <c r="P472" s="1">
        <f t="shared" si="56"/>
        <v>11.29111111111111</v>
      </c>
      <c r="Q472" s="3">
        <f t="shared" si="51"/>
        <v>-1.8583333333333485</v>
      </c>
      <c r="R472" s="3">
        <f t="shared" si="52"/>
        <v>-0.42694444444444457</v>
      </c>
      <c r="S472" s="3">
        <f t="shared" si="57"/>
        <v>-0.32053030303030333</v>
      </c>
      <c r="U472" s="1">
        <f t="shared" si="53"/>
        <v>11.154722222222221</v>
      </c>
      <c r="V472" s="3">
        <f t="shared" si="54"/>
        <v>-0.32053030303030106</v>
      </c>
      <c r="W472" s="3">
        <f t="shared" si="55"/>
        <v>-0.23915059687786958</v>
      </c>
    </row>
    <row r="473" spans="1:23" x14ac:dyDescent="0.25">
      <c r="A473" t="s">
        <v>16</v>
      </c>
      <c r="C473">
        <v>52.047827599999998</v>
      </c>
      <c r="D473">
        <v>-0.57190759999999996</v>
      </c>
      <c r="E473">
        <v>4</v>
      </c>
      <c r="F473">
        <v>4</v>
      </c>
      <c r="G473">
        <v>2022</v>
      </c>
      <c r="H473">
        <v>13</v>
      </c>
      <c r="I473">
        <v>56</v>
      </c>
      <c r="J473">
        <v>3</v>
      </c>
      <c r="K473">
        <v>43.18</v>
      </c>
      <c r="L473">
        <v>0</v>
      </c>
      <c r="M473">
        <v>39.712000000000003</v>
      </c>
      <c r="N473">
        <v>0.48599999999999999</v>
      </c>
      <c r="P473" s="1">
        <f t="shared" si="56"/>
        <v>11.031111111111111</v>
      </c>
      <c r="Q473" s="3">
        <f t="shared" si="51"/>
        <v>-2.5999999999999979</v>
      </c>
      <c r="R473" s="3">
        <f t="shared" si="52"/>
        <v>-0.43194444444444535</v>
      </c>
      <c r="S473" s="3">
        <f t="shared" si="57"/>
        <v>-0.36856060606060626</v>
      </c>
      <c r="U473" s="1">
        <f t="shared" si="53"/>
        <v>11.120909090909091</v>
      </c>
      <c r="V473" s="3">
        <f t="shared" si="54"/>
        <v>-0.36856060606060659</v>
      </c>
      <c r="W473" s="3">
        <f t="shared" si="55"/>
        <v>-0.26038567493112924</v>
      </c>
    </row>
    <row r="474" spans="1:23" x14ac:dyDescent="0.25">
      <c r="A474" t="s">
        <v>16</v>
      </c>
      <c r="C474">
        <v>52.047817799999997</v>
      </c>
      <c r="D474">
        <v>-0.57190589999999997</v>
      </c>
      <c r="E474">
        <v>4</v>
      </c>
      <c r="F474">
        <v>4</v>
      </c>
      <c r="G474">
        <v>2022</v>
      </c>
      <c r="H474">
        <v>13</v>
      </c>
      <c r="I474">
        <v>56</v>
      </c>
      <c r="J474">
        <v>3.1</v>
      </c>
      <c r="K474">
        <v>43.16</v>
      </c>
      <c r="L474">
        <v>0</v>
      </c>
      <c r="M474">
        <v>39.293999999999997</v>
      </c>
      <c r="N474">
        <v>0.48199999999999998</v>
      </c>
      <c r="P474" s="1">
        <f t="shared" si="56"/>
        <v>10.914999999999999</v>
      </c>
      <c r="Q474" s="3">
        <f t="shared" si="51"/>
        <v>-1.161111111111115</v>
      </c>
      <c r="R474" s="3">
        <f t="shared" si="52"/>
        <v>-0.45805555555555522</v>
      </c>
      <c r="S474" s="3">
        <f t="shared" si="57"/>
        <v>-0.3693939393939395</v>
      </c>
      <c r="U474" s="1">
        <f t="shared" si="53"/>
        <v>11.085909090909091</v>
      </c>
      <c r="V474" s="3">
        <f t="shared" si="54"/>
        <v>-0.36939393939394094</v>
      </c>
      <c r="W474" s="3">
        <f t="shared" si="55"/>
        <v>-0.26941460055096395</v>
      </c>
    </row>
    <row r="475" spans="1:23" x14ac:dyDescent="0.25">
      <c r="A475" t="s">
        <v>16</v>
      </c>
      <c r="C475">
        <v>52.047807900000002</v>
      </c>
      <c r="D475">
        <v>-0.57190410000000003</v>
      </c>
      <c r="E475">
        <v>4</v>
      </c>
      <c r="F475">
        <v>4</v>
      </c>
      <c r="G475">
        <v>2022</v>
      </c>
      <c r="H475">
        <v>13</v>
      </c>
      <c r="I475">
        <v>56</v>
      </c>
      <c r="J475">
        <v>3.2</v>
      </c>
      <c r="K475">
        <v>43.12</v>
      </c>
      <c r="L475">
        <v>0</v>
      </c>
      <c r="M475">
        <v>39.197000000000003</v>
      </c>
      <c r="N475">
        <v>0.48199999999999998</v>
      </c>
      <c r="P475" s="1">
        <f t="shared" si="56"/>
        <v>10.888055555555555</v>
      </c>
      <c r="Q475" s="3">
        <f t="shared" si="51"/>
        <v>-0.26944444444444215</v>
      </c>
      <c r="R475" s="3">
        <f t="shared" si="52"/>
        <v>-0.50194444444444386</v>
      </c>
      <c r="S475" s="3">
        <f t="shared" si="57"/>
        <v>-0.36421717171717172</v>
      </c>
      <c r="U475" s="1">
        <f t="shared" si="53"/>
        <v>11.038636363636364</v>
      </c>
      <c r="V475" s="3">
        <f t="shared" si="54"/>
        <v>-0.36421717171717205</v>
      </c>
      <c r="W475" s="3">
        <f t="shared" si="55"/>
        <v>-0.26381542699724503</v>
      </c>
    </row>
    <row r="476" spans="1:23" x14ac:dyDescent="0.25">
      <c r="A476" t="s">
        <v>16</v>
      </c>
      <c r="C476">
        <v>52.047798200000003</v>
      </c>
      <c r="D476">
        <v>-0.57190249999999998</v>
      </c>
      <c r="E476">
        <v>4</v>
      </c>
      <c r="F476">
        <v>4</v>
      </c>
      <c r="G476">
        <v>2022</v>
      </c>
      <c r="H476">
        <v>13</v>
      </c>
      <c r="I476">
        <v>56</v>
      </c>
      <c r="J476">
        <v>3.3</v>
      </c>
      <c r="K476">
        <v>43.09</v>
      </c>
      <c r="L476">
        <v>0</v>
      </c>
      <c r="M476">
        <v>39.002000000000002</v>
      </c>
      <c r="N476">
        <v>0.48599999999999999</v>
      </c>
      <c r="P476" s="1">
        <f t="shared" si="56"/>
        <v>10.83388888888889</v>
      </c>
      <c r="Q476" s="3">
        <f t="shared" si="51"/>
        <v>-0.54166666666665364</v>
      </c>
      <c r="R476" s="3">
        <f t="shared" si="52"/>
        <v>-0.65083333333333471</v>
      </c>
      <c r="S476" s="3">
        <f t="shared" si="57"/>
        <v>-0.33676767676767677</v>
      </c>
      <c r="U476" s="1">
        <f t="shared" si="53"/>
        <v>10.987196969696969</v>
      </c>
      <c r="V476" s="3">
        <f t="shared" si="54"/>
        <v>-0.3367676767676766</v>
      </c>
      <c r="W476" s="3">
        <f t="shared" si="55"/>
        <v>-0.24555555555555533</v>
      </c>
    </row>
    <row r="477" spans="1:23" x14ac:dyDescent="0.25">
      <c r="A477" t="s">
        <v>16</v>
      </c>
      <c r="C477">
        <v>52.047788300000001</v>
      </c>
      <c r="D477">
        <v>-0.5719012</v>
      </c>
      <c r="E477">
        <v>4</v>
      </c>
      <c r="F477">
        <v>4</v>
      </c>
      <c r="G477">
        <v>2022</v>
      </c>
      <c r="H477">
        <v>13</v>
      </c>
      <c r="I477">
        <v>56</v>
      </c>
      <c r="J477">
        <v>3.4</v>
      </c>
      <c r="K477">
        <v>43.05</v>
      </c>
      <c r="L477">
        <v>0</v>
      </c>
      <c r="M477">
        <v>39.06</v>
      </c>
      <c r="N477">
        <v>0.48199999999999998</v>
      </c>
      <c r="P477" s="1">
        <f t="shared" si="56"/>
        <v>10.85</v>
      </c>
      <c r="Q477" s="3">
        <f t="shared" si="51"/>
        <v>0.16111111111110077</v>
      </c>
      <c r="R477" s="3">
        <f t="shared" si="52"/>
        <v>-0.4591666666666665</v>
      </c>
      <c r="S477" s="3">
        <f t="shared" si="57"/>
        <v>-0.2925757575757576</v>
      </c>
      <c r="U477" s="1">
        <f t="shared" si="53"/>
        <v>10.928560606060607</v>
      </c>
      <c r="V477" s="3">
        <f t="shared" si="54"/>
        <v>-0.29257575757575616</v>
      </c>
      <c r="W477" s="3">
        <f t="shared" si="55"/>
        <v>-0.21434802571166209</v>
      </c>
    </row>
    <row r="478" spans="1:23" x14ac:dyDescent="0.25">
      <c r="A478" t="s">
        <v>16</v>
      </c>
      <c r="C478">
        <v>52.047778399999999</v>
      </c>
      <c r="D478">
        <v>-0.57190010000000002</v>
      </c>
      <c r="E478">
        <v>4</v>
      </c>
      <c r="F478">
        <v>4</v>
      </c>
      <c r="G478">
        <v>2022</v>
      </c>
      <c r="H478">
        <v>13</v>
      </c>
      <c r="I478">
        <v>56</v>
      </c>
      <c r="J478">
        <v>3.5</v>
      </c>
      <c r="K478">
        <v>43</v>
      </c>
      <c r="L478">
        <v>0</v>
      </c>
      <c r="M478">
        <v>39.258000000000003</v>
      </c>
      <c r="N478">
        <v>0.47499999999999998</v>
      </c>
      <c r="P478" s="1">
        <f t="shared" si="56"/>
        <v>10.904999999999999</v>
      </c>
      <c r="Q478" s="3">
        <f t="shared" si="51"/>
        <v>0.54999999999999716</v>
      </c>
      <c r="R478" s="3">
        <f t="shared" si="52"/>
        <v>-0.38722222222222236</v>
      </c>
      <c r="S478" s="3">
        <f t="shared" si="57"/>
        <v>-0.22585858585858579</v>
      </c>
      <c r="U478" s="1">
        <f t="shared" si="53"/>
        <v>10.869722222222221</v>
      </c>
      <c r="V478" s="3">
        <f t="shared" si="54"/>
        <v>-0.22585858585858709</v>
      </c>
      <c r="W478" s="3">
        <f t="shared" si="55"/>
        <v>-0.1716988062442609</v>
      </c>
    </row>
    <row r="479" spans="1:23" x14ac:dyDescent="0.25">
      <c r="A479" t="s">
        <v>16</v>
      </c>
      <c r="C479">
        <v>52.047768400000002</v>
      </c>
      <c r="D479">
        <v>-0.57189900000000005</v>
      </c>
      <c r="E479">
        <v>4</v>
      </c>
      <c r="F479">
        <v>4</v>
      </c>
      <c r="G479">
        <v>2022</v>
      </c>
      <c r="H479">
        <v>13</v>
      </c>
      <c r="I479">
        <v>56</v>
      </c>
      <c r="J479">
        <v>3.6</v>
      </c>
      <c r="K479">
        <v>42.98</v>
      </c>
      <c r="L479">
        <v>0</v>
      </c>
      <c r="M479">
        <v>39.427</v>
      </c>
      <c r="N479">
        <v>0.48199999999999998</v>
      </c>
      <c r="P479" s="1">
        <f t="shared" si="56"/>
        <v>10.951944444444445</v>
      </c>
      <c r="Q479" s="3">
        <f t="shared" si="51"/>
        <v>0.46944444444445566</v>
      </c>
      <c r="R479" s="3">
        <f t="shared" si="52"/>
        <v>-0.13999999999999879</v>
      </c>
      <c r="S479" s="3">
        <f t="shared" si="57"/>
        <v>-0.14585858585858572</v>
      </c>
      <c r="U479" s="1">
        <f t="shared" si="53"/>
        <v>10.846439393939393</v>
      </c>
      <c r="V479" s="3">
        <f t="shared" si="54"/>
        <v>-0.14585858585858524</v>
      </c>
      <c r="W479" s="3"/>
    </row>
    <row r="480" spans="1:23" x14ac:dyDescent="0.25">
      <c r="A480" t="s">
        <v>16</v>
      </c>
      <c r="C480">
        <v>52.047758600000002</v>
      </c>
      <c r="D480">
        <v>-0.57189840000000003</v>
      </c>
      <c r="E480">
        <v>4</v>
      </c>
      <c r="F480">
        <v>4</v>
      </c>
      <c r="G480">
        <v>2022</v>
      </c>
      <c r="H480">
        <v>13</v>
      </c>
      <c r="I480">
        <v>56</v>
      </c>
      <c r="J480">
        <v>3.7</v>
      </c>
      <c r="K480">
        <v>42.95</v>
      </c>
      <c r="L480">
        <v>0</v>
      </c>
      <c r="M480">
        <v>39.204000000000001</v>
      </c>
      <c r="N480">
        <v>0.497</v>
      </c>
      <c r="P480" s="1">
        <f t="shared" si="56"/>
        <v>10.89</v>
      </c>
      <c r="Q480" s="3">
        <f t="shared" si="51"/>
        <v>-0.61944444444444358</v>
      </c>
      <c r="R480" s="3">
        <f t="shared" si="52"/>
        <v>-2.9166666666666785E-2</v>
      </c>
      <c r="S480" s="3">
        <f t="shared" si="57"/>
        <v>-4.8863636363636331E-2</v>
      </c>
      <c r="U480" s="1">
        <f t="shared" si="53"/>
        <v>10.841338383838384</v>
      </c>
      <c r="V480" s="3">
        <f t="shared" si="54"/>
        <v>-4.8863636363636331E-2</v>
      </c>
      <c r="W480" s="3"/>
    </row>
    <row r="481" spans="1:23" x14ac:dyDescent="0.25">
      <c r="A481" t="s">
        <v>16</v>
      </c>
      <c r="C481">
        <v>52.047748800000001</v>
      </c>
      <c r="D481">
        <v>-0.57189809999999996</v>
      </c>
      <c r="E481">
        <v>4</v>
      </c>
      <c r="F481">
        <v>4</v>
      </c>
      <c r="G481">
        <v>2022</v>
      </c>
      <c r="H481">
        <v>13</v>
      </c>
      <c r="I481">
        <v>56</v>
      </c>
      <c r="J481">
        <v>3.8</v>
      </c>
      <c r="K481">
        <v>42.93</v>
      </c>
      <c r="L481">
        <v>0</v>
      </c>
      <c r="M481">
        <v>38.973999999999997</v>
      </c>
      <c r="N481">
        <v>0.497</v>
      </c>
      <c r="P481" s="1">
        <f t="shared" si="56"/>
        <v>10.826111111111111</v>
      </c>
      <c r="Q481" s="3">
        <f t="shared" si="51"/>
        <v>-0.63888888888889994</v>
      </c>
      <c r="R481" s="3">
        <f t="shared" si="52"/>
        <v>0.11805555555555536</v>
      </c>
      <c r="S481" s="3">
        <f t="shared" si="57"/>
        <v>2.4494949494949448E-2</v>
      </c>
      <c r="U481" s="1">
        <f t="shared" si="53"/>
        <v>10.847146464646466</v>
      </c>
      <c r="V481" s="3">
        <f t="shared" si="54"/>
        <v>2.4494949494950902E-2</v>
      </c>
      <c r="W481" s="3"/>
    </row>
    <row r="482" spans="1:23" x14ac:dyDescent="0.25">
      <c r="A482" t="s">
        <v>16</v>
      </c>
      <c r="C482">
        <v>52.047739</v>
      </c>
      <c r="D482">
        <v>-0.57189820000000002</v>
      </c>
      <c r="E482">
        <v>4</v>
      </c>
      <c r="F482">
        <v>4</v>
      </c>
      <c r="G482">
        <v>2022</v>
      </c>
      <c r="H482">
        <v>13</v>
      </c>
      <c r="I482">
        <v>56</v>
      </c>
      <c r="J482">
        <v>3.9</v>
      </c>
      <c r="K482">
        <v>42.92</v>
      </c>
      <c r="L482">
        <v>0</v>
      </c>
      <c r="M482">
        <v>38.994999999999997</v>
      </c>
      <c r="N482">
        <v>0.51800000000000002</v>
      </c>
      <c r="P482" s="1">
        <f t="shared" si="56"/>
        <v>10.831944444444444</v>
      </c>
      <c r="Q482" s="3">
        <f t="shared" si="51"/>
        <v>5.833333333333357E-2</v>
      </c>
      <c r="R482" s="3">
        <f t="shared" si="52"/>
        <v>0.14888888888888907</v>
      </c>
      <c r="S482" s="3">
        <f t="shared" si="57"/>
        <v>9.0303030303030371E-2</v>
      </c>
      <c r="U482" s="1">
        <f t="shared" si="53"/>
        <v>10.862146464646464</v>
      </c>
      <c r="V482" s="3">
        <f t="shared" si="54"/>
        <v>9.0303030303028109E-2</v>
      </c>
      <c r="W482" s="3"/>
    </row>
    <row r="483" spans="1:23" x14ac:dyDescent="0.25">
      <c r="A483" t="s">
        <v>16</v>
      </c>
      <c r="C483">
        <v>52.047729500000003</v>
      </c>
      <c r="D483">
        <v>-0.57189849999999998</v>
      </c>
      <c r="E483">
        <v>4</v>
      </c>
      <c r="F483">
        <v>4</v>
      </c>
      <c r="G483">
        <v>2022</v>
      </c>
      <c r="H483">
        <v>13</v>
      </c>
      <c r="I483">
        <v>56</v>
      </c>
      <c r="J483">
        <v>4</v>
      </c>
      <c r="K483">
        <v>42.92</v>
      </c>
      <c r="L483">
        <v>0</v>
      </c>
      <c r="M483">
        <v>38.317999999999998</v>
      </c>
      <c r="N483">
        <v>0.52600000000000002</v>
      </c>
      <c r="P483" s="1">
        <f t="shared" si="56"/>
        <v>10.643888888888888</v>
      </c>
      <c r="Q483" s="3">
        <f t="shared" si="51"/>
        <v>-1.8805555555555564</v>
      </c>
      <c r="R483" s="3">
        <f t="shared" si="52"/>
        <v>0.30694444444444535</v>
      </c>
      <c r="S483" s="3">
        <f t="shared" si="57"/>
        <v>0.14861111111111117</v>
      </c>
      <c r="U483" s="1">
        <f t="shared" si="53"/>
        <v>10.895050505050504</v>
      </c>
      <c r="V483" s="3">
        <f t="shared" si="54"/>
        <v>0.14861111111111214</v>
      </c>
      <c r="W483" s="3"/>
    </row>
    <row r="484" spans="1:23" x14ac:dyDescent="0.25">
      <c r="A484" t="s">
        <v>16</v>
      </c>
      <c r="C484">
        <v>52.047719800000003</v>
      </c>
      <c r="D484">
        <v>-0.57189909999999999</v>
      </c>
      <c r="E484">
        <v>4</v>
      </c>
      <c r="F484">
        <v>4</v>
      </c>
      <c r="G484">
        <v>2022</v>
      </c>
      <c r="H484">
        <v>13</v>
      </c>
      <c r="I484">
        <v>56</v>
      </c>
      <c r="J484">
        <v>4.0999999999999996</v>
      </c>
      <c r="K484">
        <v>42.92</v>
      </c>
      <c r="L484">
        <v>0</v>
      </c>
      <c r="M484">
        <v>38.79</v>
      </c>
      <c r="N484">
        <v>0.53600000000000003</v>
      </c>
      <c r="P484" s="1">
        <f t="shared" si="56"/>
        <v>10.775</v>
      </c>
      <c r="Q484" s="3">
        <f t="shared" si="51"/>
        <v>1.3111111111111207</v>
      </c>
      <c r="R484" s="3">
        <f t="shared" si="52"/>
        <v>0.44805555555555543</v>
      </c>
      <c r="S484" s="3"/>
      <c r="U484" s="1">
        <f t="shared" si="53"/>
        <v>10.940050505050506</v>
      </c>
      <c r="V484" s="3"/>
      <c r="W484" s="3"/>
    </row>
    <row r="485" spans="1:23" x14ac:dyDescent="0.25">
      <c r="A485" t="s">
        <v>16</v>
      </c>
      <c r="C485">
        <v>52.047710100000003</v>
      </c>
      <c r="D485">
        <v>-0.57189939999999995</v>
      </c>
      <c r="E485">
        <v>4</v>
      </c>
      <c r="F485">
        <v>4</v>
      </c>
      <c r="G485">
        <v>2022</v>
      </c>
      <c r="H485">
        <v>13</v>
      </c>
      <c r="I485">
        <v>56</v>
      </c>
      <c r="J485">
        <v>4.2</v>
      </c>
      <c r="K485">
        <v>42.96</v>
      </c>
      <c r="L485">
        <v>0</v>
      </c>
      <c r="M485">
        <v>39.091999999999999</v>
      </c>
      <c r="N485">
        <v>0.54400000000000004</v>
      </c>
      <c r="P485" s="1">
        <f t="shared" si="56"/>
        <v>10.858888888888888</v>
      </c>
      <c r="Q485" s="3">
        <f t="shared" si="51"/>
        <v>0.83888888888887791</v>
      </c>
      <c r="R485" s="3">
        <f t="shared" si="52"/>
        <v>0.60888888888888815</v>
      </c>
      <c r="S485" s="3"/>
      <c r="U485" s="1">
        <f t="shared" si="53"/>
        <v>10.989772727272728</v>
      </c>
      <c r="V485" s="3"/>
      <c r="W485" s="3"/>
    </row>
    <row r="486" spans="1:23" x14ac:dyDescent="0.25">
      <c r="A486" t="s">
        <v>16</v>
      </c>
      <c r="C486">
        <v>52.047700300000002</v>
      </c>
      <c r="D486">
        <v>-0.57189950000000001</v>
      </c>
      <c r="E486">
        <v>4</v>
      </c>
      <c r="F486">
        <v>4</v>
      </c>
      <c r="G486">
        <v>2022</v>
      </c>
      <c r="H486">
        <v>13</v>
      </c>
      <c r="I486">
        <v>56</v>
      </c>
      <c r="J486">
        <v>4.3</v>
      </c>
      <c r="K486">
        <v>42.99</v>
      </c>
      <c r="L486">
        <v>0</v>
      </c>
      <c r="M486">
        <v>39.427</v>
      </c>
      <c r="N486">
        <v>0.55400000000000005</v>
      </c>
      <c r="P486" s="1">
        <f t="shared" si="56"/>
        <v>10.951944444444445</v>
      </c>
      <c r="Q486" s="3">
        <f t="shared" si="51"/>
        <v>0.93055555555556779</v>
      </c>
      <c r="R486" s="3">
        <f t="shared" si="52"/>
        <v>0.30499999999999972</v>
      </c>
      <c r="S486" s="3"/>
      <c r="U486" s="1">
        <f t="shared" si="53"/>
        <v>11.01169191919192</v>
      </c>
      <c r="V486" s="3"/>
      <c r="W486" s="3"/>
    </row>
    <row r="487" spans="1:23" x14ac:dyDescent="0.25">
      <c r="A487" t="s">
        <v>16</v>
      </c>
      <c r="C487">
        <v>52.047690500000002</v>
      </c>
      <c r="D487">
        <v>-0.57189999999999996</v>
      </c>
      <c r="E487">
        <v>4</v>
      </c>
      <c r="F487">
        <v>4</v>
      </c>
      <c r="G487">
        <v>2022</v>
      </c>
      <c r="H487">
        <v>13</v>
      </c>
      <c r="I487">
        <v>56</v>
      </c>
      <c r="J487">
        <v>4.4000000000000004</v>
      </c>
      <c r="K487">
        <v>43.02</v>
      </c>
      <c r="L487">
        <v>0</v>
      </c>
      <c r="M487">
        <v>39.595999999999997</v>
      </c>
      <c r="N487">
        <v>0.55100000000000005</v>
      </c>
      <c r="P487" s="1">
        <f t="shared" si="56"/>
        <v>10.998888888888889</v>
      </c>
      <c r="Q487" s="3">
        <f t="shared" si="51"/>
        <v>0.46944444444443789</v>
      </c>
      <c r="R487" s="3">
        <f t="shared" si="52"/>
        <v>7.3055555555555429E-2</v>
      </c>
      <c r="S487" s="3"/>
      <c r="U487" s="1">
        <f t="shared" si="53"/>
        <v>11.018863636363635</v>
      </c>
      <c r="V487" s="3"/>
      <c r="W487" s="3"/>
    </row>
    <row r="488" spans="1:23" x14ac:dyDescent="0.25">
      <c r="A488" t="s">
        <v>16</v>
      </c>
      <c r="C488">
        <v>52.047680700000001</v>
      </c>
      <c r="D488">
        <v>-0.57189979999999996</v>
      </c>
      <c r="E488">
        <v>4</v>
      </c>
      <c r="F488">
        <v>4</v>
      </c>
      <c r="G488">
        <v>2022</v>
      </c>
      <c r="H488">
        <v>13</v>
      </c>
      <c r="I488">
        <v>56</v>
      </c>
      <c r="J488">
        <v>4.5</v>
      </c>
      <c r="K488">
        <v>43.1</v>
      </c>
      <c r="L488">
        <v>0</v>
      </c>
      <c r="M488">
        <v>40.363</v>
      </c>
      <c r="N488">
        <v>0.51800000000000002</v>
      </c>
      <c r="P488" s="1">
        <f t="shared" si="56"/>
        <v>11.211944444444445</v>
      </c>
      <c r="Q488" s="3">
        <f t="shared" si="51"/>
        <v>2.13055555555556</v>
      </c>
      <c r="R488" s="3">
        <f t="shared" si="52"/>
        <v>0.18222222222222229</v>
      </c>
      <c r="S488" s="3"/>
      <c r="U488" s="1">
        <f t="shared" si="53"/>
        <v>11.018333333333333</v>
      </c>
      <c r="V488" s="3"/>
      <c r="W488" s="3"/>
    </row>
    <row r="489" spans="1:23" x14ac:dyDescent="0.25">
      <c r="A489" t="s">
        <v>16</v>
      </c>
      <c r="C489">
        <v>52.047670599999996</v>
      </c>
      <c r="D489">
        <v>-0.57189909999999999</v>
      </c>
      <c r="E489">
        <v>4</v>
      </c>
      <c r="F489">
        <v>4</v>
      </c>
      <c r="G489">
        <v>2022</v>
      </c>
      <c r="H489">
        <v>13</v>
      </c>
      <c r="I489">
        <v>56</v>
      </c>
      <c r="J489">
        <v>4.5999999999999996</v>
      </c>
      <c r="K489">
        <v>43.17</v>
      </c>
      <c r="L489">
        <v>0</v>
      </c>
      <c r="M489">
        <v>41.04</v>
      </c>
      <c r="N489">
        <v>0.497</v>
      </c>
      <c r="P489" s="1">
        <f t="shared" si="56"/>
        <v>11.4</v>
      </c>
      <c r="Q489" s="3">
        <f t="shared" si="51"/>
        <v>1.8805555555555564</v>
      </c>
      <c r="R489" s="3"/>
      <c r="S489" s="3"/>
      <c r="U489" s="1"/>
      <c r="V489" s="3"/>
      <c r="W489" s="3"/>
    </row>
    <row r="490" spans="1:23" x14ac:dyDescent="0.25">
      <c r="A490" t="s">
        <v>16</v>
      </c>
      <c r="C490">
        <v>52.047660399999998</v>
      </c>
      <c r="D490">
        <v>-0.57189809999999996</v>
      </c>
      <c r="E490">
        <v>4</v>
      </c>
      <c r="F490">
        <v>4</v>
      </c>
      <c r="G490">
        <v>2022</v>
      </c>
      <c r="H490">
        <v>13</v>
      </c>
      <c r="I490">
        <v>56</v>
      </c>
      <c r="J490">
        <v>4.7</v>
      </c>
      <c r="K490">
        <v>43.21</v>
      </c>
      <c r="L490">
        <v>0</v>
      </c>
      <c r="M490">
        <v>41.396000000000001</v>
      </c>
      <c r="N490">
        <v>0.47899999999999998</v>
      </c>
      <c r="P490" s="1">
        <f t="shared" si="56"/>
        <v>11.498888888888889</v>
      </c>
      <c r="Q490" s="3">
        <f t="shared" si="51"/>
        <v>0.9888888888888836</v>
      </c>
      <c r="R490" s="3"/>
      <c r="S490" s="3"/>
      <c r="U490" s="1"/>
      <c r="V490" s="3"/>
      <c r="W490" s="3"/>
    </row>
    <row r="491" spans="1:23" x14ac:dyDescent="0.25">
      <c r="A491" t="s">
        <v>16</v>
      </c>
      <c r="C491">
        <v>52.047650599999997</v>
      </c>
      <c r="D491">
        <v>-0.57189730000000005</v>
      </c>
      <c r="E491">
        <v>4</v>
      </c>
      <c r="F491">
        <v>4</v>
      </c>
      <c r="G491">
        <v>2022</v>
      </c>
      <c r="H491">
        <v>13</v>
      </c>
      <c r="I491">
        <v>56</v>
      </c>
      <c r="J491">
        <v>4.8</v>
      </c>
      <c r="K491">
        <v>43.24</v>
      </c>
      <c r="L491">
        <v>0</v>
      </c>
      <c r="M491">
        <v>40.072000000000003</v>
      </c>
      <c r="N491">
        <v>0.49</v>
      </c>
      <c r="P491" s="1">
        <f t="shared" si="56"/>
        <v>11.13111111111111</v>
      </c>
      <c r="Q491" s="3">
        <f t="shared" si="51"/>
        <v>-3.6777777777777843</v>
      </c>
      <c r="R491" s="3"/>
      <c r="S491" s="3"/>
      <c r="U491" s="1"/>
      <c r="V491" s="3"/>
      <c r="W491" s="3"/>
    </row>
    <row r="492" spans="1:23" x14ac:dyDescent="0.25">
      <c r="A492" t="s">
        <v>16</v>
      </c>
      <c r="C492">
        <v>52.047640800000003</v>
      </c>
      <c r="D492">
        <v>-0.57189699999999999</v>
      </c>
      <c r="E492">
        <v>4</v>
      </c>
      <c r="F492">
        <v>4</v>
      </c>
      <c r="G492">
        <v>2022</v>
      </c>
      <c r="H492">
        <v>13</v>
      </c>
      <c r="I492">
        <v>56</v>
      </c>
      <c r="J492">
        <v>4.9000000000000004</v>
      </c>
      <c r="K492">
        <v>43.23</v>
      </c>
      <c r="L492">
        <v>0</v>
      </c>
      <c r="M492">
        <v>39.258000000000003</v>
      </c>
      <c r="N492">
        <v>0.497</v>
      </c>
      <c r="P492" s="1">
        <f t="shared" si="56"/>
        <v>10.904999999999999</v>
      </c>
      <c r="Q492" s="3">
        <f t="shared" si="51"/>
        <v>-2.2611111111111093</v>
      </c>
      <c r="R492" s="3"/>
      <c r="S492" s="3"/>
      <c r="U492" s="1"/>
      <c r="V492" s="3"/>
      <c r="W492" s="3"/>
    </row>
    <row r="493" spans="1:23" x14ac:dyDescent="0.25">
      <c r="A493" t="s">
        <v>16</v>
      </c>
      <c r="C493">
        <v>52.047631099999997</v>
      </c>
      <c r="D493">
        <v>-0.57189650000000003</v>
      </c>
      <c r="E493">
        <v>4</v>
      </c>
      <c r="F493">
        <v>4</v>
      </c>
      <c r="G493">
        <v>2022</v>
      </c>
      <c r="H493">
        <v>13</v>
      </c>
      <c r="I493">
        <v>56</v>
      </c>
      <c r="J493">
        <v>5</v>
      </c>
      <c r="K493">
        <v>43.23</v>
      </c>
      <c r="L493">
        <v>0</v>
      </c>
      <c r="M493">
        <v>38.973999999999997</v>
      </c>
      <c r="N493">
        <v>0.50800000000000001</v>
      </c>
      <c r="P493" s="1">
        <f t="shared" si="56"/>
        <v>10.826111111111111</v>
      </c>
      <c r="Q493" s="3">
        <f t="shared" si="51"/>
        <v>-0.78888888888888786</v>
      </c>
      <c r="R493" s="3"/>
      <c r="S493" s="3"/>
      <c r="U493" s="1"/>
      <c r="V493" s="3"/>
      <c r="W493" s="3"/>
    </row>
    <row r="495" spans="1:23" x14ac:dyDescent="0.25">
      <c r="O495" t="s">
        <v>18</v>
      </c>
      <c r="P495" s="1">
        <f>MAX(P13:P493)</f>
        <v>13.35</v>
      </c>
      <c r="Q495" s="1">
        <f>MAX(Q13:Q493)</f>
        <v>11.241666666666674</v>
      </c>
      <c r="S495" s="1"/>
      <c r="U495" s="1">
        <f>MAX(U13:U493)</f>
        <v>13.17618686868687</v>
      </c>
      <c r="W495" s="1"/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015D-CE22-438B-8D4D-0875A5C2A50B}">
  <dimension ref="A1:AD2"/>
  <sheetViews>
    <sheetView tabSelected="1" zoomScale="90" zoomScaleNormal="90" workbookViewId="0">
      <selection activeCell="AE2" sqref="AE2"/>
    </sheetView>
  </sheetViews>
  <sheetFormatPr defaultRowHeight="15" x14ac:dyDescent="0.25"/>
  <sheetData>
    <row r="1" spans="1:30" x14ac:dyDescent="0.25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</sheetData>
  <mergeCells count="1">
    <mergeCell ref="A1:AD2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gt-31</vt:lpstr>
      <vt:lpstr>gw-60</vt:lpstr>
      <vt:lpstr>motion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2022-04-06T10:11:11Z</dcterms:created>
  <dcterms:modified xsi:type="dcterms:W3CDTF">2022-04-07T21:40:39Z</dcterms:modified>
</cp:coreProperties>
</file>