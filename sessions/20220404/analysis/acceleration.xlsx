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mike\projects\docs\gps-guides\sessions\20220404\analysis\"/>
    </mc:Choice>
  </mc:AlternateContent>
  <xr:revisionPtr revIDLastSave="0" documentId="13_ncr:1_{8986AC72-C4A0-40D3-8CB7-AD35C15363C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alpha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17" i="1" l="1"/>
  <c r="S16" i="1"/>
  <c r="S15" i="1"/>
  <c r="S14" i="1"/>
  <c r="S13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S114" i="1" s="1"/>
  <c r="R110" i="1"/>
  <c r="R109" i="1"/>
  <c r="R108" i="1"/>
  <c r="R107" i="1"/>
  <c r="S109" i="1" s="1"/>
  <c r="R106" i="1"/>
  <c r="R105" i="1"/>
  <c r="R104" i="1"/>
  <c r="R103" i="1"/>
  <c r="S105" i="1" s="1"/>
  <c r="R102" i="1"/>
  <c r="R101" i="1"/>
  <c r="R100" i="1"/>
  <c r="R99" i="1"/>
  <c r="S101" i="1" s="1"/>
  <c r="R98" i="1"/>
  <c r="R97" i="1"/>
  <c r="R96" i="1"/>
  <c r="R95" i="1"/>
  <c r="S97" i="1" s="1"/>
  <c r="R94" i="1"/>
  <c r="R93" i="1"/>
  <c r="R92" i="1"/>
  <c r="R91" i="1"/>
  <c r="S93" i="1" s="1"/>
  <c r="R90" i="1"/>
  <c r="R89" i="1"/>
  <c r="R88" i="1"/>
  <c r="R87" i="1"/>
  <c r="S89" i="1" s="1"/>
  <c r="R86" i="1"/>
  <c r="R85" i="1"/>
  <c r="R84" i="1"/>
  <c r="R83" i="1"/>
  <c r="S85" i="1" s="1"/>
  <c r="R82" i="1"/>
  <c r="R81" i="1"/>
  <c r="R80" i="1"/>
  <c r="R79" i="1"/>
  <c r="S81" i="1" s="1"/>
  <c r="R78" i="1"/>
  <c r="R77" i="1"/>
  <c r="R76" i="1"/>
  <c r="R75" i="1"/>
  <c r="S77" i="1" s="1"/>
  <c r="R74" i="1"/>
  <c r="R73" i="1"/>
  <c r="R72" i="1"/>
  <c r="R71" i="1"/>
  <c r="S73" i="1" s="1"/>
  <c r="R70" i="1"/>
  <c r="R69" i="1"/>
  <c r="R68" i="1"/>
  <c r="R67" i="1"/>
  <c r="S69" i="1" s="1"/>
  <c r="R66" i="1"/>
  <c r="R65" i="1"/>
  <c r="R64" i="1"/>
  <c r="R63" i="1"/>
  <c r="S65" i="1" s="1"/>
  <c r="R62" i="1"/>
  <c r="R61" i="1"/>
  <c r="R60" i="1"/>
  <c r="R59" i="1"/>
  <c r="S61" i="1" s="1"/>
  <c r="R58" i="1"/>
  <c r="R57" i="1"/>
  <c r="R56" i="1"/>
  <c r="R55" i="1"/>
  <c r="S57" i="1" s="1"/>
  <c r="R54" i="1"/>
  <c r="R53" i="1"/>
  <c r="R52" i="1"/>
  <c r="R51" i="1"/>
  <c r="S53" i="1" s="1"/>
  <c r="R50" i="1"/>
  <c r="R49" i="1"/>
  <c r="R48" i="1"/>
  <c r="R47" i="1"/>
  <c r="S49" i="1" s="1"/>
  <c r="R46" i="1"/>
  <c r="R45" i="1"/>
  <c r="R44" i="1"/>
  <c r="R43" i="1"/>
  <c r="S45" i="1" s="1"/>
  <c r="R42" i="1"/>
  <c r="R41" i="1"/>
  <c r="R40" i="1"/>
  <c r="R39" i="1"/>
  <c r="S41" i="1" s="1"/>
  <c r="R38" i="1"/>
  <c r="R37" i="1"/>
  <c r="R36" i="1"/>
  <c r="R35" i="1"/>
  <c r="S37" i="1" s="1"/>
  <c r="R34" i="1"/>
  <c r="R33" i="1"/>
  <c r="R32" i="1"/>
  <c r="R31" i="1"/>
  <c r="S33" i="1" s="1"/>
  <c r="R30" i="1"/>
  <c r="R29" i="1"/>
  <c r="R28" i="1"/>
  <c r="R27" i="1"/>
  <c r="S29" i="1" s="1"/>
  <c r="R26" i="1"/>
  <c r="R25" i="1"/>
  <c r="R24" i="1"/>
  <c r="R23" i="1"/>
  <c r="S25" i="1" s="1"/>
  <c r="R22" i="1"/>
  <c r="R21" i="1"/>
  <c r="R20" i="1"/>
  <c r="R19" i="1"/>
  <c r="S21" i="1" s="1"/>
  <c r="R18" i="1"/>
  <c r="R17" i="1"/>
  <c r="R16" i="1"/>
  <c r="R15" i="1"/>
  <c r="S20" i="1" s="1"/>
  <c r="R14" i="1"/>
  <c r="R13" i="1"/>
  <c r="R12" i="1"/>
  <c r="R11" i="1"/>
  <c r="R10" i="1"/>
  <c r="R9" i="1"/>
  <c r="R8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03" i="1"/>
  <c r="S102" i="1"/>
  <c r="S99" i="1"/>
  <c r="S98" i="1"/>
  <c r="S95" i="1"/>
  <c r="S94" i="1"/>
  <c r="S91" i="1"/>
  <c r="S90" i="1"/>
  <c r="S87" i="1"/>
  <c r="S86" i="1"/>
  <c r="S83" i="1"/>
  <c r="S82" i="1"/>
  <c r="S79" i="1"/>
  <c r="S78" i="1"/>
  <c r="S75" i="1"/>
  <c r="S74" i="1"/>
  <c r="S71" i="1"/>
  <c r="S70" i="1"/>
  <c r="S67" i="1"/>
  <c r="S66" i="1"/>
  <c r="S63" i="1"/>
  <c r="S62" i="1"/>
  <c r="S59" i="1"/>
  <c r="S58" i="1"/>
  <c r="S55" i="1"/>
  <c r="S54" i="1"/>
  <c r="S51" i="1"/>
  <c r="S50" i="1"/>
  <c r="S47" i="1"/>
  <c r="S46" i="1"/>
  <c r="S43" i="1"/>
  <c r="S42" i="1"/>
  <c r="S39" i="1"/>
  <c r="S38" i="1"/>
  <c r="S35" i="1"/>
  <c r="S34" i="1"/>
  <c r="S31" i="1"/>
  <c r="S30" i="1"/>
  <c r="S27" i="1"/>
  <c r="S26" i="1"/>
  <c r="S23" i="1"/>
  <c r="S22" i="1"/>
  <c r="S19" i="1"/>
  <c r="S18" i="1"/>
  <c r="Q501" i="1"/>
  <c r="Q437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Q309" i="1" s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Q46" i="1" s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70" i="1"/>
  <c r="P269" i="1"/>
  <c r="P268" i="1"/>
  <c r="P267" i="1"/>
  <c r="P266" i="1"/>
  <c r="P265" i="1"/>
  <c r="P264" i="1"/>
  <c r="P263" i="1"/>
  <c r="P262" i="1"/>
  <c r="P261" i="1"/>
  <c r="P260" i="1"/>
  <c r="P271" i="1"/>
  <c r="P272" i="1"/>
  <c r="P273" i="1"/>
  <c r="S111" i="1" l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16" i="1"/>
  <c r="S107" i="1"/>
  <c r="S115" i="1"/>
  <c r="S113" i="1"/>
  <c r="S106" i="1"/>
  <c r="S110" i="1"/>
  <c r="Q10" i="1"/>
  <c r="Q317" i="1"/>
  <c r="Q381" i="1"/>
  <c r="Q445" i="1"/>
  <c r="Q469" i="1"/>
  <c r="Q477" i="1"/>
  <c r="Q509" i="1"/>
  <c r="Q277" i="1"/>
  <c r="Q285" i="1"/>
  <c r="Q341" i="1"/>
  <c r="Q349" i="1"/>
  <c r="Q405" i="1"/>
  <c r="Q413" i="1"/>
  <c r="Q373" i="1"/>
  <c r="Q30" i="1"/>
  <c r="Q7" i="1"/>
  <c r="Q293" i="1"/>
  <c r="Q11" i="1"/>
  <c r="Q281" i="1"/>
  <c r="Q289" i="1"/>
  <c r="Q297" i="1"/>
  <c r="Q301" i="1"/>
  <c r="Q305" i="1"/>
  <c r="Q313" i="1"/>
  <c r="Q321" i="1"/>
  <c r="Q325" i="1"/>
  <c r="Q329" i="1"/>
  <c r="Q333" i="1"/>
  <c r="Q337" i="1"/>
  <c r="Q345" i="1"/>
  <c r="Q353" i="1"/>
  <c r="Q357" i="1"/>
  <c r="Q361" i="1"/>
  <c r="Q365" i="1"/>
  <c r="Q369" i="1"/>
  <c r="Q377" i="1"/>
  <c r="Q385" i="1"/>
  <c r="Q389" i="1"/>
  <c r="Q393" i="1"/>
  <c r="Q397" i="1"/>
  <c r="Q401" i="1"/>
  <c r="Q409" i="1"/>
  <c r="Q421" i="1"/>
  <c r="Q429" i="1"/>
  <c r="Q441" i="1"/>
  <c r="Q453" i="1"/>
  <c r="Q461" i="1"/>
  <c r="Q485" i="1"/>
  <c r="Q493" i="1"/>
  <c r="Q517" i="1"/>
  <c r="Q417" i="1"/>
  <c r="Q425" i="1"/>
  <c r="Q433" i="1"/>
  <c r="Q449" i="1"/>
  <c r="Q457" i="1"/>
  <c r="Q465" i="1"/>
  <c r="Q473" i="1"/>
  <c r="Q481" i="1"/>
  <c r="Q489" i="1"/>
  <c r="Q497" i="1"/>
  <c r="Q505" i="1"/>
  <c r="Q513" i="1"/>
  <c r="Q521" i="1"/>
  <c r="Q268" i="1"/>
  <c r="Q4" i="1"/>
  <c r="Q8" i="1"/>
  <c r="Q12" i="1"/>
  <c r="Q85" i="1"/>
  <c r="Q117" i="1"/>
  <c r="Q149" i="1"/>
  <c r="Q197" i="1"/>
  <c r="Q204" i="1"/>
  <c r="Q236" i="1"/>
  <c r="Q278" i="1"/>
  <c r="Q298" i="1"/>
  <c r="Q330" i="1"/>
  <c r="Q362" i="1"/>
  <c r="Q394" i="1"/>
  <c r="Q426" i="1"/>
  <c r="Q458" i="1"/>
  <c r="Q490" i="1"/>
  <c r="Q260" i="1"/>
  <c r="Q40" i="1"/>
  <c r="Q44" i="1"/>
  <c r="Q52" i="1"/>
  <c r="Q60" i="1"/>
  <c r="Q68" i="1"/>
  <c r="Q80" i="1"/>
  <c r="Q88" i="1"/>
  <c r="Q96" i="1"/>
  <c r="Q108" i="1"/>
  <c r="Q120" i="1"/>
  <c r="Q128" i="1"/>
  <c r="Q136" i="1"/>
  <c r="Q144" i="1"/>
  <c r="Q152" i="1"/>
  <c r="Q164" i="1"/>
  <c r="Q172" i="1"/>
  <c r="Q180" i="1"/>
  <c r="Q188" i="1"/>
  <c r="Q212" i="1"/>
  <c r="Q220" i="1"/>
  <c r="Q228" i="1"/>
  <c r="Q232" i="1"/>
  <c r="Q240" i="1"/>
  <c r="Q252" i="1"/>
  <c r="Q274" i="1"/>
  <c r="Q282" i="1"/>
  <c r="Q306" i="1"/>
  <c r="Q314" i="1"/>
  <c r="Q322" i="1"/>
  <c r="Q346" i="1"/>
  <c r="Q354" i="1"/>
  <c r="Q378" i="1"/>
  <c r="Q386" i="1"/>
  <c r="Q402" i="1"/>
  <c r="Q442" i="1"/>
  <c r="Q450" i="1"/>
  <c r="Q474" i="1"/>
  <c r="Q482" i="1"/>
  <c r="Q498" i="1"/>
  <c r="Q514" i="1"/>
  <c r="Q522" i="1"/>
  <c r="Q20" i="1"/>
  <c r="Q41" i="1"/>
  <c r="Q69" i="1"/>
  <c r="Q181" i="1"/>
  <c r="Q229" i="1"/>
  <c r="Q261" i="1"/>
  <c r="Q273" i="1"/>
  <c r="Q265" i="1"/>
  <c r="Q5" i="1"/>
  <c r="Q13" i="1"/>
  <c r="Q29" i="1"/>
  <c r="Q57" i="1"/>
  <c r="Q65" i="1"/>
  <c r="Q73" i="1"/>
  <c r="Q89" i="1"/>
  <c r="Q105" i="1"/>
  <c r="Q113" i="1"/>
  <c r="Q137" i="1"/>
  <c r="Q145" i="1"/>
  <c r="Q153" i="1"/>
  <c r="Q161" i="1"/>
  <c r="Q185" i="1"/>
  <c r="Q201" i="1"/>
  <c r="Q209" i="1"/>
  <c r="Q225" i="1"/>
  <c r="Q233" i="1"/>
  <c r="Q249" i="1"/>
  <c r="Q257" i="1"/>
  <c r="Q279" i="1"/>
  <c r="Q291" i="1"/>
  <c r="Q299" i="1"/>
  <c r="Q307" i="1"/>
  <c r="Q315" i="1"/>
  <c r="Q323" i="1"/>
  <c r="Q331" i="1"/>
  <c r="Q339" i="1"/>
  <c r="Q347" i="1"/>
  <c r="Q355" i="1"/>
  <c r="Q363" i="1"/>
  <c r="Q375" i="1"/>
  <c r="Q383" i="1"/>
  <c r="Q391" i="1"/>
  <c r="Q399" i="1"/>
  <c r="Q407" i="1"/>
  <c r="Q415" i="1"/>
  <c r="Q427" i="1"/>
  <c r="Q435" i="1"/>
  <c r="Q443" i="1"/>
  <c r="Q451" i="1"/>
  <c r="Q459" i="1"/>
  <c r="Q467" i="1"/>
  <c r="Q475" i="1"/>
  <c r="Q483" i="1"/>
  <c r="Q491" i="1"/>
  <c r="Q499" i="1"/>
  <c r="Q503" i="1"/>
  <c r="Q511" i="1"/>
  <c r="Q515" i="1"/>
  <c r="Q519" i="1"/>
  <c r="Q523" i="1"/>
  <c r="Q21" i="1"/>
  <c r="Q32" i="1"/>
  <c r="Q42" i="1"/>
  <c r="Q54" i="1"/>
  <c r="Q70" i="1"/>
  <c r="Q86" i="1"/>
  <c r="Q118" i="1"/>
  <c r="Q134" i="1"/>
  <c r="Q150" i="1"/>
  <c r="Q166" i="1"/>
  <c r="Q182" i="1"/>
  <c r="Q198" i="1"/>
  <c r="Q214" i="1"/>
  <c r="Q230" i="1"/>
  <c r="Q246" i="1"/>
  <c r="Q262" i="1"/>
  <c r="Q294" i="1"/>
  <c r="Q310" i="1"/>
  <c r="Q326" i="1"/>
  <c r="Q342" i="1"/>
  <c r="Q358" i="1"/>
  <c r="Q374" i="1"/>
  <c r="Q390" i="1"/>
  <c r="Q406" i="1"/>
  <c r="Q422" i="1"/>
  <c r="Q438" i="1"/>
  <c r="Q454" i="1"/>
  <c r="Q470" i="1"/>
  <c r="Q486" i="1"/>
  <c r="Q502" i="1"/>
  <c r="Q518" i="1"/>
  <c r="Q266" i="1"/>
  <c r="Q18" i="1"/>
  <c r="Q34" i="1"/>
  <c r="Q50" i="1"/>
  <c r="Q66" i="1"/>
  <c r="Q82" i="1"/>
  <c r="Q98" i="1"/>
  <c r="Q114" i="1"/>
  <c r="Q130" i="1"/>
  <c r="Q146" i="1"/>
  <c r="Q162" i="1"/>
  <c r="Q178" i="1"/>
  <c r="Q186" i="1"/>
  <c r="Q202" i="1"/>
  <c r="Q218" i="1"/>
  <c r="Q234" i="1"/>
  <c r="Q250" i="1"/>
  <c r="Q6" i="1"/>
  <c r="Q14" i="1"/>
  <c r="Q25" i="1"/>
  <c r="Q36" i="1"/>
  <c r="Q61" i="1"/>
  <c r="Q77" i="1"/>
  <c r="Q93" i="1"/>
  <c r="Q109" i="1"/>
  <c r="Q125" i="1"/>
  <c r="Q141" i="1"/>
  <c r="Q157" i="1"/>
  <c r="Q173" i="1"/>
  <c r="Q189" i="1"/>
  <c r="Q205" i="1"/>
  <c r="Q221" i="1"/>
  <c r="Q237" i="1"/>
  <c r="Q253" i="1"/>
  <c r="Q269" i="1"/>
  <c r="Q264" i="1"/>
  <c r="Q24" i="1"/>
  <c r="Q28" i="1"/>
  <c r="Q56" i="1"/>
  <c r="Q64" i="1"/>
  <c r="Q72" i="1"/>
  <c r="Q76" i="1"/>
  <c r="Q84" i="1"/>
  <c r="Q92" i="1"/>
  <c r="Q100" i="1"/>
  <c r="Q104" i="1"/>
  <c r="Q112" i="1"/>
  <c r="Q116" i="1"/>
  <c r="Q124" i="1"/>
  <c r="Q132" i="1"/>
  <c r="Q140" i="1"/>
  <c r="Q148" i="1"/>
  <c r="Q156" i="1"/>
  <c r="Q160" i="1"/>
  <c r="Q168" i="1"/>
  <c r="Q176" i="1"/>
  <c r="Q184" i="1"/>
  <c r="Q192" i="1"/>
  <c r="Q196" i="1"/>
  <c r="Q200" i="1"/>
  <c r="Q208" i="1"/>
  <c r="Q216" i="1"/>
  <c r="Q224" i="1"/>
  <c r="Q244" i="1"/>
  <c r="Q248" i="1"/>
  <c r="Q256" i="1"/>
  <c r="Q290" i="1"/>
  <c r="Q338" i="1"/>
  <c r="Q370" i="1"/>
  <c r="Q410" i="1"/>
  <c r="Q418" i="1"/>
  <c r="Q434" i="1"/>
  <c r="Q466" i="1"/>
  <c r="Q506" i="1"/>
  <c r="Q53" i="1"/>
  <c r="Q101" i="1"/>
  <c r="Q133" i="1"/>
  <c r="Q165" i="1"/>
  <c r="Q213" i="1"/>
  <c r="Q245" i="1"/>
  <c r="Q9" i="1"/>
  <c r="Q17" i="1"/>
  <c r="Q33" i="1"/>
  <c r="Q45" i="1"/>
  <c r="Q49" i="1"/>
  <c r="Q81" i="1"/>
  <c r="Q97" i="1"/>
  <c r="Q121" i="1"/>
  <c r="Q129" i="1"/>
  <c r="Q169" i="1"/>
  <c r="Q177" i="1"/>
  <c r="Q193" i="1"/>
  <c r="Q217" i="1"/>
  <c r="Q241" i="1"/>
  <c r="Q275" i="1"/>
  <c r="Q283" i="1"/>
  <c r="Q287" i="1"/>
  <c r="Q295" i="1"/>
  <c r="Q303" i="1"/>
  <c r="Q311" i="1"/>
  <c r="Q319" i="1"/>
  <c r="Q327" i="1"/>
  <c r="Q335" i="1"/>
  <c r="Q343" i="1"/>
  <c r="Q351" i="1"/>
  <c r="Q359" i="1"/>
  <c r="Q367" i="1"/>
  <c r="Q371" i="1"/>
  <c r="Q379" i="1"/>
  <c r="Q387" i="1"/>
  <c r="Q395" i="1"/>
  <c r="Q403" i="1"/>
  <c r="Q411" i="1"/>
  <c r="Q419" i="1"/>
  <c r="Q423" i="1"/>
  <c r="Q431" i="1"/>
  <c r="Q439" i="1"/>
  <c r="Q447" i="1"/>
  <c r="Q455" i="1"/>
  <c r="Q463" i="1"/>
  <c r="Q471" i="1"/>
  <c r="Q479" i="1"/>
  <c r="Q487" i="1"/>
  <c r="Q495" i="1"/>
  <c r="Q507" i="1"/>
  <c r="Q102" i="1"/>
  <c r="Q271" i="1"/>
  <c r="Q263" i="1"/>
  <c r="Q267" i="1"/>
  <c r="Q15" i="1"/>
  <c r="Q19" i="1"/>
  <c r="Q23" i="1"/>
  <c r="Q27" i="1"/>
  <c r="Q31" i="1"/>
  <c r="Q35" i="1"/>
  <c r="Q39" i="1"/>
  <c r="Q43" i="1"/>
  <c r="Q16" i="1"/>
  <c r="Q26" i="1"/>
  <c r="Q37" i="1"/>
  <c r="Q48" i="1"/>
  <c r="Q62" i="1"/>
  <c r="Q78" i="1"/>
  <c r="Q94" i="1"/>
  <c r="Q110" i="1"/>
  <c r="Q126" i="1"/>
  <c r="Q142" i="1"/>
  <c r="Q158" i="1"/>
  <c r="Q174" i="1"/>
  <c r="Q190" i="1"/>
  <c r="Q206" i="1"/>
  <c r="Q222" i="1"/>
  <c r="Q238" i="1"/>
  <c r="Q254" i="1"/>
  <c r="Q270" i="1"/>
  <c r="Q286" i="1"/>
  <c r="Q302" i="1"/>
  <c r="Q318" i="1"/>
  <c r="Q334" i="1"/>
  <c r="Q350" i="1"/>
  <c r="Q366" i="1"/>
  <c r="Q382" i="1"/>
  <c r="Q398" i="1"/>
  <c r="Q414" i="1"/>
  <c r="Q430" i="1"/>
  <c r="Q446" i="1"/>
  <c r="Q462" i="1"/>
  <c r="Q478" i="1"/>
  <c r="Q494" i="1"/>
  <c r="Q510" i="1"/>
  <c r="Q272" i="1"/>
  <c r="Q276" i="1"/>
  <c r="Q280" i="1"/>
  <c r="Q284" i="1"/>
  <c r="Q288" i="1"/>
  <c r="Q292" i="1"/>
  <c r="Q296" i="1"/>
  <c r="Q300" i="1"/>
  <c r="Q304" i="1"/>
  <c r="Q308" i="1"/>
  <c r="Q312" i="1"/>
  <c r="Q316" i="1"/>
  <c r="Q320" i="1"/>
  <c r="Q324" i="1"/>
  <c r="Q328" i="1"/>
  <c r="Q332" i="1"/>
  <c r="Q336" i="1"/>
  <c r="Q340" i="1"/>
  <c r="Q344" i="1"/>
  <c r="Q348" i="1"/>
  <c r="Q352" i="1"/>
  <c r="Q356" i="1"/>
  <c r="Q360" i="1"/>
  <c r="Q364" i="1"/>
  <c r="Q368" i="1"/>
  <c r="Q372" i="1"/>
  <c r="Q376" i="1"/>
  <c r="Q380" i="1"/>
  <c r="Q384" i="1"/>
  <c r="Q388" i="1"/>
  <c r="Q392" i="1"/>
  <c r="Q396" i="1"/>
  <c r="Q400" i="1"/>
  <c r="Q404" i="1"/>
  <c r="Q408" i="1"/>
  <c r="Q412" i="1"/>
  <c r="Q416" i="1"/>
  <c r="Q420" i="1"/>
  <c r="Q424" i="1"/>
  <c r="Q428" i="1"/>
  <c r="Q432" i="1"/>
  <c r="Q436" i="1"/>
  <c r="Q440" i="1"/>
  <c r="Q444" i="1"/>
  <c r="Q448" i="1"/>
  <c r="Q452" i="1"/>
  <c r="Q456" i="1"/>
  <c r="Q460" i="1"/>
  <c r="Q464" i="1"/>
  <c r="Q468" i="1"/>
  <c r="Q472" i="1"/>
  <c r="Q476" i="1"/>
  <c r="Q480" i="1"/>
  <c r="Q484" i="1"/>
  <c r="Q488" i="1"/>
  <c r="Q492" i="1"/>
  <c r="Q496" i="1"/>
  <c r="Q500" i="1"/>
  <c r="Q504" i="1"/>
  <c r="Q508" i="1"/>
  <c r="Q512" i="1"/>
  <c r="Q516" i="1"/>
  <c r="Q520" i="1"/>
  <c r="Q22" i="1"/>
  <c r="Q38" i="1"/>
  <c r="Q47" i="1"/>
  <c r="Q51" i="1"/>
  <c r="Q55" i="1"/>
  <c r="Q59" i="1"/>
  <c r="Q63" i="1"/>
  <c r="Q67" i="1"/>
  <c r="Q71" i="1"/>
  <c r="Q75" i="1"/>
  <c r="Q79" i="1"/>
  <c r="Q83" i="1"/>
  <c r="Q87" i="1"/>
  <c r="Q91" i="1"/>
  <c r="Q95" i="1"/>
  <c r="Q99" i="1"/>
  <c r="Q103" i="1"/>
  <c r="Q107" i="1"/>
  <c r="Q111" i="1"/>
  <c r="Q115" i="1"/>
  <c r="Q119" i="1"/>
  <c r="Q123" i="1"/>
  <c r="Q127" i="1"/>
  <c r="Q131" i="1"/>
  <c r="Q135" i="1"/>
  <c r="Q139" i="1"/>
  <c r="Q143" i="1"/>
  <c r="Q147" i="1"/>
  <c r="Q151" i="1"/>
  <c r="Q155" i="1"/>
  <c r="Q159" i="1"/>
  <c r="Q163" i="1"/>
  <c r="Q167" i="1"/>
  <c r="Q171" i="1"/>
  <c r="Q175" i="1"/>
  <c r="Q179" i="1"/>
  <c r="Q183" i="1"/>
  <c r="Q187" i="1"/>
  <c r="Q191" i="1"/>
  <c r="Q195" i="1"/>
  <c r="Q199" i="1"/>
  <c r="Q203" i="1"/>
  <c r="Q207" i="1"/>
  <c r="Q211" i="1"/>
  <c r="Q215" i="1"/>
  <c r="Q219" i="1"/>
  <c r="Q223" i="1"/>
  <c r="Q227" i="1"/>
  <c r="Q231" i="1"/>
  <c r="Q235" i="1"/>
  <c r="Q239" i="1"/>
  <c r="Q243" i="1"/>
  <c r="Q247" i="1"/>
  <c r="Q251" i="1"/>
  <c r="Q255" i="1"/>
  <c r="Q259" i="1"/>
  <c r="Q58" i="1"/>
  <c r="Q74" i="1"/>
  <c r="Q90" i="1"/>
  <c r="Q106" i="1"/>
  <c r="Q122" i="1"/>
  <c r="Q138" i="1"/>
  <c r="Q154" i="1"/>
  <c r="Q170" i="1"/>
  <c r="Q194" i="1"/>
  <c r="Q210" i="1"/>
  <c r="Q226" i="1"/>
  <c r="Q242" i="1"/>
  <c r="Q258" i="1"/>
  <c r="P525" i="1"/>
  <c r="Q525" i="1" l="1"/>
</calcChain>
</file>

<file path=xl/sharedStrings.xml><?xml version="1.0" encoding="utf-8"?>
<sst xmlns="http://schemas.openxmlformats.org/spreadsheetml/2006/main" count="542" uniqueCount="22">
  <si>
    <t>Datum:</t>
  </si>
  <si>
    <t>WGS-84</t>
  </si>
  <si>
    <t>Type</t>
  </si>
  <si>
    <t>Name|Color|Visibility</t>
  </si>
  <si>
    <t>Lat</t>
  </si>
  <si>
    <t>Long</t>
  </si>
  <si>
    <t>Day</t>
  </si>
  <si>
    <t>Month</t>
  </si>
  <si>
    <t>Year</t>
  </si>
  <si>
    <t>Hour</t>
  </si>
  <si>
    <t>Min</t>
  </si>
  <si>
    <t>Sec</t>
  </si>
  <si>
    <t>Altitude(Meters)</t>
  </si>
  <si>
    <t>Depth(Meters)</t>
  </si>
  <si>
    <t>Speed(km/h)</t>
  </si>
  <si>
    <t>SDoP(km/h)</t>
  </si>
  <si>
    <t>T</t>
  </si>
  <si>
    <t>m/s</t>
  </si>
  <si>
    <t>Max</t>
  </si>
  <si>
    <t>acc 1</t>
  </si>
  <si>
    <t>acc 2</t>
  </si>
  <si>
    <t>acc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</si>
</sst>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6" fillId="0" borderId="0" xfId="0" applyFon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alpha!$Q$3:$Q$523</c:f>
              <c:numCache>
                <c:formatCode>0.0</c:formatCode>
                <c:ptCount val="52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  <c:pt idx="491">
                  <c:v>3.8888888888894968E-2</c:v>
                </c:pt>
                <c:pt idx="492">
                  <c:v>-0.64999999999999503</c:v>
                </c:pt>
                <c:pt idx="493">
                  <c:v>-2.3611111111111249</c:v>
                </c:pt>
                <c:pt idx="494">
                  <c:v>-0.12777777777776222</c:v>
                </c:pt>
                <c:pt idx="495">
                  <c:v>1.708333333333325</c:v>
                </c:pt>
                <c:pt idx="496">
                  <c:v>0.76111111111110574</c:v>
                </c:pt>
                <c:pt idx="497">
                  <c:v>0.41944444444444784</c:v>
                </c:pt>
                <c:pt idx="498">
                  <c:v>-1.5194444444444422</c:v>
                </c:pt>
                <c:pt idx="499">
                  <c:v>-1.6499999999999915</c:v>
                </c:pt>
                <c:pt idx="500">
                  <c:v>0.60833333333333073</c:v>
                </c:pt>
                <c:pt idx="501">
                  <c:v>0.82222222222220864</c:v>
                </c:pt>
                <c:pt idx="502">
                  <c:v>-1.5416666666666501</c:v>
                </c:pt>
                <c:pt idx="503">
                  <c:v>0.89166666666665506</c:v>
                </c:pt>
                <c:pt idx="504">
                  <c:v>-0.67222222222222072</c:v>
                </c:pt>
                <c:pt idx="505">
                  <c:v>-0.62777777777776933</c:v>
                </c:pt>
                <c:pt idx="506">
                  <c:v>-0.23055555555556495</c:v>
                </c:pt>
                <c:pt idx="507">
                  <c:v>0.66944444444445139</c:v>
                </c:pt>
                <c:pt idx="508">
                  <c:v>1.1194444444444329</c:v>
                </c:pt>
                <c:pt idx="509">
                  <c:v>1.6000000000000014</c:v>
                </c:pt>
                <c:pt idx="510">
                  <c:v>0.84166666666666501</c:v>
                </c:pt>
                <c:pt idx="511">
                  <c:v>-2.9111111111111043</c:v>
                </c:pt>
                <c:pt idx="512">
                  <c:v>-1.0805555555555557</c:v>
                </c:pt>
                <c:pt idx="513">
                  <c:v>0.40000000000000924</c:v>
                </c:pt>
                <c:pt idx="514">
                  <c:v>-3.7694444444444564</c:v>
                </c:pt>
                <c:pt idx="515">
                  <c:v>1.1111111111112848E-2</c:v>
                </c:pt>
                <c:pt idx="516">
                  <c:v>-2.8305555555555451</c:v>
                </c:pt>
                <c:pt idx="517">
                  <c:v>8.888888888888502E-2</c:v>
                </c:pt>
                <c:pt idx="518">
                  <c:v>-0.35000000000000142</c:v>
                </c:pt>
                <c:pt idx="519">
                  <c:v>-1.2583333333333435</c:v>
                </c:pt>
                <c:pt idx="520">
                  <c:v>-2.5305555555555515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20-476F-98D6-89DC3315D092}"/>
            </c:ext>
          </c:extLst>
        </c:ser>
        <c:ser>
          <c:idx val="1"/>
          <c:order val="1"/>
          <c:tx>
            <c:v>Modified calculation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alpha!$R$3:$R$523</c:f>
              <c:numCache>
                <c:formatCode>General</c:formatCode>
                <c:ptCount val="521"/>
                <c:pt idx="5" formatCode="0.0">
                  <c:v>0.40499999999999936</c:v>
                </c:pt>
                <c:pt idx="6" formatCode="0.0">
                  <c:v>0.33305555555555699</c:v>
                </c:pt>
                <c:pt idx="7" formatCode="0.0">
                  <c:v>0.35694444444444606</c:v>
                </c:pt>
                <c:pt idx="8" formatCode="0.0">
                  <c:v>0.3341666666666665</c:v>
                </c:pt>
                <c:pt idx="9" formatCode="0.0">
                  <c:v>0.35499999999999865</c:v>
                </c:pt>
                <c:pt idx="10" formatCode="0.0">
                  <c:v>0.36194444444444507</c:v>
                </c:pt>
                <c:pt idx="11" formatCode="0.0">
                  <c:v>0.4158333333333335</c:v>
                </c:pt>
                <c:pt idx="12" formatCode="0.0">
                  <c:v>0.47416666666666707</c:v>
                </c:pt>
                <c:pt idx="13" formatCode="0.0">
                  <c:v>0.49305555555555536</c:v>
                </c:pt>
                <c:pt idx="14" formatCode="0.0">
                  <c:v>0.443888888888889</c:v>
                </c:pt>
                <c:pt idx="15" formatCode="0.0">
                  <c:v>0.54222222222222349</c:v>
                </c:pt>
                <c:pt idx="16" formatCode="0.0">
                  <c:v>0.46305555555555422</c:v>
                </c:pt>
                <c:pt idx="17" formatCode="0.0">
                  <c:v>0.41416666666666657</c:v>
                </c:pt>
                <c:pt idx="18" formatCode="0.0">
                  <c:v>0.406944444444445</c:v>
                </c:pt>
                <c:pt idx="19" formatCode="0.0">
                  <c:v>0.36888888888888971</c:v>
                </c:pt>
                <c:pt idx="20" formatCode="0.0">
                  <c:v>0.35999999999999943</c:v>
                </c:pt>
                <c:pt idx="21" formatCode="0.0">
                  <c:v>0.33611111111111036</c:v>
                </c:pt>
                <c:pt idx="22" formatCode="0.0">
                  <c:v>0.29583333333333428</c:v>
                </c:pt>
                <c:pt idx="23" formatCode="0.0">
                  <c:v>0.38277777777777722</c:v>
                </c:pt>
                <c:pt idx="24" formatCode="0.0">
                  <c:v>0.41805555555555607</c:v>
                </c:pt>
                <c:pt idx="25" formatCode="0.0">
                  <c:v>0.40194444444444422</c:v>
                </c:pt>
                <c:pt idx="26" formatCode="0.0">
                  <c:v>0.46694444444444549</c:v>
                </c:pt>
                <c:pt idx="27" formatCode="0.0">
                  <c:v>0.34999999999999964</c:v>
                </c:pt>
                <c:pt idx="28" formatCode="0.0">
                  <c:v>0.29305555555555429</c:v>
                </c:pt>
                <c:pt idx="29" formatCode="0.0">
                  <c:v>0.35999999999999943</c:v>
                </c:pt>
                <c:pt idx="30" formatCode="0.0">
                  <c:v>0.28805555555555529</c:v>
                </c:pt>
                <c:pt idx="31" formatCode="0.0">
                  <c:v>0.23500000000000121</c:v>
                </c:pt>
                <c:pt idx="32" formatCode="0.0">
                  <c:v>0.2780555555555555</c:v>
                </c:pt>
                <c:pt idx="33" formatCode="0.0">
                  <c:v>0.28222222222222193</c:v>
                </c:pt>
                <c:pt idx="34" formatCode="0.0">
                  <c:v>0.23194444444444429</c:v>
                </c:pt>
                <c:pt idx="35" formatCode="0.0">
                  <c:v>0.12583333333333258</c:v>
                </c:pt>
                <c:pt idx="36" formatCode="0.0">
                  <c:v>0.24000000000000021</c:v>
                </c:pt>
                <c:pt idx="37" formatCode="0.0">
                  <c:v>0.33388888888888779</c:v>
                </c:pt>
                <c:pt idx="38" formatCode="0.0">
                  <c:v>0.18888888888888999</c:v>
                </c:pt>
                <c:pt idx="39" formatCode="0.0">
                  <c:v>0.10916666666666686</c:v>
                </c:pt>
                <c:pt idx="40" formatCode="0.0">
                  <c:v>9.5000000000000639E-2</c:v>
                </c:pt>
                <c:pt idx="41" formatCode="0.0">
                  <c:v>9.1944444444443718E-2</c:v>
                </c:pt>
                <c:pt idx="42" formatCode="0.0">
                  <c:v>0.19194444444444336</c:v>
                </c:pt>
                <c:pt idx="43" formatCode="0.0">
                  <c:v>-8.0555555555541503E-3</c:v>
                </c:pt>
                <c:pt idx="44" formatCode="0.0">
                  <c:v>-8.3888888888889568E-2</c:v>
                </c:pt>
                <c:pt idx="45" formatCode="0.0">
                  <c:v>7.6111111111112351E-2</c:v>
                </c:pt>
                <c:pt idx="46" formatCode="0.0">
                  <c:v>-0.12111111111111228</c:v>
                </c:pt>
                <c:pt idx="47" formatCode="0.0">
                  <c:v>-9.69444444444445E-2</c:v>
                </c:pt>
                <c:pt idx="48" formatCode="0.0">
                  <c:v>0.17305555555555507</c:v>
                </c:pt>
                <c:pt idx="49" formatCode="0.0">
                  <c:v>0.25500000000000078</c:v>
                </c:pt>
                <c:pt idx="50" formatCode="0.0">
                  <c:v>0.12416666666666565</c:v>
                </c:pt>
                <c:pt idx="51" formatCode="0.0">
                  <c:v>0.22000000000000064</c:v>
                </c:pt>
                <c:pt idx="52" formatCode="0.0">
                  <c:v>7.3055555555555429E-2</c:v>
                </c:pt>
                <c:pt idx="53" formatCode="0.0">
                  <c:v>0.10805555555555557</c:v>
                </c:pt>
                <c:pt idx="54" formatCode="0.0">
                  <c:v>0.16500000000000092</c:v>
                </c:pt>
                <c:pt idx="55" formatCode="0.0">
                  <c:v>4.1944444444443008E-2</c:v>
                </c:pt>
                <c:pt idx="56" formatCode="0.0">
                  <c:v>5.8055555555556637E-2</c:v>
                </c:pt>
                <c:pt idx="57" formatCode="0.0">
                  <c:v>-1.1111111111095084E-3</c:v>
                </c:pt>
                <c:pt idx="58" formatCode="0.0">
                  <c:v>-0.15805555555555628</c:v>
                </c:pt>
                <c:pt idx="59" formatCode="0.0">
                  <c:v>-0.16500000000000092</c:v>
                </c:pt>
                <c:pt idx="60" formatCode="0.0">
                  <c:v>-4.4166666666665577E-2</c:v>
                </c:pt>
                <c:pt idx="61" formatCode="0.0">
                  <c:v>-7.6111111111112351E-2</c:v>
                </c:pt>
                <c:pt idx="62" formatCode="0.0">
                  <c:v>-7.0000000000000284E-2</c:v>
                </c:pt>
                <c:pt idx="63" formatCode="0.0">
                  <c:v>-9.1111111111111143E-2</c:v>
                </c:pt>
                <c:pt idx="64" formatCode="0.0">
                  <c:v>0</c:v>
                </c:pt>
                <c:pt idx="65" formatCode="0.0">
                  <c:v>-8.3333333333257542E-4</c:v>
                </c:pt>
                <c:pt idx="66" formatCode="0.0">
                  <c:v>0.12611111111111128</c:v>
                </c:pt>
                <c:pt idx="67" formatCode="0.0">
                  <c:v>1.8055555555553937E-2</c:v>
                </c:pt>
                <c:pt idx="68" formatCode="0.0">
                  <c:v>-2.4999999999998579E-2</c:v>
                </c:pt>
                <c:pt idx="69" formatCode="0.0">
                  <c:v>-9.9166666666667069E-2</c:v>
                </c:pt>
                <c:pt idx="70" formatCode="0.0">
                  <c:v>-0.19694444444444414</c:v>
                </c:pt>
                <c:pt idx="71" formatCode="0.0">
                  <c:v>-0.28888888888888786</c:v>
                </c:pt>
                <c:pt idx="72" formatCode="0.0">
                  <c:v>-0.25083333333333258</c:v>
                </c:pt>
                <c:pt idx="73" formatCode="0.0">
                  <c:v>-0.23111111111111171</c:v>
                </c:pt>
                <c:pt idx="74" formatCode="0.0">
                  <c:v>-0.41416666666666657</c:v>
                </c:pt>
                <c:pt idx="75" formatCode="0.0">
                  <c:v>-0.306111111111111</c:v>
                </c:pt>
                <c:pt idx="76" formatCode="0.0">
                  <c:v>-0.38805555555555671</c:v>
                </c:pt>
                <c:pt idx="77" formatCode="0.0">
                  <c:v>-0.27888888888888808</c:v>
                </c:pt>
                <c:pt idx="78" formatCode="0.0">
                  <c:v>-0.20805555555555699</c:v>
                </c:pt>
                <c:pt idx="79" formatCode="0.0">
                  <c:v>-0.33694444444444294</c:v>
                </c:pt>
                <c:pt idx="80" formatCode="0.0">
                  <c:v>-0.2219444444444445</c:v>
                </c:pt>
                <c:pt idx="81" formatCode="0.0">
                  <c:v>-0.20000000000000107</c:v>
                </c:pt>
                <c:pt idx="82" formatCode="0.0">
                  <c:v>-0.18416666666666615</c:v>
                </c:pt>
                <c:pt idx="83" formatCode="0.0">
                  <c:v>-0.14777777777777779</c:v>
                </c:pt>
                <c:pt idx="84" formatCode="0.0">
                  <c:v>2.6111111111109864E-2</c:v>
                </c:pt>
                <c:pt idx="85" formatCode="0.0">
                  <c:v>1.9444444444438602E-3</c:v>
                </c:pt>
                <c:pt idx="86" formatCode="0.0">
                  <c:v>3.6944444444444002E-2</c:v>
                </c:pt>
                <c:pt idx="87" formatCode="0.0">
                  <c:v>0.14194444444444443</c:v>
                </c:pt>
                <c:pt idx="88" formatCode="0.0">
                  <c:v>-4.3888888888888644E-2</c:v>
                </c:pt>
                <c:pt idx="89" formatCode="0.0">
                  <c:v>0.14999999999999858</c:v>
                </c:pt>
                <c:pt idx="90" formatCode="0.0">
                  <c:v>0.12805555555555515</c:v>
                </c:pt>
                <c:pt idx="91" formatCode="0.0">
                  <c:v>5.1944444444444571E-2</c:v>
                </c:pt>
                <c:pt idx="92" formatCode="0.0">
                  <c:v>3.416666666666579E-2</c:v>
                </c:pt>
                <c:pt idx="93" formatCode="0.0">
                  <c:v>0</c:v>
                </c:pt>
                <c:pt idx="94" formatCode="0.0">
                  <c:v>7.0000000000000284E-2</c:v>
                </c:pt>
                <c:pt idx="95" formatCode="0.0">
                  <c:v>0.12111111111111228</c:v>
                </c:pt>
                <c:pt idx="96" formatCode="0.0">
                  <c:v>8.5000000000000853E-2</c:v>
                </c:pt>
                <c:pt idx="97" formatCode="0.0">
                  <c:v>2.9999999999999361E-2</c:v>
                </c:pt>
                <c:pt idx="98" formatCode="0.0">
                  <c:v>0.26888888888889007</c:v>
                </c:pt>
                <c:pt idx="99" formatCode="0.0">
                  <c:v>0.20000000000000107</c:v>
                </c:pt>
                <c:pt idx="100" formatCode="0.0">
                  <c:v>0.40083333333333293</c:v>
                </c:pt>
                <c:pt idx="101" formatCode="0.0">
                  <c:v>0.4350000000000005</c:v>
                </c:pt>
                <c:pt idx="102" formatCode="0.0">
                  <c:v>0.33888888888888857</c:v>
                </c:pt>
                <c:pt idx="103" formatCode="0.0">
                  <c:v>0.48388888888888815</c:v>
                </c:pt>
                <c:pt idx="104" formatCode="0.0">
                  <c:v>0.31805555555555642</c:v>
                </c:pt>
                <c:pt idx="105" formatCode="0.0">
                  <c:v>0.26888888888888829</c:v>
                </c:pt>
                <c:pt idx="106" formatCode="0.0">
                  <c:v>0.23416666666666686</c:v>
                </c:pt>
                <c:pt idx="107" formatCode="0.0">
                  <c:v>0.19805555555555543</c:v>
                </c:pt>
                <c:pt idx="108" formatCode="0.0">
                  <c:v>0.27499999999999858</c:v>
                </c:pt>
                <c:pt idx="109" formatCode="0.0">
                  <c:v>0.33611111111111036</c:v>
                </c:pt>
                <c:pt idx="110" formatCode="0.0">
                  <c:v>0.10194444444444528</c:v>
                </c:pt>
                <c:pt idx="111" formatCode="0.0">
                  <c:v>0.25111111111111128</c:v>
                </c:pt>
                <c:pt idx="112" formatCode="0.0">
                  <c:v>0.50305555555555692</c:v>
                </c:pt>
                <c:pt idx="113" formatCode="0.0">
                  <c:v>0.23694444444444507</c:v>
                </c:pt>
                <c:pt idx="114" formatCode="0.0">
                  <c:v>0.33999999999999986</c:v>
                </c:pt>
                <c:pt idx="115" formatCode="0.0">
                  <c:v>0.24499999999999922</c:v>
                </c:pt>
                <c:pt idx="116" formatCode="0.0">
                  <c:v>0.3788888888888895</c:v>
                </c:pt>
                <c:pt idx="117" formatCode="0.0">
                  <c:v>0.29694444444444557</c:v>
                </c:pt>
                <c:pt idx="118" formatCode="0.0">
                  <c:v>0.30499999999999972</c:v>
                </c:pt>
                <c:pt idx="119" formatCode="0.0">
                  <c:v>0.23500000000000121</c:v>
                </c:pt>
                <c:pt idx="120" formatCode="0.0">
                  <c:v>0.39222222222222136</c:v>
                </c:pt>
                <c:pt idx="121" formatCode="0.0">
                  <c:v>0.28805555555555529</c:v>
                </c:pt>
                <c:pt idx="122" formatCode="0.0">
                  <c:v>3.5833333333332718E-2</c:v>
                </c:pt>
                <c:pt idx="123" formatCode="0.0">
                  <c:v>0.301111111111112</c:v>
                </c:pt>
                <c:pt idx="124" formatCode="0.0">
                  <c:v>0.27083333333333393</c:v>
                </c:pt>
                <c:pt idx="125" formatCode="0.0">
                  <c:v>0.30194444444444457</c:v>
                </c:pt>
                <c:pt idx="126" formatCode="0.0">
                  <c:v>0.31888888888888722</c:v>
                </c:pt>
                <c:pt idx="127" formatCode="0.0">
                  <c:v>0.5458333333333325</c:v>
                </c:pt>
                <c:pt idx="128" formatCode="0.0">
                  <c:v>0.57416666666666671</c:v>
                </c:pt>
                <c:pt idx="129" formatCode="0.0">
                  <c:v>0.77888888888888808</c:v>
                </c:pt>
                <c:pt idx="130" formatCode="0.0">
                  <c:v>0.45694444444444393</c:v>
                </c:pt>
                <c:pt idx="131" formatCode="0.0">
                  <c:v>0.44500000000000028</c:v>
                </c:pt>
                <c:pt idx="132" formatCode="0.0">
                  <c:v>0.32000000000000028</c:v>
                </c:pt>
                <c:pt idx="133" formatCode="0.0">
                  <c:v>0.28083333333333194</c:v>
                </c:pt>
                <c:pt idx="134" formatCode="0.0">
                  <c:v>0.17416666666666636</c:v>
                </c:pt>
                <c:pt idx="135" formatCode="0.0">
                  <c:v>9.3055555555556779E-2</c:v>
                </c:pt>
                <c:pt idx="136" formatCode="0.0">
                  <c:v>-7.7777777777777501E-2</c:v>
                </c:pt>
                <c:pt idx="137" formatCode="0.0">
                  <c:v>-0.28500000000000014</c:v>
                </c:pt>
                <c:pt idx="138" formatCode="0.0">
                  <c:v>-0.33999999999999986</c:v>
                </c:pt>
                <c:pt idx="139" formatCode="0.0">
                  <c:v>-0.5088888888888885</c:v>
                </c:pt>
                <c:pt idx="140" formatCode="0.0">
                  <c:v>-0.47305555555555401</c:v>
                </c:pt>
                <c:pt idx="141" formatCode="0.0">
                  <c:v>-0.49000000000000021</c:v>
                </c:pt>
                <c:pt idx="142" formatCode="0.0">
                  <c:v>-0.1977777777777785</c:v>
                </c:pt>
                <c:pt idx="143" formatCode="0.0">
                  <c:v>-0.25694444444444464</c:v>
                </c:pt>
                <c:pt idx="144" formatCode="0.0">
                  <c:v>-8.1111111111111356E-2</c:v>
                </c:pt>
                <c:pt idx="145" formatCode="0.0">
                  <c:v>7.4999999999999289E-2</c:v>
                </c:pt>
                <c:pt idx="146" formatCode="0.0">
                  <c:v>0.15777777777777757</c:v>
                </c:pt>
                <c:pt idx="147" formatCode="0.0">
                  <c:v>0.18222222222222229</c:v>
                </c:pt>
                <c:pt idx="148" formatCode="0.0">
                  <c:v>-1.7222222222221362E-2</c:v>
                </c:pt>
                <c:pt idx="149" formatCode="0.0">
                  <c:v>0.11805555555555536</c:v>
                </c:pt>
                <c:pt idx="150" formatCode="0.0">
                  <c:v>0.161944444444444</c:v>
                </c:pt>
                <c:pt idx="151" formatCode="0.0">
                  <c:v>0.17999999999999972</c:v>
                </c:pt>
                <c:pt idx="152" formatCode="0.0">
                  <c:v>6.0000000000000497E-2</c:v>
                </c:pt>
                <c:pt idx="153" formatCode="0.0">
                  <c:v>0.21805555555555678</c:v>
                </c:pt>
                <c:pt idx="154" formatCode="0.0">
                  <c:v>0.161944444444444</c:v>
                </c:pt>
                <c:pt idx="155" formatCode="0.0">
                  <c:v>9.8055555555555785E-2</c:v>
                </c:pt>
                <c:pt idx="156" formatCode="0.0">
                  <c:v>0.20916666666666828</c:v>
                </c:pt>
                <c:pt idx="157" formatCode="0.0">
                  <c:v>0.15777777777777757</c:v>
                </c:pt>
                <c:pt idx="158" formatCode="0.0">
                  <c:v>0.338055555555556</c:v>
                </c:pt>
                <c:pt idx="159" formatCode="0.0">
                  <c:v>0.26388888888888928</c:v>
                </c:pt>
                <c:pt idx="160" formatCode="0.0">
                  <c:v>0.22805555555555479</c:v>
                </c:pt>
                <c:pt idx="161" formatCode="0.0">
                  <c:v>0.21000000000000085</c:v>
                </c:pt>
                <c:pt idx="162" formatCode="0.0">
                  <c:v>0.16083333333333272</c:v>
                </c:pt>
                <c:pt idx="163" formatCode="0.0">
                  <c:v>5.6111111111111001E-2</c:v>
                </c:pt>
                <c:pt idx="164" formatCode="0.0">
                  <c:v>-8.3333333333257542E-4</c:v>
                </c:pt>
                <c:pt idx="165" formatCode="0.0">
                  <c:v>-0.16999999999999993</c:v>
                </c:pt>
                <c:pt idx="166" formatCode="0.0">
                  <c:v>-0.27194444444444521</c:v>
                </c:pt>
                <c:pt idx="167" formatCode="0.0">
                  <c:v>-0.19499999999999851</c:v>
                </c:pt>
                <c:pt idx="168" formatCode="0.0">
                  <c:v>-7.3055555555555429E-2</c:v>
                </c:pt>
                <c:pt idx="169" formatCode="0.0">
                  <c:v>-6.0000000000000497E-2</c:v>
                </c:pt>
                <c:pt idx="170" formatCode="0.0">
                  <c:v>0.11194444444444507</c:v>
                </c:pt>
                <c:pt idx="171" formatCode="0.0">
                  <c:v>-8.6111111111112137E-2</c:v>
                </c:pt>
                <c:pt idx="172" formatCode="0.0">
                  <c:v>-3.3888888888888857E-2</c:v>
                </c:pt>
                <c:pt idx="173" formatCode="0.0">
                  <c:v>-0.11111111111111072</c:v>
                </c:pt>
                <c:pt idx="174" formatCode="0.0">
                  <c:v>-9.1111111111111143E-2</c:v>
                </c:pt>
                <c:pt idx="175" formatCode="0.0">
                  <c:v>0.181111111111111</c:v>
                </c:pt>
                <c:pt idx="176" formatCode="0.0">
                  <c:v>0.16388888888888964</c:v>
                </c:pt>
                <c:pt idx="177" formatCode="0.0">
                  <c:v>0.31305555555555564</c:v>
                </c:pt>
                <c:pt idx="178" formatCode="0.0">
                  <c:v>0.11916666666666664</c:v>
                </c:pt>
                <c:pt idx="179" formatCode="0.0">
                  <c:v>0.19305555555555642</c:v>
                </c:pt>
                <c:pt idx="180" formatCode="0.0">
                  <c:v>0.218055555555555</c:v>
                </c:pt>
                <c:pt idx="181" formatCode="0.0">
                  <c:v>0.16694444444444478</c:v>
                </c:pt>
                <c:pt idx="182" formatCode="0.0">
                  <c:v>7.5833333333333641E-2</c:v>
                </c:pt>
                <c:pt idx="183" formatCode="0.0">
                  <c:v>0.40694444444444322</c:v>
                </c:pt>
                <c:pt idx="184" formatCode="0.0">
                  <c:v>0.44611111111110979</c:v>
                </c:pt>
                <c:pt idx="185" formatCode="0.0">
                  <c:v>0.27388888888888907</c:v>
                </c:pt>
                <c:pt idx="186" formatCode="0.0">
                  <c:v>-3.1111111111112422E-2</c:v>
                </c:pt>
                <c:pt idx="187" formatCode="0.0">
                  <c:v>-0.44000000000000128</c:v>
                </c:pt>
                <c:pt idx="188" formatCode="0.0">
                  <c:v>-0.33500000000000085</c:v>
                </c:pt>
                <c:pt idx="189" formatCode="0.0">
                  <c:v>-0.406944444444445</c:v>
                </c:pt>
                <c:pt idx="190" formatCode="0.0">
                  <c:v>-0.4911111111111115</c:v>
                </c:pt>
                <c:pt idx="191" formatCode="0.0">
                  <c:v>-0.27888888888888808</c:v>
                </c:pt>
                <c:pt idx="192" formatCode="0.0">
                  <c:v>-0.35500000000000043</c:v>
                </c:pt>
                <c:pt idx="193" formatCode="0.0">
                  <c:v>-0.823888888888888</c:v>
                </c:pt>
                <c:pt idx="194" formatCode="0.0">
                  <c:v>-0.99305555555555536</c:v>
                </c:pt>
                <c:pt idx="195" formatCode="0.0">
                  <c:v>-1.036944444444444</c:v>
                </c:pt>
                <c:pt idx="196" formatCode="0.0">
                  <c:v>-0.71583333333333243</c:v>
                </c:pt>
                <c:pt idx="197" formatCode="0.0">
                  <c:v>-0.47888888888888914</c:v>
                </c:pt>
                <c:pt idx="198" formatCode="0.0">
                  <c:v>-0.88499999999999979</c:v>
                </c:pt>
                <c:pt idx="199" formatCode="0.0">
                  <c:v>-1.0700000000000003</c:v>
                </c:pt>
                <c:pt idx="200" formatCode="0.0">
                  <c:v>-0.81083333333333307</c:v>
                </c:pt>
                <c:pt idx="201" formatCode="0.0">
                  <c:v>-0.77611111111111164</c:v>
                </c:pt>
                <c:pt idx="202" formatCode="0.0">
                  <c:v>-0.72499999999999964</c:v>
                </c:pt>
                <c:pt idx="203" formatCode="0.0">
                  <c:v>-0.52500000000000036</c:v>
                </c:pt>
                <c:pt idx="204" formatCode="0.0">
                  <c:v>-0.38194444444444464</c:v>
                </c:pt>
                <c:pt idx="205" formatCode="0.0">
                  <c:v>-0.41000000000000014</c:v>
                </c:pt>
                <c:pt idx="206" formatCode="0.0">
                  <c:v>-0.43194444444444535</c:v>
                </c:pt>
                <c:pt idx="207" formatCode="0.0">
                  <c:v>-0.38111111111111029</c:v>
                </c:pt>
                <c:pt idx="208" formatCode="0.0">
                  <c:v>1.3055555555554932E-2</c:v>
                </c:pt>
                <c:pt idx="209" formatCode="0.0">
                  <c:v>-3.3055555555556282E-2</c:v>
                </c:pt>
                <c:pt idx="210" formatCode="0.0">
                  <c:v>-0.3341666666666665</c:v>
                </c:pt>
                <c:pt idx="211" formatCode="0.0">
                  <c:v>-0.26583333333333314</c:v>
                </c:pt>
                <c:pt idx="212" formatCode="0.0">
                  <c:v>-0.12583333333333258</c:v>
                </c:pt>
                <c:pt idx="213" formatCode="0.0">
                  <c:v>-0.28416666666666757</c:v>
                </c:pt>
                <c:pt idx="214" formatCode="0.0">
                  <c:v>-0.4591666666666665</c:v>
                </c:pt>
                <c:pt idx="215" formatCode="0.0">
                  <c:v>-0.53111111111111242</c:v>
                </c:pt>
                <c:pt idx="216" formatCode="0.0">
                  <c:v>-0.53805555555555529</c:v>
                </c:pt>
                <c:pt idx="217" formatCode="0.0">
                  <c:v>-0.70388888888888879</c:v>
                </c:pt>
                <c:pt idx="218" formatCode="0.0">
                  <c:v>-0.84805555555555578</c:v>
                </c:pt>
                <c:pt idx="219" formatCode="0.0">
                  <c:v>-0.54111111111111043</c:v>
                </c:pt>
                <c:pt idx="220" formatCode="0.0">
                  <c:v>-0.51999999999999957</c:v>
                </c:pt>
                <c:pt idx="221" formatCode="0.0">
                  <c:v>-0.64305555555555571</c:v>
                </c:pt>
                <c:pt idx="222" formatCode="0.0">
                  <c:v>-0.74694444444444485</c:v>
                </c:pt>
                <c:pt idx="223" formatCode="0.0">
                  <c:v>-0.767777777777777</c:v>
                </c:pt>
                <c:pt idx="224" formatCode="0.0">
                  <c:v>-0.693888888888889</c:v>
                </c:pt>
                <c:pt idx="225" formatCode="0.0">
                  <c:v>-0.536944444444444</c:v>
                </c:pt>
                <c:pt idx="226" formatCode="0.0">
                  <c:v>-0.70500000000000007</c:v>
                </c:pt>
                <c:pt idx="227" formatCode="0.0">
                  <c:v>-0.57194444444444414</c:v>
                </c:pt>
                <c:pt idx="228" formatCode="0.0">
                  <c:v>-0.50916666666666544</c:v>
                </c:pt>
                <c:pt idx="229" formatCode="0.0">
                  <c:v>-0.84194444444444372</c:v>
                </c:pt>
                <c:pt idx="230" formatCode="0.0">
                  <c:v>-0.64194444444444443</c:v>
                </c:pt>
                <c:pt idx="231" formatCode="0.0">
                  <c:v>-0.54916666666666636</c:v>
                </c:pt>
                <c:pt idx="232" formatCode="0.0">
                  <c:v>-0.57222222222222285</c:v>
                </c:pt>
                <c:pt idx="233" formatCode="0.0">
                  <c:v>-0.41305555555555529</c:v>
                </c:pt>
                <c:pt idx="234" formatCode="0.0">
                  <c:v>-0.42499999999999893</c:v>
                </c:pt>
                <c:pt idx="235" formatCode="0.0">
                  <c:v>-0.47111111111111015</c:v>
                </c:pt>
                <c:pt idx="236" formatCode="0.0">
                  <c:v>-0.15111111111111164</c:v>
                </c:pt>
                <c:pt idx="237" formatCode="0.0">
                  <c:v>-0.26999999999999957</c:v>
                </c:pt>
                <c:pt idx="238" formatCode="0.0">
                  <c:v>-0.27277777777777779</c:v>
                </c:pt>
                <c:pt idx="239" formatCode="0.0">
                  <c:v>-8.3055555555556992E-2</c:v>
                </c:pt>
                <c:pt idx="240" formatCode="0.0">
                  <c:v>-0.33999999999999986</c:v>
                </c:pt>
                <c:pt idx="241" formatCode="0.0">
                  <c:v>-0.27000000000000135</c:v>
                </c:pt>
                <c:pt idx="242" formatCode="0.0">
                  <c:v>-0.23194444444444429</c:v>
                </c:pt>
                <c:pt idx="243" formatCode="0.0">
                  <c:v>-0.33194444444444393</c:v>
                </c:pt>
                <c:pt idx="244" formatCode="0.0">
                  <c:v>-0.25500000000000078</c:v>
                </c:pt>
                <c:pt idx="245" formatCode="0.0">
                  <c:v>-0.21194444444444471</c:v>
                </c:pt>
                <c:pt idx="246" formatCode="0.0">
                  <c:v>-0.54388888888888864</c:v>
                </c:pt>
                <c:pt idx="247" formatCode="0.0">
                  <c:v>-0.31916666666666771</c:v>
                </c:pt>
                <c:pt idx="248" formatCode="0.0">
                  <c:v>-0.72000000000000064</c:v>
                </c:pt>
                <c:pt idx="249" formatCode="0.0">
                  <c:v>-0.79083333333333172</c:v>
                </c:pt>
                <c:pt idx="250" formatCode="0.0">
                  <c:v>-0.76388888888888928</c:v>
                </c:pt>
                <c:pt idx="251" formatCode="0.0">
                  <c:v>-0.59194444444444372</c:v>
                </c:pt>
                <c:pt idx="252" formatCode="0.0">
                  <c:v>-0.82583333333333364</c:v>
                </c:pt>
                <c:pt idx="253" formatCode="0.0">
                  <c:v>-0.69305555555555642</c:v>
                </c:pt>
                <c:pt idx="254" formatCode="0.0">
                  <c:v>-0.7780555555555555</c:v>
                </c:pt>
                <c:pt idx="255" formatCode="0.0">
                  <c:v>-0.91805555555555607</c:v>
                </c:pt>
                <c:pt idx="256" formatCode="0.0">
                  <c:v>-0.83499999999999908</c:v>
                </c:pt>
                <c:pt idx="257" formatCode="0.0">
                  <c:v>-0.66083333333333272</c:v>
                </c:pt>
                <c:pt idx="258" formatCode="0.0">
                  <c:v>-0.74305555555555536</c:v>
                </c:pt>
                <c:pt idx="259" formatCode="0.0">
                  <c:v>-0.71111111111111214</c:v>
                </c:pt>
                <c:pt idx="260" formatCode="0.0">
                  <c:v>-0.3519444444444435</c:v>
                </c:pt>
                <c:pt idx="261" formatCode="0.0">
                  <c:v>-0.50500000000000078</c:v>
                </c:pt>
                <c:pt idx="262" formatCode="0.0">
                  <c:v>-0.43611111111111001</c:v>
                </c:pt>
                <c:pt idx="263" formatCode="0.0">
                  <c:v>-0.85500000000000043</c:v>
                </c:pt>
                <c:pt idx="264" formatCode="0.0">
                  <c:v>-1.2711111111111109</c:v>
                </c:pt>
                <c:pt idx="265" formatCode="0.0">
                  <c:v>4.4166666666667354E-2</c:v>
                </c:pt>
                <c:pt idx="266" formatCode="0.0">
                  <c:v>0.15083333333333293</c:v>
                </c:pt>
                <c:pt idx="267" formatCode="0.0">
                  <c:v>-0.107222222222223</c:v>
                </c:pt>
                <c:pt idx="268" formatCode="0.0">
                  <c:v>-0.181111111111111</c:v>
                </c:pt>
                <c:pt idx="269" formatCode="0.0">
                  <c:v>-0.30388888888888843</c:v>
                </c:pt>
                <c:pt idx="270" formatCode="0.0">
                  <c:v>-0.55222222222222328</c:v>
                </c:pt>
                <c:pt idx="271" formatCode="0.0">
                  <c:v>-0.42305555555555507</c:v>
                </c:pt>
                <c:pt idx="272" formatCode="0.0">
                  <c:v>-5.1111111111111995E-2</c:v>
                </c:pt>
                <c:pt idx="273" formatCode="0.0">
                  <c:v>0.21388888888888857</c:v>
                </c:pt>
                <c:pt idx="274" formatCode="0.0">
                  <c:v>0.607222222222223</c:v>
                </c:pt>
                <c:pt idx="275" formatCode="0.0">
                  <c:v>-0.33611111111111214</c:v>
                </c:pt>
                <c:pt idx="276" formatCode="0.0">
                  <c:v>-0.24583333333333179</c:v>
                </c:pt>
                <c:pt idx="277" formatCode="0.0">
                  <c:v>-0.1449999999999978</c:v>
                </c:pt>
                <c:pt idx="278" formatCode="0.0">
                  <c:v>0.12694444444444386</c:v>
                </c:pt>
                <c:pt idx="279" formatCode="0.0">
                  <c:v>0.37194444444444485</c:v>
                </c:pt>
                <c:pt idx="280" formatCode="0.0">
                  <c:v>0.27222222222222214</c:v>
                </c:pt>
                <c:pt idx="281" formatCode="0.0">
                  <c:v>-0.22888888888888914</c:v>
                </c:pt>
                <c:pt idx="282" formatCode="0.0">
                  <c:v>-0.58194444444444393</c:v>
                </c:pt>
                <c:pt idx="283" formatCode="0.0">
                  <c:v>-0.44388888888888722</c:v>
                </c:pt>
                <c:pt idx="284" formatCode="0.0">
                  <c:v>-0.41722222222222349</c:v>
                </c:pt>
                <c:pt idx="285" formatCode="0.0">
                  <c:v>-0.65388888888888808</c:v>
                </c:pt>
                <c:pt idx="286" formatCode="0.0">
                  <c:v>-0.60305555555555657</c:v>
                </c:pt>
                <c:pt idx="287" formatCode="0.0">
                  <c:v>-0.67694444444444635</c:v>
                </c:pt>
                <c:pt idx="288" formatCode="0.0">
                  <c:v>-0.39499999999999957</c:v>
                </c:pt>
                <c:pt idx="289" formatCode="0.0">
                  <c:v>-0.29416666666666735</c:v>
                </c:pt>
                <c:pt idx="290" formatCode="0.0">
                  <c:v>0.40083333333333293</c:v>
                </c:pt>
                <c:pt idx="291" formatCode="0.0">
                  <c:v>0.57388888888888978</c:v>
                </c:pt>
                <c:pt idx="292" formatCode="0.0">
                  <c:v>0.32611111111111057</c:v>
                </c:pt>
                <c:pt idx="293" formatCode="0.0">
                  <c:v>0.43083333333333229</c:v>
                </c:pt>
                <c:pt idx="294" formatCode="0.0">
                  <c:v>0.74222222222222101</c:v>
                </c:pt>
                <c:pt idx="295" formatCode="0.0">
                  <c:v>0.86583333333333101</c:v>
                </c:pt>
                <c:pt idx="296" formatCode="0.0">
                  <c:v>0.90611111111111065</c:v>
                </c:pt>
                <c:pt idx="297" formatCode="0.0">
                  <c:v>0.97805555555555479</c:v>
                </c:pt>
                <c:pt idx="298" formatCode="0.0">
                  <c:v>0.97222222222222143</c:v>
                </c:pt>
                <c:pt idx="299" formatCode="0.0">
                  <c:v>0.91416666666666657</c:v>
                </c:pt>
                <c:pt idx="300" formatCode="0.0">
                  <c:v>0.49194444444444585</c:v>
                </c:pt>
                <c:pt idx="301" formatCode="0.0">
                  <c:v>0.49916666666666565</c:v>
                </c:pt>
                <c:pt idx="302" formatCode="0.0">
                  <c:v>0.66500000000000092</c:v>
                </c:pt>
                <c:pt idx="303" formatCode="0.0">
                  <c:v>0.8711111111111105</c:v>
                </c:pt>
                <c:pt idx="304" formatCode="0.0">
                  <c:v>0.87083333333333535</c:v>
                </c:pt>
                <c:pt idx="305" formatCode="0.0">
                  <c:v>0.88416666666666899</c:v>
                </c:pt>
                <c:pt idx="306" formatCode="0.0">
                  <c:v>0.87194444444444485</c:v>
                </c:pt>
                <c:pt idx="307" formatCode="0.0">
                  <c:v>0.85805555555555557</c:v>
                </c:pt>
                <c:pt idx="308" formatCode="0.0">
                  <c:v>1.0650000000000013</c:v>
                </c:pt>
                <c:pt idx="309" formatCode="0.0">
                  <c:v>1.355833333333333</c:v>
                </c:pt>
                <c:pt idx="310" formatCode="0.0">
                  <c:v>1.1691666666666656</c:v>
                </c:pt>
                <c:pt idx="311" formatCode="0.0">
                  <c:v>1.0569444444444454</c:v>
                </c:pt>
                <c:pt idx="312" formatCode="0.0">
                  <c:v>1.1338888888888885</c:v>
                </c:pt>
                <c:pt idx="313" formatCode="0.0">
                  <c:v>0.72694444444444528</c:v>
                </c:pt>
                <c:pt idx="314" formatCode="0.0">
                  <c:v>0.41305555555555529</c:v>
                </c:pt>
                <c:pt idx="315" formatCode="0.0">
                  <c:v>0.33999999999999986</c:v>
                </c:pt>
                <c:pt idx="316" formatCode="0.0">
                  <c:v>8.3888888888887791E-2</c:v>
                </c:pt>
                <c:pt idx="317" formatCode="0.0">
                  <c:v>0.100833333333334</c:v>
                </c:pt>
                <c:pt idx="318" formatCode="0.0">
                  <c:v>0.1338888888888885</c:v>
                </c:pt>
                <c:pt idx="319" formatCode="0.0">
                  <c:v>-0.21277777777777729</c:v>
                </c:pt>
                <c:pt idx="320" formatCode="0.0">
                  <c:v>-6.4999999999999503E-2</c:v>
                </c:pt>
                <c:pt idx="321" formatCode="0.0">
                  <c:v>0.20999999999999908</c:v>
                </c:pt>
                <c:pt idx="322" formatCode="0.0">
                  <c:v>0.28111111111111065</c:v>
                </c:pt>
                <c:pt idx="323" formatCode="0.0">
                  <c:v>0.34416666666666629</c:v>
                </c:pt>
                <c:pt idx="324" formatCode="0.0">
                  <c:v>0.72888888888888914</c:v>
                </c:pt>
                <c:pt idx="325" formatCode="0.0">
                  <c:v>0.78805555555555529</c:v>
                </c:pt>
                <c:pt idx="326" formatCode="0.0">
                  <c:v>0.75111111111111128</c:v>
                </c:pt>
                <c:pt idx="327" formatCode="0.0">
                  <c:v>0.75500000000000078</c:v>
                </c:pt>
                <c:pt idx="328" formatCode="0.0">
                  <c:v>0.64499999999999957</c:v>
                </c:pt>
                <c:pt idx="329" formatCode="0.0">
                  <c:v>0.65777777777777757</c:v>
                </c:pt>
                <c:pt idx="330" formatCode="0.0">
                  <c:v>0.67305555555555507</c:v>
                </c:pt>
                <c:pt idx="331" formatCode="0.0">
                  <c:v>0.60500000000000043</c:v>
                </c:pt>
                <c:pt idx="332" formatCode="0.0">
                  <c:v>0.911944444444444</c:v>
                </c:pt>
                <c:pt idx="333" formatCode="0.0">
                  <c:v>0.97888888888888914</c:v>
                </c:pt>
                <c:pt idx="334" formatCode="0.0">
                  <c:v>0.66805555555555607</c:v>
                </c:pt>
                <c:pt idx="335" formatCode="0.0">
                  <c:v>0.52583333333333293</c:v>
                </c:pt>
                <c:pt idx="336" formatCode="0.0">
                  <c:v>0.66194444444444578</c:v>
                </c:pt>
                <c:pt idx="337" formatCode="0.0">
                  <c:v>0.44416666666666593</c:v>
                </c:pt>
                <c:pt idx="338" formatCode="0.0">
                  <c:v>0.1288888888888895</c:v>
                </c:pt>
                <c:pt idx="339" formatCode="0.0">
                  <c:v>0.26305555555555493</c:v>
                </c:pt>
                <c:pt idx="340" formatCode="0.0">
                  <c:v>5.1944444444444571E-2</c:v>
                </c:pt>
                <c:pt idx="341" formatCode="0.0">
                  <c:v>-3.3888888888888857E-2</c:v>
                </c:pt>
                <c:pt idx="342" formatCode="0.0">
                  <c:v>-0.198888888888888</c:v>
                </c:pt>
                <c:pt idx="343" formatCode="0.0">
                  <c:v>-5.8055555555554861E-2</c:v>
                </c:pt>
                <c:pt idx="344" formatCode="0.0">
                  <c:v>-5.6944444444445352E-2</c:v>
                </c:pt>
                <c:pt idx="345" formatCode="0.0">
                  <c:v>-5.833333333333357E-3</c:v>
                </c:pt>
                <c:pt idx="346" formatCode="0.0">
                  <c:v>0.10999999999999943</c:v>
                </c:pt>
                <c:pt idx="347" formatCode="0.0">
                  <c:v>0.24499999999999922</c:v>
                </c:pt>
                <c:pt idx="348" formatCode="0.0">
                  <c:v>0.35111111111111093</c:v>
                </c:pt>
                <c:pt idx="349" formatCode="0.0">
                  <c:v>0.16611111111111221</c:v>
                </c:pt>
                <c:pt idx="350" formatCode="0.0">
                  <c:v>0.36583333333333279</c:v>
                </c:pt>
                <c:pt idx="351" formatCode="0.0">
                  <c:v>0.68083333333333407</c:v>
                </c:pt>
                <c:pt idx="352" formatCode="0.0">
                  <c:v>0.9208333333333325</c:v>
                </c:pt>
                <c:pt idx="353" formatCode="0.0">
                  <c:v>0.60999999999999943</c:v>
                </c:pt>
                <c:pt idx="354" formatCode="0.0">
                  <c:v>0.411944444444444</c:v>
                </c:pt>
                <c:pt idx="355" formatCode="0.0">
                  <c:v>-3.416666666666579E-2</c:v>
                </c:pt>
                <c:pt idx="356" formatCode="0.0">
                  <c:v>-0.37611111111111128</c:v>
                </c:pt>
                <c:pt idx="357" formatCode="0.0">
                  <c:v>-0.375</c:v>
                </c:pt>
                <c:pt idx="358" formatCode="0.0">
                  <c:v>-0.218055555555555</c:v>
                </c:pt>
                <c:pt idx="359" formatCode="0.0">
                  <c:v>-0.26500000000000057</c:v>
                </c:pt>
                <c:pt idx="360" formatCode="0.0">
                  <c:v>-0.39388888888888829</c:v>
                </c:pt>
                <c:pt idx="361" formatCode="0.0">
                  <c:v>-0.44805555555555543</c:v>
                </c:pt>
                <c:pt idx="362" formatCode="0.0">
                  <c:v>-0.67583333333333329</c:v>
                </c:pt>
                <c:pt idx="363" formatCode="0.0">
                  <c:v>-0.52999999999999936</c:v>
                </c:pt>
                <c:pt idx="364" formatCode="0.0">
                  <c:v>-0.33000000000000007</c:v>
                </c:pt>
                <c:pt idx="365" formatCode="0.0">
                  <c:v>-2.3055555555556495E-2</c:v>
                </c:pt>
                <c:pt idx="366" formatCode="0.0">
                  <c:v>2.3055555555554719E-2</c:v>
                </c:pt>
                <c:pt idx="367" formatCode="0.0">
                  <c:v>5.3888888888890207E-2</c:v>
                </c:pt>
                <c:pt idx="368" formatCode="0.0">
                  <c:v>2.4999999999998579E-2</c:v>
                </c:pt>
                <c:pt idx="369" formatCode="0.0">
                  <c:v>0.26500000000000057</c:v>
                </c:pt>
                <c:pt idx="370" formatCode="0.0">
                  <c:v>0.29499999999999993</c:v>
                </c:pt>
                <c:pt idx="371" formatCode="0.0">
                  <c:v>-0.125</c:v>
                </c:pt>
                <c:pt idx="372" formatCode="0.0">
                  <c:v>-0.31611111111111079</c:v>
                </c:pt>
                <c:pt idx="373" formatCode="0.0">
                  <c:v>-0.28000000000000114</c:v>
                </c:pt>
                <c:pt idx="374" formatCode="0.0">
                  <c:v>-0.230833333333333</c:v>
                </c:pt>
                <c:pt idx="375" formatCode="0.0">
                  <c:v>-0.161944444444444</c:v>
                </c:pt>
                <c:pt idx="376" formatCode="0.0">
                  <c:v>5.0000000000007816E-3</c:v>
                </c:pt>
                <c:pt idx="377" formatCode="0.0">
                  <c:v>1.3055555555554932E-2</c:v>
                </c:pt>
                <c:pt idx="378" formatCode="0.0">
                  <c:v>3.5000000000000142E-2</c:v>
                </c:pt>
                <c:pt idx="379" formatCode="0.0">
                  <c:v>-0.19916666666666671</c:v>
                </c:pt>
                <c:pt idx="380" formatCode="0.0">
                  <c:v>-2.1944444444443434E-2</c:v>
                </c:pt>
                <c:pt idx="381" formatCode="0.0">
                  <c:v>0.44916666666666671</c:v>
                </c:pt>
                <c:pt idx="382" formatCode="0.0">
                  <c:v>0.55305555555555586</c:v>
                </c:pt>
                <c:pt idx="383" formatCode="0.0">
                  <c:v>0.36805555555555536</c:v>
                </c:pt>
                <c:pt idx="384" formatCode="0.0">
                  <c:v>0.37777777777777821</c:v>
                </c:pt>
                <c:pt idx="385" formatCode="0.0">
                  <c:v>0.31111111111111178</c:v>
                </c:pt>
                <c:pt idx="386" formatCode="0.0">
                  <c:v>0.36416666666666586</c:v>
                </c:pt>
                <c:pt idx="387" formatCode="0.0">
                  <c:v>0.34111111111111114</c:v>
                </c:pt>
                <c:pt idx="388" formatCode="0.0">
                  <c:v>0.26416666666666799</c:v>
                </c:pt>
                <c:pt idx="389" formatCode="0.0">
                  <c:v>0.22305555555555578</c:v>
                </c:pt>
                <c:pt idx="390" formatCode="0.0">
                  <c:v>-0.29194444444444478</c:v>
                </c:pt>
                <c:pt idx="391" formatCode="0.0">
                  <c:v>-0.50194444444444564</c:v>
                </c:pt>
                <c:pt idx="392" formatCode="0.0">
                  <c:v>-0.49916666666666742</c:v>
                </c:pt>
                <c:pt idx="393" formatCode="0.0">
                  <c:v>-0.59111111111111114</c:v>
                </c:pt>
                <c:pt idx="394" formatCode="0.0">
                  <c:v>-0.286944444444444</c:v>
                </c:pt>
                <c:pt idx="395" formatCode="0.0">
                  <c:v>0.1658333333333335</c:v>
                </c:pt>
                <c:pt idx="396" formatCode="0.0">
                  <c:v>0.35583333333333478</c:v>
                </c:pt>
                <c:pt idx="397" formatCode="0.0">
                  <c:v>0.49000000000000021</c:v>
                </c:pt>
                <c:pt idx="398" formatCode="0.0">
                  <c:v>0.46277777777777729</c:v>
                </c:pt>
                <c:pt idx="399" formatCode="0.0">
                  <c:v>0.39694444444444343</c:v>
                </c:pt>
                <c:pt idx="400" formatCode="0.0">
                  <c:v>0.642777777777777</c:v>
                </c:pt>
                <c:pt idx="401" formatCode="0.0">
                  <c:v>0.43888888888888999</c:v>
                </c:pt>
                <c:pt idx="402" formatCode="0.0">
                  <c:v>0.47916666666666785</c:v>
                </c:pt>
                <c:pt idx="403" formatCode="0.0">
                  <c:v>0.43000000000000149</c:v>
                </c:pt>
                <c:pt idx="404" formatCode="0.0">
                  <c:v>3.055555555555145E-3</c:v>
                </c:pt>
                <c:pt idx="405" formatCode="0.0">
                  <c:v>-0.21000000000000085</c:v>
                </c:pt>
                <c:pt idx="406" formatCode="0.0">
                  <c:v>-0.54499999999999993</c:v>
                </c:pt>
                <c:pt idx="407" formatCode="0.0">
                  <c:v>-0.94416666666666593</c:v>
                </c:pt>
                <c:pt idx="408" formatCode="0.0">
                  <c:v>-0.8277777777777775</c:v>
                </c:pt>
                <c:pt idx="409" formatCode="0.0">
                  <c:v>-0.83888888888888857</c:v>
                </c:pt>
                <c:pt idx="410" formatCode="0.0">
                  <c:v>-0.79388888888888864</c:v>
                </c:pt>
                <c:pt idx="411" formatCode="0.0">
                  <c:v>-0.54499999999999993</c:v>
                </c:pt>
                <c:pt idx="412" formatCode="0.0">
                  <c:v>-0.66416666666666657</c:v>
                </c:pt>
                <c:pt idx="413" formatCode="0.0">
                  <c:v>-0.63388888888889028</c:v>
                </c:pt>
                <c:pt idx="414" formatCode="0.0">
                  <c:v>-0.80888888888888921</c:v>
                </c:pt>
                <c:pt idx="415" formatCode="0.0">
                  <c:v>-0.87777777777777821</c:v>
                </c:pt>
                <c:pt idx="416" formatCode="0.0">
                  <c:v>-0.66083333333333449</c:v>
                </c:pt>
                <c:pt idx="417" formatCode="0.0">
                  <c:v>-0.47305555555555578</c:v>
                </c:pt>
                <c:pt idx="418" formatCode="0.0">
                  <c:v>-0.55722222222222229</c:v>
                </c:pt>
                <c:pt idx="419" formatCode="0.0">
                  <c:v>-0.375</c:v>
                </c:pt>
                <c:pt idx="420" formatCode="0.0">
                  <c:v>-0.39499999999999957</c:v>
                </c:pt>
                <c:pt idx="421" formatCode="0.0">
                  <c:v>-0.32694444444444493</c:v>
                </c:pt>
                <c:pt idx="422" formatCode="0.0">
                  <c:v>-6.0000000000000497E-2</c:v>
                </c:pt>
                <c:pt idx="423" formatCode="0.0">
                  <c:v>0.17888888888889021</c:v>
                </c:pt>
                <c:pt idx="424" formatCode="0.0">
                  <c:v>0.28500000000000014</c:v>
                </c:pt>
                <c:pt idx="425" formatCode="0.0">
                  <c:v>0.13000000000000078</c:v>
                </c:pt>
                <c:pt idx="426" formatCode="0.0">
                  <c:v>-8.4166666666666501E-2</c:v>
                </c:pt>
                <c:pt idx="427" formatCode="0.0">
                  <c:v>-0.22888888888888914</c:v>
                </c:pt>
                <c:pt idx="428" formatCode="0.0">
                  <c:v>-0.23194444444444429</c:v>
                </c:pt>
                <c:pt idx="429" formatCode="0.0">
                  <c:v>-0.25194444444444386</c:v>
                </c:pt>
                <c:pt idx="430" formatCode="0.0">
                  <c:v>-0.23611111111111072</c:v>
                </c:pt>
                <c:pt idx="431" formatCode="0.0">
                  <c:v>-0.17194444444444379</c:v>
                </c:pt>
                <c:pt idx="432" formatCode="0.0">
                  <c:v>-0.29694444444444379</c:v>
                </c:pt>
                <c:pt idx="433" formatCode="0.0">
                  <c:v>-0.35500000000000043</c:v>
                </c:pt>
                <c:pt idx="434" formatCode="0.0">
                  <c:v>-0.16499999999999915</c:v>
                </c:pt>
                <c:pt idx="435" formatCode="0.0">
                  <c:v>-0.14222222222222314</c:v>
                </c:pt>
                <c:pt idx="436" formatCode="0.0">
                  <c:v>-0.17999999999999972</c:v>
                </c:pt>
                <c:pt idx="437" formatCode="0.0">
                  <c:v>0.10611111111110993</c:v>
                </c:pt>
                <c:pt idx="438" formatCode="0.0">
                  <c:v>0.20611111111111136</c:v>
                </c:pt>
                <c:pt idx="439" formatCode="0.0">
                  <c:v>0.16000000000000014</c:v>
                </c:pt>
                <c:pt idx="440" formatCode="0.0">
                  <c:v>0.28305555555555451</c:v>
                </c:pt>
                <c:pt idx="441" formatCode="0.0">
                  <c:v>0.14777777777777779</c:v>
                </c:pt>
                <c:pt idx="442" formatCode="0.0">
                  <c:v>0.23305555555555557</c:v>
                </c:pt>
                <c:pt idx="443" formatCode="0.0">
                  <c:v>0.28805555555555529</c:v>
                </c:pt>
                <c:pt idx="444" formatCode="0.0">
                  <c:v>0.16888888888888864</c:v>
                </c:pt>
                <c:pt idx="445" formatCode="0.0">
                  <c:v>0.30222222222222328</c:v>
                </c:pt>
                <c:pt idx="446" formatCode="0.0">
                  <c:v>0.34194444444444372</c:v>
                </c:pt>
                <c:pt idx="447" formatCode="0.0">
                  <c:v>0.29500000000000171</c:v>
                </c:pt>
                <c:pt idx="448" formatCode="0.0">
                  <c:v>0.15499999999999936</c:v>
                </c:pt>
                <c:pt idx="449" formatCode="0.0">
                  <c:v>0.23888888888888893</c:v>
                </c:pt>
                <c:pt idx="450" formatCode="0.0">
                  <c:v>9.9999999999999645E-2</c:v>
                </c:pt>
                <c:pt idx="451" formatCode="0.0">
                  <c:v>0.14805555555555472</c:v>
                </c:pt>
                <c:pt idx="452" formatCode="0.0">
                  <c:v>5.9999999999998721E-2</c:v>
                </c:pt>
                <c:pt idx="453" formatCode="0.0">
                  <c:v>5.1111111111111995E-2</c:v>
                </c:pt>
                <c:pt idx="454" formatCode="0.0">
                  <c:v>8.9999999999999858E-2</c:v>
                </c:pt>
                <c:pt idx="455" formatCode="0.0">
                  <c:v>9.0833333333332433E-2</c:v>
                </c:pt>
                <c:pt idx="456" formatCode="0.0">
                  <c:v>1.7222222222223138E-2</c:v>
                </c:pt>
                <c:pt idx="457" formatCode="0.0">
                  <c:v>2.0833333333332149E-2</c:v>
                </c:pt>
                <c:pt idx="458" formatCode="0.0">
                  <c:v>0.1530555555555555</c:v>
                </c:pt>
                <c:pt idx="459" formatCode="0.0">
                  <c:v>0.16499999999999915</c:v>
                </c:pt>
                <c:pt idx="460" formatCode="0.0">
                  <c:v>0.24500000000000099</c:v>
                </c:pt>
                <c:pt idx="461" formatCode="0.0">
                  <c:v>0.22305555555555578</c:v>
                </c:pt>
                <c:pt idx="462" formatCode="0.0">
                  <c:v>0.19194444444444514</c:v>
                </c:pt>
                <c:pt idx="463" formatCode="0.0">
                  <c:v>0.28388888888888886</c:v>
                </c:pt>
                <c:pt idx="464" formatCode="0.0">
                  <c:v>0.14111111111111008</c:v>
                </c:pt>
                <c:pt idx="465" formatCode="0.0">
                  <c:v>-0.13083333333333336</c:v>
                </c:pt>
                <c:pt idx="466" formatCode="0.0">
                  <c:v>-8.6111111111112137E-2</c:v>
                </c:pt>
                <c:pt idx="467" formatCode="0.0">
                  <c:v>-0.18388888888888921</c:v>
                </c:pt>
                <c:pt idx="468" formatCode="0.0">
                  <c:v>-0.33722222222222165</c:v>
                </c:pt>
                <c:pt idx="469" formatCode="0.0">
                  <c:v>-0.42694444444444457</c:v>
                </c:pt>
                <c:pt idx="470" formatCode="0.0">
                  <c:v>-0.43194444444444535</c:v>
                </c:pt>
                <c:pt idx="471" formatCode="0.0">
                  <c:v>-0.45805555555555522</c:v>
                </c:pt>
                <c:pt idx="472" formatCode="0.0">
                  <c:v>-0.50194444444444386</c:v>
                </c:pt>
                <c:pt idx="473" formatCode="0.0">
                  <c:v>-0.65083333333333471</c:v>
                </c:pt>
                <c:pt idx="474" formatCode="0.0">
                  <c:v>-0.4591666666666665</c:v>
                </c:pt>
                <c:pt idx="475" formatCode="0.0">
                  <c:v>-0.38722222222222236</c:v>
                </c:pt>
                <c:pt idx="476" formatCode="0.0">
                  <c:v>-0.13999999999999879</c:v>
                </c:pt>
                <c:pt idx="477" formatCode="0.0">
                  <c:v>-2.9166666666666785E-2</c:v>
                </c:pt>
                <c:pt idx="478" formatCode="0.0">
                  <c:v>0.11805555555555536</c:v>
                </c:pt>
                <c:pt idx="479" formatCode="0.0">
                  <c:v>0.14888888888888907</c:v>
                </c:pt>
                <c:pt idx="480" formatCode="0.0">
                  <c:v>0.30694444444444535</c:v>
                </c:pt>
                <c:pt idx="481" formatCode="0.0">
                  <c:v>0.44805555555555543</c:v>
                </c:pt>
                <c:pt idx="482" formatCode="0.0">
                  <c:v>0.60888888888888815</c:v>
                </c:pt>
                <c:pt idx="483" formatCode="0.0">
                  <c:v>0.30499999999999972</c:v>
                </c:pt>
                <c:pt idx="484" formatCode="0.0">
                  <c:v>7.3055555555555429E-2</c:v>
                </c:pt>
                <c:pt idx="485" formatCode="0.0">
                  <c:v>0.18222222222222229</c:v>
                </c:pt>
                <c:pt idx="486" formatCode="0.0">
                  <c:v>5.4999999999999716E-2</c:v>
                </c:pt>
                <c:pt idx="487" formatCode="0.0">
                  <c:v>-9.3888888888887578E-2</c:v>
                </c:pt>
                <c:pt idx="488" formatCode="0.0">
                  <c:v>-0.42305555555555685</c:v>
                </c:pt>
                <c:pt idx="489" formatCode="0.0">
                  <c:v>-0.48277777777777686</c:v>
                </c:pt>
                <c:pt idx="490" formatCode="0.0">
                  <c:v>-0.52500000000000036</c:v>
                </c:pt>
                <c:pt idx="491" formatCode="0.0">
                  <c:v>-0.63694444444444542</c:v>
                </c:pt>
                <c:pt idx="492" formatCode="0.0">
                  <c:v>-0.693888888888889</c:v>
                </c:pt>
                <c:pt idx="493" formatCode="0.0">
                  <c:v>-0.47805555555555479</c:v>
                </c:pt>
                <c:pt idx="494" formatCode="0.0">
                  <c:v>-0.41694444444444301</c:v>
                </c:pt>
                <c:pt idx="495" formatCode="0.0">
                  <c:v>-0.27722222222222115</c:v>
                </c:pt>
                <c:pt idx="496" formatCode="0.0">
                  <c:v>-0.19888888888888978</c:v>
                </c:pt>
                <c:pt idx="497" formatCode="0.0">
                  <c:v>-0.28805555555555529</c:v>
                </c:pt>
                <c:pt idx="498" formatCode="0.0">
                  <c:v>3.7222222222222712E-2</c:v>
                </c:pt>
                <c:pt idx="499" formatCode="0.0">
                  <c:v>-1.7222222222223138E-2</c:v>
                </c:pt>
                <c:pt idx="500" formatCode="0.0">
                  <c:v>-0.25083333333333258</c:v>
                </c:pt>
                <c:pt idx="501" formatCode="0.0">
                  <c:v>-0.34999999999999964</c:v>
                </c:pt>
                <c:pt idx="502" formatCode="0.0">
                  <c:v>-0.32499999999999929</c:v>
                </c:pt>
                <c:pt idx="503" formatCode="0.0">
                  <c:v>-6.1111111111111782E-2</c:v>
                </c:pt>
                <c:pt idx="504" formatCode="0.0">
                  <c:v>0.26388888888888751</c:v>
                </c:pt>
                <c:pt idx="505" formatCode="0.0">
                  <c:v>0.28722222222222094</c:v>
                </c:pt>
                <c:pt idx="506" formatCode="0.0">
                  <c:v>-8.6111111111110361E-2</c:v>
                </c:pt>
                <c:pt idx="507" formatCode="0.0">
                  <c:v>-4.0000000000000924E-2</c:v>
                </c:pt>
                <c:pt idx="508" formatCode="0.0">
                  <c:v>-8.9166666666665506E-2</c:v>
                </c:pt>
                <c:pt idx="509" formatCode="0.0">
                  <c:v>-0.39888888888888907</c:v>
                </c:pt>
                <c:pt idx="510" formatCode="0.0">
                  <c:v>-0.33500000000000085</c:v>
                </c:pt>
                <c:pt idx="511" formatCode="0.0">
                  <c:v>-0.59499999999999886</c:v>
                </c:pt>
                <c:pt idx="512" formatCode="0.0">
                  <c:v>-0.6530555555555555</c:v>
                </c:pt>
                <c:pt idx="513" formatCode="0.0">
                  <c:v>-0.79999999999999893</c:v>
                </c:pt>
                <c:pt idx="514" formatCode="0.0">
                  <c:v>-1.0858333333333334</c:v>
                </c:pt>
                <c:pt idx="515" formatCode="0.0">
                  <c:v>-1.4230555555555551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20-476F-98D6-89DC3315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alpha!$Q$3:$Q$523</c:f>
              <c:numCache>
                <c:formatCode>0.0</c:formatCode>
                <c:ptCount val="52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  <c:pt idx="491">
                  <c:v>3.8888888888894968E-2</c:v>
                </c:pt>
                <c:pt idx="492">
                  <c:v>-0.64999999999999503</c:v>
                </c:pt>
                <c:pt idx="493">
                  <c:v>-2.3611111111111249</c:v>
                </c:pt>
                <c:pt idx="494">
                  <c:v>-0.12777777777776222</c:v>
                </c:pt>
                <c:pt idx="495">
                  <c:v>1.708333333333325</c:v>
                </c:pt>
                <c:pt idx="496">
                  <c:v>0.76111111111110574</c:v>
                </c:pt>
                <c:pt idx="497">
                  <c:v>0.41944444444444784</c:v>
                </c:pt>
                <c:pt idx="498">
                  <c:v>-1.5194444444444422</c:v>
                </c:pt>
                <c:pt idx="499">
                  <c:v>-1.6499999999999915</c:v>
                </c:pt>
                <c:pt idx="500">
                  <c:v>0.60833333333333073</c:v>
                </c:pt>
                <c:pt idx="501">
                  <c:v>0.82222222222220864</c:v>
                </c:pt>
                <c:pt idx="502">
                  <c:v>-1.5416666666666501</c:v>
                </c:pt>
                <c:pt idx="503">
                  <c:v>0.89166666666665506</c:v>
                </c:pt>
                <c:pt idx="504">
                  <c:v>-0.67222222222222072</c:v>
                </c:pt>
                <c:pt idx="505">
                  <c:v>-0.62777777777776933</c:v>
                </c:pt>
                <c:pt idx="506">
                  <c:v>-0.23055555555556495</c:v>
                </c:pt>
                <c:pt idx="507">
                  <c:v>0.66944444444445139</c:v>
                </c:pt>
                <c:pt idx="508">
                  <c:v>1.1194444444444329</c:v>
                </c:pt>
                <c:pt idx="509">
                  <c:v>1.6000000000000014</c:v>
                </c:pt>
                <c:pt idx="510">
                  <c:v>0.84166666666666501</c:v>
                </c:pt>
                <c:pt idx="511">
                  <c:v>-2.9111111111111043</c:v>
                </c:pt>
                <c:pt idx="512">
                  <c:v>-1.0805555555555557</c:v>
                </c:pt>
                <c:pt idx="513">
                  <c:v>0.40000000000000924</c:v>
                </c:pt>
                <c:pt idx="514">
                  <c:v>-3.7694444444444564</c:v>
                </c:pt>
                <c:pt idx="515">
                  <c:v>1.1111111111112848E-2</c:v>
                </c:pt>
                <c:pt idx="516">
                  <c:v>-2.8305555555555451</c:v>
                </c:pt>
                <c:pt idx="517">
                  <c:v>8.888888888888502E-2</c:v>
                </c:pt>
                <c:pt idx="518">
                  <c:v>-0.35000000000000142</c:v>
                </c:pt>
                <c:pt idx="519">
                  <c:v>-1.2583333333333435</c:v>
                </c:pt>
                <c:pt idx="520">
                  <c:v>-2.5305555555555515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A6-4C50-9913-641AE917A2B4}"/>
            </c:ext>
          </c:extLst>
        </c:ser>
        <c:ser>
          <c:idx val="1"/>
          <c:order val="1"/>
          <c:tx>
            <c:v>Modified calculation + averaging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alpha!$S$3:$S$523</c:f>
              <c:numCache>
                <c:formatCode>0.000</c:formatCode>
                <c:ptCount val="521"/>
                <c:pt idx="10" formatCode="0.0">
                  <c:v>0.41047979797979828</c:v>
                </c:pt>
                <c:pt idx="11" formatCode="0.0">
                  <c:v>0.41575757575757599</c:v>
                </c:pt>
                <c:pt idx="12" formatCode="0.0">
                  <c:v>0.42313131313131325</c:v>
                </c:pt>
                <c:pt idx="13" formatCode="0.0">
                  <c:v>0.42767676767676766</c:v>
                </c:pt>
                <c:pt idx="14" formatCode="0.0">
                  <c:v>0.4308333333333334</c:v>
                </c:pt>
                <c:pt idx="15" formatCode="0.0">
                  <c:v>0.43128787878787894</c:v>
                </c:pt>
                <c:pt idx="16" formatCode="0.0">
                  <c:v>0.42893939393939395</c:v>
                </c:pt>
                <c:pt idx="17" formatCode="0.0">
                  <c:v>0.41803030303030314</c:v>
                </c:pt>
                <c:pt idx="18" formatCode="0.0">
                  <c:v>0.40972222222222227</c:v>
                </c:pt>
                <c:pt idx="19" formatCode="0.0">
                  <c:v>0.40290404040404049</c:v>
                </c:pt>
                <c:pt idx="20" formatCode="0.0">
                  <c:v>0.39909090909090916</c:v>
                </c:pt>
                <c:pt idx="21" formatCode="0.0">
                  <c:v>0.39224747474747479</c:v>
                </c:pt>
                <c:pt idx="22" formatCode="0.0">
                  <c:v>0.38196969696969707</c:v>
                </c:pt>
                <c:pt idx="23" formatCode="0.0">
                  <c:v>0.37095959595959599</c:v>
                </c:pt>
                <c:pt idx="24" formatCode="0.0">
                  <c:v>0.36669191919191912</c:v>
                </c:pt>
                <c:pt idx="25" formatCode="0.0">
                  <c:v>0.35934343434343413</c:v>
                </c:pt>
                <c:pt idx="26" formatCode="0.0">
                  <c:v>0.34797979797979794</c:v>
                </c:pt>
                <c:pt idx="27" formatCode="0.0">
                  <c:v>0.34270202020202023</c:v>
                </c:pt>
                <c:pt idx="28" formatCode="0.0">
                  <c:v>0.34146464646464642</c:v>
                </c:pt>
                <c:pt idx="29" formatCode="0.0">
                  <c:v>0.32775252525252524</c:v>
                </c:pt>
                <c:pt idx="30" formatCode="0.0">
                  <c:v>0.30118686868686856</c:v>
                </c:pt>
                <c:pt idx="31" formatCode="0.0">
                  <c:v>0.28646464646464637</c:v>
                </c:pt>
                <c:pt idx="32" formatCode="0.0">
                  <c:v>0.27436868686868654</c:v>
                </c:pt>
                <c:pt idx="33" formatCode="0.0">
                  <c:v>0.25972222222222202</c:v>
                </c:pt>
                <c:pt idx="34" formatCode="0.0">
                  <c:v>0.24300505050505047</c:v>
                </c:pt>
                <c:pt idx="35" formatCode="0.0">
                  <c:v>0.21891414141414148</c:v>
                </c:pt>
                <c:pt idx="36" formatCode="0.0">
                  <c:v>0.20108585858585862</c:v>
                </c:pt>
                <c:pt idx="37" formatCode="0.0">
                  <c:v>0.197171717171717</c:v>
                </c:pt>
                <c:pt idx="38" formatCode="0.0">
                  <c:v>0.1711616161616161</c:v>
                </c:pt>
                <c:pt idx="39" formatCode="0.0">
                  <c:v>0.1378787878787878</c:v>
                </c:pt>
                <c:pt idx="40" formatCode="0.0">
                  <c:v>0.12371212121212126</c:v>
                </c:pt>
                <c:pt idx="41" formatCode="0.0">
                  <c:v>0.10126262626262626</c:v>
                </c:pt>
                <c:pt idx="42" formatCode="0.0">
                  <c:v>7.0631313131313114E-2</c:v>
                </c:pt>
                <c:pt idx="43" formatCode="0.0">
                  <c:v>5.6010101010101045E-2</c:v>
                </c:pt>
                <c:pt idx="44" formatCode="0.0">
                  <c:v>6.2020202020202024E-2</c:v>
                </c:pt>
                <c:pt idx="45" formatCode="0.0">
                  <c:v>6.3383838383838279E-2</c:v>
                </c:pt>
                <c:pt idx="46" formatCode="0.0">
                  <c:v>7.4747474747474646E-2</c:v>
                </c:pt>
                <c:pt idx="47" formatCode="0.0">
                  <c:v>7.3030303030302987E-2</c:v>
                </c:pt>
                <c:pt idx="48" formatCode="0.0">
                  <c:v>6.540404040404045E-2</c:v>
                </c:pt>
                <c:pt idx="49" formatCode="0.0">
                  <c:v>8.1136363636363645E-2</c:v>
                </c:pt>
                <c:pt idx="50" formatCode="0.0">
                  <c:v>9.257575757575752E-2</c:v>
                </c:pt>
                <c:pt idx="51" formatCode="0.0">
                  <c:v>9.0934343434343354E-2</c:v>
                </c:pt>
                <c:pt idx="52" formatCode="0.0">
                  <c:v>0.10184343434343451</c:v>
                </c:pt>
                <c:pt idx="53" formatCode="0.0">
                  <c:v>9.6287878787878908E-2</c:v>
                </c:pt>
                <c:pt idx="54" formatCode="0.0">
                  <c:v>6.5555555555555631E-2</c:v>
                </c:pt>
                <c:pt idx="55" formatCode="0.0">
                  <c:v>3.835858585858596E-2</c:v>
                </c:pt>
                <c:pt idx="56" formatCode="0.0">
                  <c:v>2.0151515151515233E-2</c:v>
                </c:pt>
                <c:pt idx="57" formatCode="0.0">
                  <c:v>-6.212121212121214E-3</c:v>
                </c:pt>
                <c:pt idx="58" formatCode="0.0">
                  <c:v>-2.113636363636363E-2</c:v>
                </c:pt>
                <c:pt idx="59" formatCode="0.0">
                  <c:v>-3.0959595959595954E-2</c:v>
                </c:pt>
                <c:pt idx="60" formatCode="0.0">
                  <c:v>-4.6035353535353547E-2</c:v>
                </c:pt>
                <c:pt idx="61" formatCode="0.0">
                  <c:v>-3.8383838383838249E-2</c:v>
                </c:pt>
                <c:pt idx="62" formatCode="0.0">
                  <c:v>-4.2020202020202131E-2</c:v>
                </c:pt>
                <c:pt idx="63" formatCode="0.0">
                  <c:v>-4.4191919191919317E-2</c:v>
                </c:pt>
                <c:pt idx="64" formatCode="0.0">
                  <c:v>-3.8838383838383936E-2</c:v>
                </c:pt>
                <c:pt idx="65" formatCode="0.0">
                  <c:v>-4.1742424242424227E-2</c:v>
                </c:pt>
                <c:pt idx="66" formatCode="0.0">
                  <c:v>-6.3989898989898986E-2</c:v>
                </c:pt>
                <c:pt idx="67" formatCode="0.0">
                  <c:v>-7.987373737373718E-2</c:v>
                </c:pt>
                <c:pt idx="68" formatCode="0.0">
                  <c:v>-9.4520202020201852E-2</c:v>
                </c:pt>
                <c:pt idx="69" formatCode="0.0">
                  <c:v>-0.12388888888888872</c:v>
                </c:pt>
                <c:pt idx="70" formatCode="0.0">
                  <c:v>-0.15171717171717153</c:v>
                </c:pt>
                <c:pt idx="71" formatCode="0.0">
                  <c:v>-0.1869191919191919</c:v>
                </c:pt>
                <c:pt idx="72" formatCode="0.0">
                  <c:v>-0.22373737373737368</c:v>
                </c:pt>
                <c:pt idx="73" formatCode="0.0">
                  <c:v>-0.2442929292929292</c:v>
                </c:pt>
                <c:pt idx="74" formatCode="0.0">
                  <c:v>-0.27265151515151503</c:v>
                </c:pt>
                <c:pt idx="75" formatCode="0.0">
                  <c:v>-0.28381313131313118</c:v>
                </c:pt>
                <c:pt idx="76" formatCode="0.0">
                  <c:v>-0.28409090909090912</c:v>
                </c:pt>
                <c:pt idx="77" formatCode="0.0">
                  <c:v>-0.27457070707070713</c:v>
                </c:pt>
                <c:pt idx="78" formatCode="0.0">
                  <c:v>-0.26520202020202033</c:v>
                </c:pt>
                <c:pt idx="79" formatCode="0.0">
                  <c:v>-0.24181818181818199</c:v>
                </c:pt>
                <c:pt idx="80" formatCode="0.0">
                  <c:v>-0.20398989898989922</c:v>
                </c:pt>
                <c:pt idx="81" formatCode="0.0">
                  <c:v>-0.1728030303030306</c:v>
                </c:pt>
                <c:pt idx="82" formatCode="0.0">
                  <c:v>-0.1246212121212123</c:v>
                </c:pt>
                <c:pt idx="83" formatCode="0.0">
                  <c:v>-0.10325757575757599</c:v>
                </c:pt>
                <c:pt idx="84" formatCode="0.0">
                  <c:v>-7.070707070707094E-2</c:v>
                </c:pt>
                <c:pt idx="85" formatCode="0.0">
                  <c:v>-2.8434343434343843E-2</c:v>
                </c:pt>
                <c:pt idx="86" formatCode="0.0">
                  <c:v>-3.5353535353539263E-3</c:v>
                </c:pt>
                <c:pt idx="87" formatCode="0.0">
                  <c:v>1.7752525252524878E-2</c:v>
                </c:pt>
                <c:pt idx="88" formatCode="0.0">
                  <c:v>3.4494949494949072E-2</c:v>
                </c:pt>
                <c:pt idx="89" formatCode="0.0">
                  <c:v>5.42929292929289E-2</c:v>
                </c:pt>
                <c:pt idx="90" formatCode="0.0">
                  <c:v>6.2929292929292752E-2</c:v>
                </c:pt>
                <c:pt idx="91" formatCode="0.0">
                  <c:v>7.0479797979797934E-2</c:v>
                </c:pt>
                <c:pt idx="92" formatCode="0.0">
                  <c:v>6.9848484848484785E-2</c:v>
                </c:pt>
                <c:pt idx="93" formatCode="0.0">
                  <c:v>8.1388888888888941E-2</c:v>
                </c:pt>
                <c:pt idx="94" formatCode="0.0">
                  <c:v>0.10356060606060619</c:v>
                </c:pt>
                <c:pt idx="95" formatCode="0.0">
                  <c:v>0.12636363636363657</c:v>
                </c:pt>
                <c:pt idx="96" formatCode="0.0">
                  <c:v>0.15426767676767705</c:v>
                </c:pt>
                <c:pt idx="97" formatCode="0.0">
                  <c:v>0.1803535353535356</c:v>
                </c:pt>
                <c:pt idx="98" formatCode="0.0">
                  <c:v>0.22123737373737401</c:v>
                </c:pt>
                <c:pt idx="99" formatCode="0.0">
                  <c:v>0.25015151515151551</c:v>
                </c:pt>
                <c:pt idx="100" formatCode="0.0">
                  <c:v>0.26823232323232349</c:v>
                </c:pt>
                <c:pt idx="101" formatCode="0.0">
                  <c:v>0.27851010101010121</c:v>
                </c:pt>
                <c:pt idx="102" formatCode="0.0">
                  <c:v>0.28878787878787887</c:v>
                </c:pt>
                <c:pt idx="103" formatCode="0.0">
                  <c:v>0.31106060606060609</c:v>
                </c:pt>
                <c:pt idx="104" formatCode="0.0">
                  <c:v>0.31717171717171699</c:v>
                </c:pt>
                <c:pt idx="105" formatCode="0.0">
                  <c:v>0.30825757575757556</c:v>
                </c:pt>
                <c:pt idx="106" formatCode="0.0">
                  <c:v>0.29464646464646455</c:v>
                </c:pt>
                <c:pt idx="107" formatCode="0.0">
                  <c:v>0.30083333333333329</c:v>
                </c:pt>
                <c:pt idx="108" formatCode="0.0">
                  <c:v>0.29156565656565658</c:v>
                </c:pt>
                <c:pt idx="109" formatCode="0.0">
                  <c:v>0.27848484848484856</c:v>
                </c:pt>
                <c:pt idx="110" formatCode="0.0">
                  <c:v>0.27184343434343428</c:v>
                </c:pt>
                <c:pt idx="111" formatCode="0.0">
                  <c:v>0.2818434343434344</c:v>
                </c:pt>
                <c:pt idx="112" formatCode="0.0">
                  <c:v>0.28755050505050517</c:v>
                </c:pt>
                <c:pt idx="113" formatCode="0.0">
                  <c:v>0.29727272727272741</c:v>
                </c:pt>
                <c:pt idx="114" formatCode="0.0">
                  <c:v>0.29363636363636397</c:v>
                </c:pt>
                <c:pt idx="115" formatCode="0.0">
                  <c:v>0.29873737373737408</c:v>
                </c:pt>
                <c:pt idx="116" formatCode="0.0">
                  <c:v>0.31565656565656591</c:v>
                </c:pt>
                <c:pt idx="117" formatCode="0.0">
                  <c:v>0.29608585858585879</c:v>
                </c:pt>
                <c:pt idx="118" formatCode="0.0">
                  <c:v>0.27772727272727288</c:v>
                </c:pt>
                <c:pt idx="119" formatCode="0.0">
                  <c:v>0.28080808080808095</c:v>
                </c:pt>
                <c:pt idx="120" formatCode="0.0">
                  <c:v>0.27734848484848501</c:v>
                </c:pt>
                <c:pt idx="121" formatCode="0.0">
                  <c:v>0.28406565656565663</c:v>
                </c:pt>
                <c:pt idx="122" formatCode="0.0">
                  <c:v>0.2992424242424242</c:v>
                </c:pt>
                <c:pt idx="123" formatCode="0.0">
                  <c:v>0.32444444444444431</c:v>
                </c:pt>
                <c:pt idx="124" formatCode="0.0">
                  <c:v>0.36752525252525231</c:v>
                </c:pt>
                <c:pt idx="125" formatCode="0.0">
                  <c:v>0.38770202020201983</c:v>
                </c:pt>
                <c:pt idx="126" formatCode="0.0">
                  <c:v>0.39249999999999974</c:v>
                </c:pt>
                <c:pt idx="127" formatCode="0.0">
                  <c:v>0.3954040404040402</c:v>
                </c:pt>
                <c:pt idx="128" formatCode="0.0">
                  <c:v>0.41767676767676742</c:v>
                </c:pt>
                <c:pt idx="129" formatCode="0.0">
                  <c:v>0.40613636363636324</c:v>
                </c:pt>
                <c:pt idx="130" formatCode="0.0">
                  <c:v>0.38997474747474714</c:v>
                </c:pt>
                <c:pt idx="131" formatCode="0.0">
                  <c:v>0.35545454545454513</c:v>
                </c:pt>
                <c:pt idx="132" formatCode="0.0">
                  <c:v>0.30055555555555541</c:v>
                </c:pt>
                <c:pt idx="133" formatCode="0.0">
                  <c:v>0.22002525252525243</c:v>
                </c:pt>
                <c:pt idx="134" formatCode="0.0">
                  <c:v>0.12156565656565652</c:v>
                </c:pt>
                <c:pt idx="135" formatCode="0.0">
                  <c:v>7.7525252525254143E-3</c:v>
                </c:pt>
                <c:pt idx="136" formatCode="0.0">
                  <c:v>-7.8333333333333144E-2</c:v>
                </c:pt>
                <c:pt idx="137" formatCode="0.0">
                  <c:v>-0.13676767676767668</c:v>
                </c:pt>
                <c:pt idx="138" formatCode="0.0">
                  <c:v>-0.18921717171717167</c:v>
                </c:pt>
                <c:pt idx="139" formatCode="0.0">
                  <c:v>-0.22212121212121197</c:v>
                </c:pt>
                <c:pt idx="140" formatCode="0.0">
                  <c:v>-0.2311363636363635</c:v>
                </c:pt>
                <c:pt idx="141" formatCode="0.0">
                  <c:v>-0.22525252525252526</c:v>
                </c:pt>
                <c:pt idx="142" formatCode="0.0">
                  <c:v>-0.20161616161616164</c:v>
                </c:pt>
                <c:pt idx="143" formatCode="0.0">
                  <c:v>-0.17727272727272722</c:v>
                </c:pt>
                <c:pt idx="144" formatCode="0.0">
                  <c:v>-0.1356313131313131</c:v>
                </c:pt>
                <c:pt idx="145" formatCode="0.0">
                  <c:v>-7.4646464646464683E-2</c:v>
                </c:pt>
                <c:pt idx="146" formatCode="0.0">
                  <c:v>-1.5277777777777985E-2</c:v>
                </c:pt>
                <c:pt idx="147" formatCode="0.0">
                  <c:v>3.4722222222222078E-2</c:v>
                </c:pt>
                <c:pt idx="148" formatCode="0.0">
                  <c:v>7.2525252525252562E-2</c:v>
                </c:pt>
                <c:pt idx="149" formatCode="0.0">
                  <c:v>0.11060606060606061</c:v>
                </c:pt>
                <c:pt idx="150" formatCode="0.0">
                  <c:v>0.12689393939393945</c:v>
                </c:pt>
                <c:pt idx="151" formatCode="0.0">
                  <c:v>0.13909090909090935</c:v>
                </c:pt>
                <c:pt idx="152" formatCode="0.0">
                  <c:v>0.13909090909090935</c:v>
                </c:pt>
                <c:pt idx="153" formatCode="0.0">
                  <c:v>0.15325757575757606</c:v>
                </c:pt>
                <c:pt idx="154" formatCode="0.0">
                  <c:v>0.17881313131313156</c:v>
                </c:pt>
                <c:pt idx="155" formatCode="0.0">
                  <c:v>0.18881313131313152</c:v>
                </c:pt>
                <c:pt idx="156" formatCode="0.0">
                  <c:v>0.19318181818181851</c:v>
                </c:pt>
                <c:pt idx="157" formatCode="0.0">
                  <c:v>0.19143939393939424</c:v>
                </c:pt>
                <c:pt idx="158" formatCode="0.0">
                  <c:v>0.19108585858585883</c:v>
                </c:pt>
                <c:pt idx="159" formatCode="0.0">
                  <c:v>0.17118686868686889</c:v>
                </c:pt>
                <c:pt idx="160" formatCode="0.0">
                  <c:v>0.14101010101010125</c:v>
                </c:pt>
                <c:pt idx="161" formatCode="0.0">
                  <c:v>0.10737373737373752</c:v>
                </c:pt>
                <c:pt idx="162" formatCode="0.0">
                  <c:v>7.0631313131313267E-2</c:v>
                </c:pt>
                <c:pt idx="163" formatCode="0.0">
                  <c:v>4.964646464646482E-2</c:v>
                </c:pt>
                <c:pt idx="164" formatCode="0.0">
                  <c:v>1.3459595959596045E-2</c:v>
                </c:pt>
                <c:pt idx="165" formatCode="0.0">
                  <c:v>-3.5353535353524734E-4</c:v>
                </c:pt>
                <c:pt idx="166" formatCode="0.0">
                  <c:v>-2.8914141414141333E-2</c:v>
                </c:pt>
                <c:pt idx="167" formatCode="0.0">
                  <c:v>-5.1085858585858575E-2</c:v>
                </c:pt>
                <c:pt idx="168" formatCode="0.0">
                  <c:v>-7.5808080808080713E-2</c:v>
                </c:pt>
                <c:pt idx="169" formatCode="0.0">
                  <c:v>-8.9191919191919086E-2</c:v>
                </c:pt>
                <c:pt idx="170" formatCode="0.0">
                  <c:v>-7.265151515151512E-2</c:v>
                </c:pt>
                <c:pt idx="171" formatCode="0.0">
                  <c:v>-4.229797979797971E-2</c:v>
                </c:pt>
                <c:pt idx="172" formatCode="0.0">
                  <c:v>1.0883838383838551E-2</c:v>
                </c:pt>
                <c:pt idx="173" formatCode="0.0">
                  <c:v>3.9444444444444476E-2</c:v>
                </c:pt>
                <c:pt idx="174" formatCode="0.0">
                  <c:v>6.3636363636363727E-2</c:v>
                </c:pt>
                <c:pt idx="175" formatCode="0.0">
                  <c:v>8.8914141414141501E-2</c:v>
                </c:pt>
                <c:pt idx="176" formatCode="0.0">
                  <c:v>9.3914141414141478E-2</c:v>
                </c:pt>
                <c:pt idx="177" formatCode="0.0">
                  <c:v>0.10863636363636382</c:v>
                </c:pt>
                <c:pt idx="178" formatCode="0.0">
                  <c:v>0.1487121212121213</c:v>
                </c:pt>
                <c:pt idx="179" formatCode="0.0">
                  <c:v>0.19936868686868678</c:v>
                </c:pt>
                <c:pt idx="180" formatCode="0.0">
                  <c:v>0.23255050505050498</c:v>
                </c:pt>
                <c:pt idx="181" formatCode="0.0">
                  <c:v>0.21325757575757559</c:v>
                </c:pt>
                <c:pt idx="182" formatCode="0.0">
                  <c:v>0.1583585858585855</c:v>
                </c:pt>
                <c:pt idx="183" formatCode="0.0">
                  <c:v>9.9444444444444002E-2</c:v>
                </c:pt>
                <c:pt idx="184" formatCode="0.0">
                  <c:v>5.1616161616161123E-2</c:v>
                </c:pt>
                <c:pt idx="185" formatCode="0.0">
                  <c:v>-1.0580808080808685E-2</c:v>
                </c:pt>
                <c:pt idx="186" formatCode="0.0">
                  <c:v>-5.5757575757576235E-2</c:v>
                </c:pt>
                <c:pt idx="187" formatCode="0.0">
                  <c:v>-0.10320707070707126</c:v>
                </c:pt>
                <c:pt idx="188" formatCode="0.0">
                  <c:v>-0.1850000000000005</c:v>
                </c:pt>
                <c:pt idx="189" formatCode="0.0">
                  <c:v>-0.31227272727272765</c:v>
                </c:pt>
                <c:pt idx="190" formatCode="0.0">
                  <c:v>-0.44709595959595982</c:v>
                </c:pt>
                <c:pt idx="191" formatCode="0.0">
                  <c:v>-0.53707070707070725</c:v>
                </c:pt>
                <c:pt idx="192" formatCode="0.0">
                  <c:v>-0.57777777777777783</c:v>
                </c:pt>
                <c:pt idx="193" formatCode="0.0">
                  <c:v>-0.61823232323232313</c:v>
                </c:pt>
                <c:pt idx="194" formatCode="0.0">
                  <c:v>-0.68505050505050491</c:v>
                </c:pt>
                <c:pt idx="195" formatCode="0.0">
                  <c:v>-0.7217676767676765</c:v>
                </c:pt>
                <c:pt idx="196" formatCode="0.0">
                  <c:v>-0.7476767676767675</c:v>
                </c:pt>
                <c:pt idx="197" formatCode="0.0">
                  <c:v>-0.78823232323232306</c:v>
                </c:pt>
                <c:pt idx="198" formatCode="0.0">
                  <c:v>-0.80368686868686856</c:v>
                </c:pt>
                <c:pt idx="199" formatCode="0.0">
                  <c:v>-0.76351010101010097</c:v>
                </c:pt>
                <c:pt idx="200" formatCode="0.0">
                  <c:v>-0.71050505050505042</c:v>
                </c:pt>
                <c:pt idx="201" formatCode="0.0">
                  <c:v>-0.65550505050505059</c:v>
                </c:pt>
                <c:pt idx="202" formatCode="0.0">
                  <c:v>-0.62507575757575762</c:v>
                </c:pt>
                <c:pt idx="203" formatCode="0.0">
                  <c:v>-0.58035353535353551</c:v>
                </c:pt>
                <c:pt idx="204" formatCode="0.0">
                  <c:v>-0.50290404040404058</c:v>
                </c:pt>
                <c:pt idx="205" formatCode="0.0">
                  <c:v>-0.43601010101010118</c:v>
                </c:pt>
                <c:pt idx="206" formatCode="0.0">
                  <c:v>-0.38646464646464662</c:v>
                </c:pt>
                <c:pt idx="207" formatCode="0.0">
                  <c:v>-0.32734848484848489</c:v>
                </c:pt>
                <c:pt idx="208" formatCode="0.0">
                  <c:v>-0.28727272727272746</c:v>
                </c:pt>
                <c:pt idx="209" formatCode="0.0">
                  <c:v>-0.28128787878787892</c:v>
                </c:pt>
                <c:pt idx="210" formatCode="0.0">
                  <c:v>-0.29484848484848508</c:v>
                </c:pt>
                <c:pt idx="211" formatCode="0.0">
                  <c:v>-0.3064898989898992</c:v>
                </c:pt>
                <c:pt idx="212" formatCode="0.0">
                  <c:v>-0.33121212121212129</c:v>
                </c:pt>
                <c:pt idx="213" formatCode="0.0">
                  <c:v>-0.37366161616161636</c:v>
                </c:pt>
                <c:pt idx="214" formatCode="0.0">
                  <c:v>-0.42404040404040411</c:v>
                </c:pt>
                <c:pt idx="215" formatCode="0.0">
                  <c:v>-0.46830808080808078</c:v>
                </c:pt>
                <c:pt idx="216" formatCode="0.0">
                  <c:v>-0.49638888888888888</c:v>
                </c:pt>
                <c:pt idx="217" formatCode="0.0">
                  <c:v>-0.54012626262626273</c:v>
                </c:pt>
                <c:pt idx="218" formatCode="0.0">
                  <c:v>-0.59848484848484851</c:v>
                </c:pt>
                <c:pt idx="219" formatCode="0.0">
                  <c:v>-0.6357323232323232</c:v>
                </c:pt>
                <c:pt idx="220" formatCode="0.0">
                  <c:v>-0.64280303030303021</c:v>
                </c:pt>
                <c:pt idx="221" formatCode="0.0">
                  <c:v>-0.65861111111111093</c:v>
                </c:pt>
                <c:pt idx="222" formatCode="0.0">
                  <c:v>-0.66169191919191905</c:v>
                </c:pt>
                <c:pt idx="223" formatCode="0.0">
                  <c:v>-0.64398989898989878</c:v>
                </c:pt>
                <c:pt idx="224" formatCode="0.0">
                  <c:v>-0.64343434343434314</c:v>
                </c:pt>
                <c:pt idx="225" formatCode="0.0">
                  <c:v>-0.65260101010100979</c:v>
                </c:pt>
                <c:pt idx="226" formatCode="0.0">
                  <c:v>-0.65525252525252498</c:v>
                </c:pt>
                <c:pt idx="227" formatCode="0.0">
                  <c:v>-0.64881313131313112</c:v>
                </c:pt>
                <c:pt idx="228" formatCode="0.0">
                  <c:v>-0.61845959595959565</c:v>
                </c:pt>
                <c:pt idx="229" formatCode="0.0">
                  <c:v>-0.58729797979797949</c:v>
                </c:pt>
                <c:pt idx="230" formatCode="0.0">
                  <c:v>-0.56704545454545408</c:v>
                </c:pt>
                <c:pt idx="231" formatCode="0.0">
                  <c:v>-0.53196969696969665</c:v>
                </c:pt>
                <c:pt idx="232" formatCode="0.0">
                  <c:v>-0.49242424242424204</c:v>
                </c:pt>
                <c:pt idx="233" formatCode="0.0">
                  <c:v>-0.46522727272727238</c:v>
                </c:pt>
                <c:pt idx="234" formatCode="0.0">
                  <c:v>-0.42648989898989886</c:v>
                </c:pt>
                <c:pt idx="235" formatCode="0.0">
                  <c:v>-0.38085858585858579</c:v>
                </c:pt>
                <c:pt idx="236" formatCode="0.0">
                  <c:v>-0.3470454545454546</c:v>
                </c:pt>
                <c:pt idx="237" formatCode="0.0">
                  <c:v>-0.31820707070707077</c:v>
                </c:pt>
                <c:pt idx="238" formatCode="0.0">
                  <c:v>-0.29636363636363633</c:v>
                </c:pt>
                <c:pt idx="239" formatCode="0.0">
                  <c:v>-0.28199494949494958</c:v>
                </c:pt>
                <c:pt idx="240" formatCode="0.0">
                  <c:v>-0.26262626262626282</c:v>
                </c:pt>
                <c:pt idx="241" formatCode="0.0">
                  <c:v>-0.26924242424242451</c:v>
                </c:pt>
                <c:pt idx="242" formatCode="0.0">
                  <c:v>-0.28452020202020234</c:v>
                </c:pt>
                <c:pt idx="243" formatCode="0.0">
                  <c:v>-0.32542929292929335</c:v>
                </c:pt>
                <c:pt idx="244" formatCode="0.0">
                  <c:v>-0.37252525252525276</c:v>
                </c:pt>
                <c:pt idx="245" formatCode="0.0">
                  <c:v>-0.43441919191919209</c:v>
                </c:pt>
                <c:pt idx="246" formatCode="0.0">
                  <c:v>-0.45732323232323241</c:v>
                </c:pt>
                <c:pt idx="247" formatCode="0.0">
                  <c:v>-0.50785353535353539</c:v>
                </c:pt>
                <c:pt idx="248" formatCode="0.0">
                  <c:v>-0.54977272727272741</c:v>
                </c:pt>
                <c:pt idx="249" formatCode="0.0">
                  <c:v>-0.59032828282828298</c:v>
                </c:pt>
                <c:pt idx="250" formatCode="0.0">
                  <c:v>-0.65060606060606074</c:v>
                </c:pt>
                <c:pt idx="251" formatCode="0.0">
                  <c:v>-0.70724747474747474</c:v>
                </c:pt>
                <c:pt idx="252" formatCode="0.0">
                  <c:v>-0.71787878787878789</c:v>
                </c:pt>
                <c:pt idx="253" formatCode="0.0">
                  <c:v>-0.75641414141414132</c:v>
                </c:pt>
                <c:pt idx="254" formatCode="0.0">
                  <c:v>-0.7556060606060605</c:v>
                </c:pt>
                <c:pt idx="255" formatCode="0.0">
                  <c:v>-0.71570707070707063</c:v>
                </c:pt>
                <c:pt idx="256" formatCode="0.0">
                  <c:v>-0.69217171717171722</c:v>
                </c:pt>
                <c:pt idx="257" formatCode="0.0">
                  <c:v>-0.67800505050505044</c:v>
                </c:pt>
                <c:pt idx="258" formatCode="0.0">
                  <c:v>-0.68065656565656563</c:v>
                </c:pt>
                <c:pt idx="259" formatCode="0.0">
                  <c:v>-0.73320707070707059</c:v>
                </c:pt>
                <c:pt idx="260" formatCode="0.0">
                  <c:v>-0.6584595959595958</c:v>
                </c:pt>
                <c:pt idx="261" formatCode="0.0">
                  <c:v>-0.56128787878787856</c:v>
                </c:pt>
                <c:pt idx="262" formatCode="0.0">
                  <c:v>-0.49512626262626258</c:v>
                </c:pt>
                <c:pt idx="263" formatCode="0.0">
                  <c:v>-0.45151515151515154</c:v>
                </c:pt>
                <c:pt idx="264" formatCode="0.0">
                  <c:v>-0.41159090909090906</c:v>
                </c:pt>
                <c:pt idx="265" formatCode="0.0">
                  <c:v>-0.39714646464646464</c:v>
                </c:pt>
                <c:pt idx="266" formatCode="0.0">
                  <c:v>-0.40361111111111114</c:v>
                </c:pt>
                <c:pt idx="267" formatCode="0.0">
                  <c:v>-0.36234848484848486</c:v>
                </c:pt>
                <c:pt idx="268" formatCode="0.0">
                  <c:v>-0.30325757575757595</c:v>
                </c:pt>
                <c:pt idx="269" formatCode="0.0">
                  <c:v>-0.17032828282828288</c:v>
                </c:pt>
                <c:pt idx="270" formatCode="0.0">
                  <c:v>-8.5328282828283003E-2</c:v>
                </c:pt>
                <c:pt idx="271" formatCode="0.0">
                  <c:v>-0.11169191919191929</c:v>
                </c:pt>
                <c:pt idx="272" formatCode="0.0">
                  <c:v>-0.13858585858585845</c:v>
                </c:pt>
                <c:pt idx="273" formatCode="0.0">
                  <c:v>-0.11729797979797964</c:v>
                </c:pt>
                <c:pt idx="274" formatCode="0.0">
                  <c:v>-6.7020202020201841E-2</c:v>
                </c:pt>
                <c:pt idx="275" formatCode="0.0">
                  <c:v>-1.4646464646464514E-2</c:v>
                </c:pt>
                <c:pt idx="276" formatCode="0.0">
                  <c:v>1.4747474747474953E-2</c:v>
                </c:pt>
                <c:pt idx="277" formatCode="0.0">
                  <c:v>3.030303030305119E-4</c:v>
                </c:pt>
                <c:pt idx="278" formatCode="0.0">
                  <c:v>-3.5404040404039966E-2</c:v>
                </c:pt>
                <c:pt idx="279" formatCode="0.0">
                  <c:v>-9.2777777777777418E-2</c:v>
                </c:pt>
                <c:pt idx="280" formatCode="0.0">
                  <c:v>-0.20742424242424207</c:v>
                </c:pt>
                <c:pt idx="281" formatCode="0.0">
                  <c:v>-0.23169191919191884</c:v>
                </c:pt>
                <c:pt idx="282" formatCode="0.0">
                  <c:v>-0.27088383838383834</c:v>
                </c:pt>
                <c:pt idx="283" formatCode="0.0">
                  <c:v>-0.29361111111111121</c:v>
                </c:pt>
                <c:pt idx="284" formatCode="0.0">
                  <c:v>-0.33189393939393952</c:v>
                </c:pt>
                <c:pt idx="285" formatCode="0.0">
                  <c:v>-0.32926767676767699</c:v>
                </c:pt>
                <c:pt idx="286" formatCode="0.0">
                  <c:v>-0.30184343434343447</c:v>
                </c:pt>
                <c:pt idx="287" formatCode="0.0">
                  <c:v>-0.25138888888888905</c:v>
                </c:pt>
                <c:pt idx="288" formatCode="0.0">
                  <c:v>-0.15931818181818211</c:v>
                </c:pt>
                <c:pt idx="289" formatCode="0.0">
                  <c:v>-5.148989898989953E-2</c:v>
                </c:pt>
                <c:pt idx="290" formatCode="0.0">
                  <c:v>6.5151515151514516E-2</c:v>
                </c:pt>
                <c:pt idx="291" formatCode="0.0">
                  <c:v>0.20696969696969622</c:v>
                </c:pt>
                <c:pt idx="292" formatCode="0.0">
                  <c:v>0.35070707070706997</c:v>
                </c:pt>
                <c:pt idx="293" formatCode="0.0">
                  <c:v>0.50063131313131248</c:v>
                </c:pt>
                <c:pt idx="294" formatCode="0.0">
                  <c:v>0.619646464646464</c:v>
                </c:pt>
                <c:pt idx="295" formatCode="0.0">
                  <c:v>0.69111111111111068</c:v>
                </c:pt>
                <c:pt idx="296" formatCode="0.0">
                  <c:v>0.70005050505050448</c:v>
                </c:pt>
                <c:pt idx="297" formatCode="0.0">
                  <c:v>0.70833333333333282</c:v>
                </c:pt>
                <c:pt idx="298" formatCode="0.0">
                  <c:v>0.75787878787878737</c:v>
                </c:pt>
                <c:pt idx="299" formatCode="0.0">
                  <c:v>0.79787878787878763</c:v>
                </c:pt>
                <c:pt idx="300" formatCode="0.0">
                  <c:v>0.81078282828282833</c:v>
                </c:pt>
                <c:pt idx="301" formatCode="0.0">
                  <c:v>0.81133838383838419</c:v>
                </c:pt>
                <c:pt idx="302" formatCode="0.0">
                  <c:v>0.80696969696969734</c:v>
                </c:pt>
                <c:pt idx="303" formatCode="0.0">
                  <c:v>0.81487373737373792</c:v>
                </c:pt>
                <c:pt idx="304" formatCode="0.0">
                  <c:v>0.84974747474747536</c:v>
                </c:pt>
                <c:pt idx="305" formatCode="0.0">
                  <c:v>0.87292929292929344</c:v>
                </c:pt>
                <c:pt idx="306" formatCode="0.0">
                  <c:v>0.92429292929292972</c:v>
                </c:pt>
                <c:pt idx="307" formatCode="0.0">
                  <c:v>0.98199494949495003</c:v>
                </c:pt>
                <c:pt idx="308" formatCode="0.0">
                  <c:v>0.98762626262626307</c:v>
                </c:pt>
                <c:pt idx="309" formatCode="0.0">
                  <c:v>0.94598484848484898</c:v>
                </c:pt>
                <c:pt idx="310" formatCode="0.0">
                  <c:v>0.89772727272727304</c:v>
                </c:pt>
                <c:pt idx="311" formatCode="0.0">
                  <c:v>0.82497474747474753</c:v>
                </c:pt>
                <c:pt idx="312" formatCode="0.0">
                  <c:v>0.75487373737373742</c:v>
                </c:pt>
                <c:pt idx="313" formatCode="0.0">
                  <c:v>0.68904040404040401</c:v>
                </c:pt>
                <c:pt idx="314" formatCode="0.0">
                  <c:v>0.57287878787878777</c:v>
                </c:pt>
                <c:pt idx="315" formatCode="0.0">
                  <c:v>0.44371212121212122</c:v>
                </c:pt>
                <c:pt idx="316" formatCode="0.0">
                  <c:v>0.35651515151515151</c:v>
                </c:pt>
                <c:pt idx="317" formatCode="0.0">
                  <c:v>0.2859848484848484</c:v>
                </c:pt>
                <c:pt idx="318" formatCode="0.0">
                  <c:v>0.21419191919191907</c:v>
                </c:pt>
                <c:pt idx="319" formatCode="0.0">
                  <c:v>0.21436868686868671</c:v>
                </c:pt>
                <c:pt idx="320" formatCode="0.0">
                  <c:v>0.2484595959595958</c:v>
                </c:pt>
                <c:pt idx="321" formatCode="0.0">
                  <c:v>0.28583333333333322</c:v>
                </c:pt>
                <c:pt idx="322" formatCode="0.0">
                  <c:v>0.3468434343434344</c:v>
                </c:pt>
                <c:pt idx="323" formatCode="0.0">
                  <c:v>0.39631313131313123</c:v>
                </c:pt>
                <c:pt idx="324" formatCode="0.0">
                  <c:v>0.44393939393939391</c:v>
                </c:pt>
                <c:pt idx="325" formatCode="0.0">
                  <c:v>0.52446969696969681</c:v>
                </c:pt>
                <c:pt idx="326" formatCode="0.0">
                  <c:v>0.58537878787878772</c:v>
                </c:pt>
                <c:pt idx="327" formatCode="0.0">
                  <c:v>0.6491919191919191</c:v>
                </c:pt>
                <c:pt idx="328" formatCode="0.0">
                  <c:v>0.71262626262626261</c:v>
                </c:pt>
                <c:pt idx="329" formatCode="0.0">
                  <c:v>0.7420707070707071</c:v>
                </c:pt>
                <c:pt idx="330" formatCode="0.0">
                  <c:v>0.72361111111111109</c:v>
                </c:pt>
                <c:pt idx="331" formatCode="0.0">
                  <c:v>0.71214646464646481</c:v>
                </c:pt>
                <c:pt idx="332" formatCode="0.0">
                  <c:v>0.68424242424242432</c:v>
                </c:pt>
                <c:pt idx="333" formatCode="0.0">
                  <c:v>0.62732323232323239</c:v>
                </c:pt>
                <c:pt idx="334" formatCode="0.0">
                  <c:v>0.59260101010101007</c:v>
                </c:pt>
                <c:pt idx="335" formatCode="0.0">
                  <c:v>0.53752525252525263</c:v>
                </c:pt>
                <c:pt idx="336" formatCode="0.0">
                  <c:v>0.47325757575757588</c:v>
                </c:pt>
                <c:pt idx="337" formatCode="0.0">
                  <c:v>0.4001767676767678</c:v>
                </c:pt>
                <c:pt idx="338" formatCode="0.0">
                  <c:v>0.31199494949494971</c:v>
                </c:pt>
                <c:pt idx="339" formatCode="0.0">
                  <c:v>0.21782828282828295</c:v>
                </c:pt>
                <c:pt idx="340" formatCode="0.0">
                  <c:v>0.15656565656565666</c:v>
                </c:pt>
                <c:pt idx="341" formatCode="0.0">
                  <c:v>0.11876262626262633</c:v>
                </c:pt>
                <c:pt idx="342" formatCode="0.0">
                  <c:v>8.0858585858585741E-2</c:v>
                </c:pt>
                <c:pt idx="343" formatCode="0.0">
                  <c:v>7.2398989898989838E-2</c:v>
                </c:pt>
                <c:pt idx="344" formatCode="0.0">
                  <c:v>7.5782828282828257E-2</c:v>
                </c:pt>
                <c:pt idx="345" formatCode="0.0">
                  <c:v>8.5126262626262605E-2</c:v>
                </c:pt>
                <c:pt idx="346" formatCode="0.0">
                  <c:v>0.14229797979797984</c:v>
                </c:pt>
                <c:pt idx="347" formatCode="0.0">
                  <c:v>0.22909090909090904</c:v>
                </c:pt>
                <c:pt idx="348" formatCode="0.0">
                  <c:v>0.30262626262626247</c:v>
                </c:pt>
                <c:pt idx="349" formatCode="0.0">
                  <c:v>0.34535353535353508</c:v>
                </c:pt>
                <c:pt idx="350" formatCode="0.0">
                  <c:v>0.3474242424242423</c:v>
                </c:pt>
                <c:pt idx="351" formatCode="0.0">
                  <c:v>0.31376262626262613</c:v>
                </c:pt>
                <c:pt idx="352" formatCode="0.0">
                  <c:v>0.26967171717171712</c:v>
                </c:pt>
                <c:pt idx="353" formatCode="0.0">
                  <c:v>0.22757575757575763</c:v>
                </c:pt>
                <c:pt idx="354" formatCode="0.0">
                  <c:v>0.17156565656565659</c:v>
                </c:pt>
                <c:pt idx="355" formatCode="0.0">
                  <c:v>0.12065656565656563</c:v>
                </c:pt>
                <c:pt idx="356" formatCode="0.0">
                  <c:v>4.6666666666666697E-2</c:v>
                </c:pt>
                <c:pt idx="357" formatCode="0.0">
                  <c:v>-7.6666666666666702E-2</c:v>
                </c:pt>
                <c:pt idx="358" formatCode="0.0">
                  <c:v>-0.20856060606060597</c:v>
                </c:pt>
                <c:pt idx="359" formatCode="0.0">
                  <c:v>-0.2940151515151514</c:v>
                </c:pt>
                <c:pt idx="360" formatCode="0.0">
                  <c:v>-0.33356060606060595</c:v>
                </c:pt>
                <c:pt idx="361" formatCode="0.0">
                  <c:v>-0.32835858585858591</c:v>
                </c:pt>
                <c:pt idx="362" formatCode="0.0">
                  <c:v>-0.28926767676767667</c:v>
                </c:pt>
                <c:pt idx="363" formatCode="0.0">
                  <c:v>-0.25290404040404046</c:v>
                </c:pt>
                <c:pt idx="364" formatCode="0.0">
                  <c:v>-0.20898989898989903</c:v>
                </c:pt>
                <c:pt idx="365" formatCode="0.0">
                  <c:v>-0.15808080808080807</c:v>
                </c:pt>
                <c:pt idx="366" formatCode="0.0">
                  <c:v>-0.13363636363636369</c:v>
                </c:pt>
                <c:pt idx="367" formatCode="0.0">
                  <c:v>-0.12164141414141418</c:v>
                </c:pt>
                <c:pt idx="368" formatCode="0.0">
                  <c:v>-8.5656565656565806E-2</c:v>
                </c:pt>
                <c:pt idx="369" formatCode="0.0">
                  <c:v>-5.8459595959596135E-2</c:v>
                </c:pt>
                <c:pt idx="370" formatCode="0.0">
                  <c:v>-4.3181818181818314E-2</c:v>
                </c:pt>
                <c:pt idx="371" formatCode="0.0">
                  <c:v>-4.0631313131313102E-2</c:v>
                </c:pt>
                <c:pt idx="372" formatCode="0.0">
                  <c:v>-4.1540404040403996E-2</c:v>
                </c:pt>
                <c:pt idx="373" formatCode="0.0">
                  <c:v>-4.3257575757575821E-2</c:v>
                </c:pt>
                <c:pt idx="374" formatCode="0.0">
                  <c:v>-6.3636363636363574E-2</c:v>
                </c:pt>
                <c:pt idx="375" formatCode="0.0">
                  <c:v>-8.972222222222212E-2</c:v>
                </c:pt>
                <c:pt idx="376" formatCode="0.0">
                  <c:v>-7.5707070707070598E-2</c:v>
                </c:pt>
                <c:pt idx="377" formatCode="0.0">
                  <c:v>-1.4065656565656422E-2</c:v>
                </c:pt>
                <c:pt idx="378" formatCode="0.0">
                  <c:v>4.8131313131313226E-2</c:v>
                </c:pt>
                <c:pt idx="379" formatCode="0.0">
                  <c:v>0.10792929292929317</c:v>
                </c:pt>
                <c:pt idx="380" formatCode="0.0">
                  <c:v>0.15719696969696997</c:v>
                </c:pt>
                <c:pt idx="381" formatCode="0.0">
                  <c:v>0.20502525252525269</c:v>
                </c:pt>
                <c:pt idx="382" formatCode="0.0">
                  <c:v>0.23558080808080817</c:v>
                </c:pt>
                <c:pt idx="383" formatCode="0.0">
                  <c:v>0.2584090909090912</c:v>
                </c:pt>
                <c:pt idx="384" formatCode="0.0">
                  <c:v>0.27550505050505075</c:v>
                </c:pt>
                <c:pt idx="385" formatCode="0.0">
                  <c:v>0.26707070707070729</c:v>
                </c:pt>
                <c:pt idx="386" formatCode="0.0">
                  <c:v>0.22343434343434349</c:v>
                </c:pt>
                <c:pt idx="387" formatCode="0.0">
                  <c:v>0.13722222222222219</c:v>
                </c:pt>
                <c:pt idx="388" formatCode="0.0">
                  <c:v>3.320707070707065E-2</c:v>
                </c:pt>
                <c:pt idx="389" formatCode="0.0">
                  <c:v>-2.6338383838383838E-2</c:v>
                </c:pt>
                <c:pt idx="390" formatCode="0.0">
                  <c:v>-4.5606060606060629E-2</c:v>
                </c:pt>
                <c:pt idx="391" formatCode="0.0">
                  <c:v>-4.1540404040403996E-2</c:v>
                </c:pt>
                <c:pt idx="392" formatCode="0.0">
                  <c:v>-3.0101010101009962E-2</c:v>
                </c:pt>
                <c:pt idx="393" formatCode="0.0">
                  <c:v>-1.9040404040403948E-2</c:v>
                </c:pt>
                <c:pt idx="394" formatCode="0.0">
                  <c:v>-6.96969696969709E-3</c:v>
                </c:pt>
                <c:pt idx="395" formatCode="0.0">
                  <c:v>3.1186868686868475E-2</c:v>
                </c:pt>
                <c:pt idx="396" formatCode="0.0">
                  <c:v>9.7626262626262547E-2</c:v>
                </c:pt>
                <c:pt idx="397" formatCode="0.0">
                  <c:v>0.18681818181818197</c:v>
                </c:pt>
                <c:pt idx="398" formatCode="0.0">
                  <c:v>0.27128787878787913</c:v>
                </c:pt>
                <c:pt idx="399" formatCode="0.0">
                  <c:v>0.32530303030303059</c:v>
                </c:pt>
                <c:pt idx="400" formatCode="0.0">
                  <c:v>0.33229797979797998</c:v>
                </c:pt>
                <c:pt idx="401" formatCode="0.0">
                  <c:v>0.26767676767676785</c:v>
                </c:pt>
                <c:pt idx="402" formatCode="0.0">
                  <c:v>0.1494949494949496</c:v>
                </c:pt>
                <c:pt idx="403" formatCode="0.0">
                  <c:v>2.9696969696969819E-2</c:v>
                </c:pt>
                <c:pt idx="404" formatCode="0.0">
                  <c:v>-8.8636363636363444E-2</c:v>
                </c:pt>
                <c:pt idx="405" formatCode="0.0">
                  <c:v>-0.19689393939393909</c:v>
                </c:pt>
                <c:pt idx="406" formatCode="0.0">
                  <c:v>-0.30487373737373696</c:v>
                </c:pt>
                <c:pt idx="407" formatCode="0.0">
                  <c:v>-0.40515151515151487</c:v>
                </c:pt>
                <c:pt idx="408" formatCode="0.0">
                  <c:v>-0.50633838383838381</c:v>
                </c:pt>
                <c:pt idx="409" formatCode="0.0">
                  <c:v>-0.61896464646464655</c:v>
                </c:pt>
                <c:pt idx="410" formatCode="0.0">
                  <c:v>-0.69904040404040413</c:v>
                </c:pt>
                <c:pt idx="411" formatCode="0.0">
                  <c:v>-0.74002525252525264</c:v>
                </c:pt>
                <c:pt idx="412" formatCode="0.0">
                  <c:v>-0.73348484848484863</c:v>
                </c:pt>
                <c:pt idx="413" formatCode="0.0">
                  <c:v>-0.69830808080808104</c:v>
                </c:pt>
                <c:pt idx="414" formatCode="0.0">
                  <c:v>-0.65714646464646487</c:v>
                </c:pt>
                <c:pt idx="415" formatCode="0.0">
                  <c:v>-0.6167929292929295</c:v>
                </c:pt>
                <c:pt idx="416" formatCode="0.0">
                  <c:v>-0.57434343434343471</c:v>
                </c:pt>
                <c:pt idx="417" formatCode="0.0">
                  <c:v>-0.53025252525252564</c:v>
                </c:pt>
                <c:pt idx="418" formatCode="0.0">
                  <c:v>-0.45361111111111135</c:v>
                </c:pt>
                <c:pt idx="419" formatCode="0.0">
                  <c:v>-0.37007575757575767</c:v>
                </c:pt>
                <c:pt idx="420" formatCode="0.0">
                  <c:v>-0.28472222222222227</c:v>
                </c:pt>
                <c:pt idx="421" formatCode="0.0">
                  <c:v>-0.21257575757575753</c:v>
                </c:pt>
                <c:pt idx="422" formatCode="0.0">
                  <c:v>-0.17330808080808069</c:v>
                </c:pt>
                <c:pt idx="423" formatCode="0.0">
                  <c:v>-0.15138888888888874</c:v>
                </c:pt>
                <c:pt idx="424" formatCode="0.0">
                  <c:v>-0.12363636363636342</c:v>
                </c:pt>
                <c:pt idx="425" formatCode="0.0">
                  <c:v>-0.11101010101010077</c:v>
                </c:pt>
                <c:pt idx="426" formatCode="0.0">
                  <c:v>-9.0732323232322956E-2</c:v>
                </c:pt>
                <c:pt idx="427" formatCode="0.0">
                  <c:v>-8.8005050505050128E-2</c:v>
                </c:pt>
                <c:pt idx="428" formatCode="0.0">
                  <c:v>-0.11482323232323194</c:v>
                </c:pt>
                <c:pt idx="429" formatCode="0.0">
                  <c:v>-0.14608585858585824</c:v>
                </c:pt>
                <c:pt idx="430" formatCode="0.0">
                  <c:v>-0.18492424242424219</c:v>
                </c:pt>
                <c:pt idx="431" formatCode="0.0">
                  <c:v>-0.21310606060606041</c:v>
                </c:pt>
                <c:pt idx="432" formatCode="0.0">
                  <c:v>-0.19580808080808074</c:v>
                </c:pt>
                <c:pt idx="433" formatCode="0.0">
                  <c:v>-0.15626262626262613</c:v>
                </c:pt>
                <c:pt idx="434" formatCode="0.0">
                  <c:v>-0.12063131313131302</c:v>
                </c:pt>
                <c:pt idx="435" formatCode="0.0">
                  <c:v>-7.1994949494949528E-2</c:v>
                </c:pt>
                <c:pt idx="436" formatCode="0.0">
                  <c:v>-3.7095959595959661E-2</c:v>
                </c:pt>
                <c:pt idx="437" formatCode="0.0">
                  <c:v>-2.7777777777790192E-4</c:v>
                </c:pt>
                <c:pt idx="438" formatCode="0.0">
                  <c:v>5.2904040404040197E-2</c:v>
                </c:pt>
                <c:pt idx="439" formatCode="0.0">
                  <c:v>0.10053030303030284</c:v>
                </c:pt>
                <c:pt idx="440" formatCode="0.0">
                  <c:v>0.14300505050505033</c:v>
                </c:pt>
                <c:pt idx="441" formatCode="0.0">
                  <c:v>0.18702020202020186</c:v>
                </c:pt>
                <c:pt idx="442" formatCode="0.0">
                  <c:v>0.23020202020202019</c:v>
                </c:pt>
                <c:pt idx="443" formatCode="0.0">
                  <c:v>0.23464646464646466</c:v>
                </c:pt>
                <c:pt idx="444" formatCode="0.0">
                  <c:v>0.23762626262626263</c:v>
                </c:pt>
                <c:pt idx="445" formatCode="0.0">
                  <c:v>0.23217171717171714</c:v>
                </c:pt>
                <c:pt idx="446" formatCode="0.0">
                  <c:v>0.21989898989898987</c:v>
                </c:pt>
                <c:pt idx="447" formatCode="0.0">
                  <c:v>0.21191919191919179</c:v>
                </c:pt>
                <c:pt idx="448" formatCode="0.0">
                  <c:v>0.19537878787878782</c:v>
                </c:pt>
                <c:pt idx="449" formatCode="0.0">
                  <c:v>0.17737373737373732</c:v>
                </c:pt>
                <c:pt idx="450" formatCode="0.0">
                  <c:v>0.17027777777777767</c:v>
                </c:pt>
                <c:pt idx="451" formatCode="0.0">
                  <c:v>0.14436868686868676</c:v>
                </c:pt>
                <c:pt idx="452" formatCode="0.0">
                  <c:v>0.11517676767676752</c:v>
                </c:pt>
                <c:pt idx="453" formatCode="0.0">
                  <c:v>0.10227272727272695</c:v>
                </c:pt>
                <c:pt idx="454" formatCode="0.0">
                  <c:v>0.10318181818181783</c:v>
                </c:pt>
                <c:pt idx="455" formatCode="0.0">
                  <c:v>0.10373737373737348</c:v>
                </c:pt>
                <c:pt idx="456" formatCode="0.0">
                  <c:v>0.11492424242424222</c:v>
                </c:pt>
                <c:pt idx="457" formatCode="0.0">
                  <c:v>0.11891414141414135</c:v>
                </c:pt>
                <c:pt idx="458" formatCode="0.0">
                  <c:v>0.13926767676767682</c:v>
                </c:pt>
                <c:pt idx="459" formatCode="0.0">
                  <c:v>0.14744949494949483</c:v>
                </c:pt>
                <c:pt idx="460" formatCode="0.0">
                  <c:v>0.12737373737373725</c:v>
                </c:pt>
                <c:pt idx="461" formatCode="0.0">
                  <c:v>0.11128787878787866</c:v>
                </c:pt>
                <c:pt idx="462" formatCode="0.0">
                  <c:v>9.3005050505050271E-2</c:v>
                </c:pt>
                <c:pt idx="463" formatCode="0.0">
                  <c:v>6.0454545454545379E-2</c:v>
                </c:pt>
                <c:pt idx="464" formatCode="0.0">
                  <c:v>7.7272727272726435E-3</c:v>
                </c:pt>
                <c:pt idx="465" formatCode="0.0">
                  <c:v>-4.6540404040404132E-2</c:v>
                </c:pt>
                <c:pt idx="466" formatCode="0.0">
                  <c:v>-0.1104545454545456</c:v>
                </c:pt>
                <c:pt idx="467" formatCode="0.0">
                  <c:v>-0.17636363636363647</c:v>
                </c:pt>
                <c:pt idx="468" formatCode="0.0">
                  <c:v>-0.2529797979797983</c:v>
                </c:pt>
                <c:pt idx="469" formatCode="0.0">
                  <c:v>-0.32053030303030333</c:v>
                </c:pt>
                <c:pt idx="470" formatCode="0.0">
                  <c:v>-0.36856060606060626</c:v>
                </c:pt>
                <c:pt idx="471" formatCode="0.0">
                  <c:v>-0.3693939393939395</c:v>
                </c:pt>
                <c:pt idx="472" formatCode="0.0">
                  <c:v>-0.36421717171717172</c:v>
                </c:pt>
                <c:pt idx="473" formatCode="0.0">
                  <c:v>-0.33676767676767677</c:v>
                </c:pt>
                <c:pt idx="474" formatCode="0.0">
                  <c:v>-0.2925757575757576</c:v>
                </c:pt>
                <c:pt idx="475" formatCode="0.0">
                  <c:v>-0.22585858585858579</c:v>
                </c:pt>
                <c:pt idx="476" formatCode="0.0">
                  <c:v>-0.14585858585858572</c:v>
                </c:pt>
                <c:pt idx="477" formatCode="0.0">
                  <c:v>-4.8863636363636331E-2</c:v>
                </c:pt>
                <c:pt idx="478" formatCode="0.0">
                  <c:v>2.4494949494949448E-2</c:v>
                </c:pt>
                <c:pt idx="479" formatCode="0.0">
                  <c:v>9.0303030303030371E-2</c:v>
                </c:pt>
                <c:pt idx="480" formatCode="0.0">
                  <c:v>0.14861111111111117</c:v>
                </c:pt>
                <c:pt idx="481" formatCode="0.0">
                  <c:v>0.18881313131313135</c:v>
                </c:pt>
                <c:pt idx="482" formatCode="0.0">
                  <c:v>0.19300505050505057</c:v>
                </c:pt>
                <c:pt idx="483" formatCode="0.0">
                  <c:v>0.15719696969696964</c:v>
                </c:pt>
                <c:pt idx="484" formatCode="0.0">
                  <c:v>0.10257575757575763</c:v>
                </c:pt>
                <c:pt idx="485" formatCode="0.0">
                  <c:v>4.1313131313131309E-2</c:v>
                </c:pt>
                <c:pt idx="486" formatCode="0.0">
                  <c:v>-4.449494949494967E-2</c:v>
                </c:pt>
                <c:pt idx="487" formatCode="0.0">
                  <c:v>-0.14830808080808097</c:v>
                </c:pt>
                <c:pt idx="488" formatCode="0.0">
                  <c:v>-0.24712121212121216</c:v>
                </c:pt>
                <c:pt idx="489" formatCode="0.0">
                  <c:v>-0.31275252525252512</c:v>
                </c:pt>
                <c:pt idx="490" formatCode="0.0">
                  <c:v>-0.34459595959595934</c:v>
                </c:pt>
                <c:pt idx="491" formatCode="0.0">
                  <c:v>-0.3792424242424241</c:v>
                </c:pt>
                <c:pt idx="492" formatCode="0.0">
                  <c:v>-0.41042929292929275</c:v>
                </c:pt>
                <c:pt idx="493" formatCode="0.0">
                  <c:v>-0.39851010101010087</c:v>
                </c:pt>
                <c:pt idx="494" formatCode="0.0">
                  <c:v>-0.36161616161616145</c:v>
                </c:pt>
                <c:pt idx="495" formatCode="0.0">
                  <c:v>-0.34053030303030291</c:v>
                </c:pt>
                <c:pt idx="496" formatCode="0.0">
                  <c:v>-0.32462121212121192</c:v>
                </c:pt>
                <c:pt idx="497" formatCode="0.0">
                  <c:v>-0.29626262626262589</c:v>
                </c:pt>
                <c:pt idx="498" formatCode="0.0">
                  <c:v>-0.23873737373737344</c:v>
                </c:pt>
                <c:pt idx="499" formatCode="0.0">
                  <c:v>-0.17128787878787868</c:v>
                </c:pt>
                <c:pt idx="500" formatCode="0.0">
                  <c:v>-0.10727272727272741</c:v>
                </c:pt>
                <c:pt idx="501" formatCode="0.0">
                  <c:v>-8.9898989898990062E-2</c:v>
                </c:pt>
                <c:pt idx="502" formatCode="0.0">
                  <c:v>-7.5454545454545621E-2</c:v>
                </c:pt>
                <c:pt idx="503" formatCode="0.0">
                  <c:v>-5.7373737373737459E-2</c:v>
                </c:pt>
                <c:pt idx="504" formatCode="0.0">
                  <c:v>-9.7020202020202173E-2</c:v>
                </c:pt>
                <c:pt idx="505" formatCode="0.0">
                  <c:v>-0.12590909090909105</c:v>
                </c:pt>
                <c:pt idx="506" formatCode="0.0">
                  <c:v>-0.15719696969696981</c:v>
                </c:pt>
                <c:pt idx="507" formatCode="0.0">
                  <c:v>-0.18474747474747488</c:v>
                </c:pt>
                <c:pt idx="508" formatCode="0.0">
                  <c:v>-0.22792929292929304</c:v>
                </c:pt>
                <c:pt idx="509" formatCode="0.0">
                  <c:v>-0.32108585858585864</c:v>
                </c:pt>
                <c:pt idx="510" formatCode="0.0">
                  <c:v>-0.47444444444444434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A6-4C50-9913-641AE917A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123824</xdr:colOff>
      <xdr:row>2</xdr:row>
      <xdr:rowOff>180975</xdr:rowOff>
    </xdr:from>
    <xdr:to>
      <xdr:col>31</xdr:col>
      <xdr:colOff>38099</xdr:colOff>
      <xdr:row>23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B654D1-02C7-4985-9806-65CA784F42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25</xdr:row>
      <xdr:rowOff>0</xdr:rowOff>
    </xdr:from>
    <xdr:to>
      <xdr:col>30</xdr:col>
      <xdr:colOff>523875</xdr:colOff>
      <xdr:row>45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0E9270-C928-48CB-A53E-8B56B5D751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5"/>
  <sheetViews>
    <sheetView tabSelected="1" topLeftCell="C1" workbookViewId="0">
      <pane ySplit="2" topLeftCell="A3" activePane="bottomLeft" state="frozen"/>
      <selection pane="bottomLeft" activeCell="U15" sqref="U15"/>
    </sheetView>
  </sheetViews>
  <sheetFormatPr defaultRowHeight="15" x14ac:dyDescent="0.25"/>
  <sheetData>
    <row r="1" spans="1:19" s="2" customFormat="1" x14ac:dyDescent="0.25">
      <c r="A1" s="2" t="s">
        <v>0</v>
      </c>
      <c r="B1" s="2" t="s">
        <v>1</v>
      </c>
    </row>
    <row r="2" spans="1:19" s="2" customForma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P2" s="2" t="s">
        <v>17</v>
      </c>
      <c r="Q2" s="2" t="s">
        <v>19</v>
      </c>
      <c r="R2" s="2" t="s">
        <v>20</v>
      </c>
      <c r="S2" s="2" t="s">
        <v>21</v>
      </c>
    </row>
    <row r="3" spans="1:19" x14ac:dyDescent="0.25">
      <c r="A3" t="s">
        <v>16</v>
      </c>
      <c r="C3">
        <v>52.047151100000001</v>
      </c>
      <c r="D3">
        <v>-0.5721617</v>
      </c>
      <c r="E3">
        <v>4</v>
      </c>
      <c r="F3">
        <v>4</v>
      </c>
      <c r="G3">
        <v>2022</v>
      </c>
      <c r="H3">
        <v>13</v>
      </c>
      <c r="I3">
        <v>55</v>
      </c>
      <c r="J3">
        <v>16</v>
      </c>
      <c r="K3">
        <v>44.11</v>
      </c>
      <c r="L3">
        <v>0</v>
      </c>
      <c r="M3">
        <v>37.795999999999999</v>
      </c>
      <c r="N3">
        <v>0.57599999999999996</v>
      </c>
      <c r="P3" s="1">
        <f t="shared" ref="P3:P66" si="0">M3*1000/3600</f>
        <v>10.498888888888889</v>
      </c>
      <c r="S3" s="1"/>
    </row>
    <row r="4" spans="1:19" x14ac:dyDescent="0.25">
      <c r="A4" t="s">
        <v>16</v>
      </c>
      <c r="C4">
        <v>52.047159299999997</v>
      </c>
      <c r="D4">
        <v>-0.57216959999999994</v>
      </c>
      <c r="E4">
        <v>4</v>
      </c>
      <c r="F4">
        <v>4</v>
      </c>
      <c r="G4">
        <v>2022</v>
      </c>
      <c r="H4">
        <v>13</v>
      </c>
      <c r="I4">
        <v>55</v>
      </c>
      <c r="J4">
        <v>16.100000000000001</v>
      </c>
      <c r="K4">
        <v>44.11</v>
      </c>
      <c r="L4">
        <v>0</v>
      </c>
      <c r="M4">
        <v>38.131</v>
      </c>
      <c r="N4">
        <v>0.58299999999999996</v>
      </c>
      <c r="P4" s="1">
        <f t="shared" si="0"/>
        <v>10.591944444444444</v>
      </c>
      <c r="Q4" s="3">
        <f>10*($P4-$P3)</f>
        <v>0.93055555555555003</v>
      </c>
      <c r="S4" s="1"/>
    </row>
    <row r="5" spans="1:19" x14ac:dyDescent="0.25">
      <c r="A5" t="s">
        <v>16</v>
      </c>
      <c r="C5">
        <v>52.047167600000002</v>
      </c>
      <c r="D5">
        <v>-0.57217750000000001</v>
      </c>
      <c r="E5">
        <v>4</v>
      </c>
      <c r="F5">
        <v>4</v>
      </c>
      <c r="G5">
        <v>2022</v>
      </c>
      <c r="H5">
        <v>13</v>
      </c>
      <c r="I5">
        <v>55</v>
      </c>
      <c r="J5">
        <v>16.2</v>
      </c>
      <c r="K5">
        <v>44.12</v>
      </c>
      <c r="L5">
        <v>0</v>
      </c>
      <c r="M5">
        <v>38.393999999999998</v>
      </c>
      <c r="N5">
        <v>0.59</v>
      </c>
      <c r="P5" s="1">
        <f t="shared" si="0"/>
        <v>10.664999999999999</v>
      </c>
      <c r="Q5" s="3">
        <f t="shared" ref="Q5:Q68" si="1">10*($P5-$P4)</f>
        <v>0.73055555555555429</v>
      </c>
      <c r="S5" s="1"/>
    </row>
    <row r="6" spans="1:19" x14ac:dyDescent="0.25">
      <c r="A6" t="s">
        <v>16</v>
      </c>
      <c r="C6">
        <v>52.047176100000001</v>
      </c>
      <c r="D6">
        <v>-0.57218519999999995</v>
      </c>
      <c r="E6">
        <v>4</v>
      </c>
      <c r="F6">
        <v>4</v>
      </c>
      <c r="G6">
        <v>2022</v>
      </c>
      <c r="H6">
        <v>13</v>
      </c>
      <c r="I6">
        <v>55</v>
      </c>
      <c r="J6">
        <v>16.3</v>
      </c>
      <c r="K6">
        <v>44.12</v>
      </c>
      <c r="L6">
        <v>0</v>
      </c>
      <c r="M6">
        <v>38.689</v>
      </c>
      <c r="N6">
        <v>0.60799999999999998</v>
      </c>
      <c r="P6" s="1">
        <f t="shared" si="0"/>
        <v>10.746944444444445</v>
      </c>
      <c r="Q6" s="3">
        <f t="shared" si="1"/>
        <v>0.81944444444445708</v>
      </c>
      <c r="S6" s="1"/>
    </row>
    <row r="7" spans="1:19" x14ac:dyDescent="0.25">
      <c r="A7" t="s">
        <v>16</v>
      </c>
      <c r="C7">
        <v>52.047184600000001</v>
      </c>
      <c r="D7">
        <v>-0.57219310000000001</v>
      </c>
      <c r="E7">
        <v>4</v>
      </c>
      <c r="F7">
        <v>4</v>
      </c>
      <c r="G7">
        <v>2022</v>
      </c>
      <c r="H7">
        <v>13</v>
      </c>
      <c r="I7">
        <v>55</v>
      </c>
      <c r="J7">
        <v>16.399999999999999</v>
      </c>
      <c r="K7">
        <v>44.13</v>
      </c>
      <c r="L7">
        <v>0</v>
      </c>
      <c r="M7">
        <v>38.753999999999998</v>
      </c>
      <c r="N7">
        <v>0.60099999999999998</v>
      </c>
      <c r="P7" s="1">
        <f t="shared" si="0"/>
        <v>10.765000000000001</v>
      </c>
      <c r="Q7" s="3">
        <f t="shared" si="1"/>
        <v>0.18055555555555713</v>
      </c>
      <c r="S7" s="1"/>
    </row>
    <row r="8" spans="1:19" x14ac:dyDescent="0.25">
      <c r="A8" t="s">
        <v>16</v>
      </c>
      <c r="C8">
        <v>52.047193200000002</v>
      </c>
      <c r="D8">
        <v>-0.57220110000000002</v>
      </c>
      <c r="E8">
        <v>4</v>
      </c>
      <c r="F8">
        <v>4</v>
      </c>
      <c r="G8">
        <v>2022</v>
      </c>
      <c r="H8">
        <v>13</v>
      </c>
      <c r="I8">
        <v>55</v>
      </c>
      <c r="J8">
        <v>16.5</v>
      </c>
      <c r="K8">
        <v>44.16</v>
      </c>
      <c r="L8">
        <v>0</v>
      </c>
      <c r="M8">
        <v>39.085000000000001</v>
      </c>
      <c r="N8">
        <v>0.60499999999999998</v>
      </c>
      <c r="P8" s="1">
        <f t="shared" si="0"/>
        <v>10.856944444444444</v>
      </c>
      <c r="Q8" s="3">
        <f t="shared" si="1"/>
        <v>0.91944444444443718</v>
      </c>
      <c r="R8" s="3">
        <f>($P13-$P3)</f>
        <v>0.40499999999999936</v>
      </c>
      <c r="S8" s="1"/>
    </row>
    <row r="9" spans="1:19" x14ac:dyDescent="0.25">
      <c r="A9" t="s">
        <v>16</v>
      </c>
      <c r="C9">
        <v>52.047201800000003</v>
      </c>
      <c r="D9">
        <v>-0.57220890000000002</v>
      </c>
      <c r="E9">
        <v>4</v>
      </c>
      <c r="F9">
        <v>4</v>
      </c>
      <c r="G9">
        <v>2022</v>
      </c>
      <c r="H9">
        <v>13</v>
      </c>
      <c r="I9">
        <v>55</v>
      </c>
      <c r="J9">
        <v>16.600000000000001</v>
      </c>
      <c r="K9">
        <v>44.16</v>
      </c>
      <c r="L9">
        <v>0</v>
      </c>
      <c r="M9">
        <v>39.154000000000003</v>
      </c>
      <c r="N9">
        <v>0.60499999999999998</v>
      </c>
      <c r="P9" s="1">
        <f t="shared" si="0"/>
        <v>10.876111111111111</v>
      </c>
      <c r="Q9" s="3">
        <f t="shared" si="1"/>
        <v>0.19166666666666998</v>
      </c>
      <c r="R9" s="3">
        <f t="shared" ref="R9:R72" si="2">($P14-$P4)</f>
        <v>0.33305555555555699</v>
      </c>
      <c r="S9" s="1"/>
    </row>
    <row r="10" spans="1:19" x14ac:dyDescent="0.25">
      <c r="A10" t="s">
        <v>16</v>
      </c>
      <c r="C10">
        <v>52.047210399999997</v>
      </c>
      <c r="D10">
        <v>-0.57221679999999997</v>
      </c>
      <c r="E10">
        <v>4</v>
      </c>
      <c r="F10">
        <v>4</v>
      </c>
      <c r="G10">
        <v>2022</v>
      </c>
      <c r="H10">
        <v>13</v>
      </c>
      <c r="I10">
        <v>55</v>
      </c>
      <c r="J10">
        <v>16.7</v>
      </c>
      <c r="K10">
        <v>44.17</v>
      </c>
      <c r="L10">
        <v>0</v>
      </c>
      <c r="M10">
        <v>39.218000000000004</v>
      </c>
      <c r="N10">
        <v>0.60099999999999998</v>
      </c>
      <c r="P10" s="1">
        <f t="shared" si="0"/>
        <v>10.893888888888888</v>
      </c>
      <c r="Q10" s="3">
        <f t="shared" si="1"/>
        <v>0.17777777777777004</v>
      </c>
      <c r="R10" s="3">
        <f t="shared" si="2"/>
        <v>0.35694444444444606</v>
      </c>
      <c r="S10" s="1"/>
    </row>
    <row r="11" spans="1:19" x14ac:dyDescent="0.25">
      <c r="A11" t="s">
        <v>16</v>
      </c>
      <c r="C11">
        <v>52.047218899999997</v>
      </c>
      <c r="D11">
        <v>-0.57222459999999997</v>
      </c>
      <c r="E11">
        <v>4</v>
      </c>
      <c r="F11">
        <v>4</v>
      </c>
      <c r="G11">
        <v>2022</v>
      </c>
      <c r="H11">
        <v>13</v>
      </c>
      <c r="I11">
        <v>55</v>
      </c>
      <c r="J11">
        <v>16.8</v>
      </c>
      <c r="K11">
        <v>44.17</v>
      </c>
      <c r="L11">
        <v>0</v>
      </c>
      <c r="M11">
        <v>39.179000000000002</v>
      </c>
      <c r="N11">
        <v>0.60099999999999998</v>
      </c>
      <c r="P11" s="1">
        <f t="shared" si="0"/>
        <v>10.883055555555556</v>
      </c>
      <c r="Q11" s="3">
        <f t="shared" si="1"/>
        <v>-0.10833333333332362</v>
      </c>
      <c r="R11" s="3">
        <f t="shared" si="2"/>
        <v>0.3341666666666665</v>
      </c>
      <c r="S11" s="1"/>
    </row>
    <row r="12" spans="1:19" x14ac:dyDescent="0.25">
      <c r="A12" t="s">
        <v>16</v>
      </c>
      <c r="C12">
        <v>52.047227499999998</v>
      </c>
      <c r="D12">
        <v>-0.57223270000000004</v>
      </c>
      <c r="E12">
        <v>4</v>
      </c>
      <c r="F12">
        <v>4</v>
      </c>
      <c r="G12">
        <v>2022</v>
      </c>
      <c r="H12">
        <v>13</v>
      </c>
      <c r="I12">
        <v>55</v>
      </c>
      <c r="J12">
        <v>16.899999999999999</v>
      </c>
      <c r="K12">
        <v>44.15</v>
      </c>
      <c r="L12">
        <v>0</v>
      </c>
      <c r="M12">
        <v>39.387999999999998</v>
      </c>
      <c r="N12">
        <v>0.59799999999999998</v>
      </c>
      <c r="P12" s="1">
        <f t="shared" si="0"/>
        <v>10.941111111111111</v>
      </c>
      <c r="Q12" s="3">
        <f t="shared" si="1"/>
        <v>0.58055555555554861</v>
      </c>
      <c r="R12" s="3">
        <f t="shared" si="2"/>
        <v>0.35499999999999865</v>
      </c>
      <c r="S12" s="1"/>
    </row>
    <row r="13" spans="1:19" x14ac:dyDescent="0.25">
      <c r="A13" t="s">
        <v>16</v>
      </c>
      <c r="C13">
        <v>52.047235999999998</v>
      </c>
      <c r="D13">
        <v>-0.57224059999999999</v>
      </c>
      <c r="E13">
        <v>4</v>
      </c>
      <c r="F13">
        <v>4</v>
      </c>
      <c r="G13">
        <v>2022</v>
      </c>
      <c r="H13">
        <v>13</v>
      </c>
      <c r="I13">
        <v>55</v>
      </c>
      <c r="J13">
        <v>17</v>
      </c>
      <c r="K13">
        <v>44.15</v>
      </c>
      <c r="L13">
        <v>0</v>
      </c>
      <c r="M13">
        <v>39.253999999999998</v>
      </c>
      <c r="N13">
        <v>0.61199999999999999</v>
      </c>
      <c r="P13" s="1">
        <f t="shared" si="0"/>
        <v>10.903888888888888</v>
      </c>
      <c r="Q13" s="3">
        <f t="shared" si="1"/>
        <v>-0.37222222222222712</v>
      </c>
      <c r="R13" s="3">
        <f t="shared" si="2"/>
        <v>0.36194444444444507</v>
      </c>
      <c r="S13" s="3">
        <f t="shared" ref="S13:S17" si="3">AVERAGE(R8:R18)</f>
        <v>0.41047979797979828</v>
      </c>
    </row>
    <row r="14" spans="1:19" x14ac:dyDescent="0.25">
      <c r="A14" t="s">
        <v>16</v>
      </c>
      <c r="C14">
        <v>52.047244499999998</v>
      </c>
      <c r="D14">
        <v>-0.57224850000000005</v>
      </c>
      <c r="E14">
        <v>4</v>
      </c>
      <c r="F14">
        <v>4</v>
      </c>
      <c r="G14">
        <v>2022</v>
      </c>
      <c r="H14">
        <v>13</v>
      </c>
      <c r="I14">
        <v>55</v>
      </c>
      <c r="J14">
        <v>17.100000000000001</v>
      </c>
      <c r="K14">
        <v>44.16</v>
      </c>
      <c r="L14">
        <v>0</v>
      </c>
      <c r="M14">
        <v>39.33</v>
      </c>
      <c r="N14">
        <v>0.61899999999999999</v>
      </c>
      <c r="P14" s="1">
        <f t="shared" si="0"/>
        <v>10.925000000000001</v>
      </c>
      <c r="Q14" s="3">
        <f t="shared" si="1"/>
        <v>0.21111111111112635</v>
      </c>
      <c r="R14" s="3">
        <f t="shared" si="2"/>
        <v>0.4158333333333335</v>
      </c>
      <c r="S14" s="3">
        <f t="shared" si="3"/>
        <v>0.41575757575757599</v>
      </c>
    </row>
    <row r="15" spans="1:19" x14ac:dyDescent="0.25">
      <c r="A15" t="s">
        <v>16</v>
      </c>
      <c r="C15">
        <v>52.047253300000001</v>
      </c>
      <c r="D15">
        <v>-0.57225649999999995</v>
      </c>
      <c r="E15">
        <v>4</v>
      </c>
      <c r="F15">
        <v>4</v>
      </c>
      <c r="G15">
        <v>2022</v>
      </c>
      <c r="H15">
        <v>13</v>
      </c>
      <c r="I15">
        <v>55</v>
      </c>
      <c r="J15">
        <v>17.2</v>
      </c>
      <c r="K15">
        <v>44.16</v>
      </c>
      <c r="L15">
        <v>0</v>
      </c>
      <c r="M15">
        <v>39.679000000000002</v>
      </c>
      <c r="N15">
        <v>0.61599999999999999</v>
      </c>
      <c r="P15" s="1">
        <f t="shared" si="0"/>
        <v>11.021944444444445</v>
      </c>
      <c r="Q15" s="3">
        <f t="shared" si="1"/>
        <v>0.969444444444445</v>
      </c>
      <c r="R15" s="3">
        <f t="shared" si="2"/>
        <v>0.47416666666666707</v>
      </c>
      <c r="S15" s="3">
        <f t="shared" si="3"/>
        <v>0.42313131313131325</v>
      </c>
    </row>
    <row r="16" spans="1:19" x14ac:dyDescent="0.25">
      <c r="A16" t="s">
        <v>16</v>
      </c>
      <c r="C16">
        <v>52.047262199999999</v>
      </c>
      <c r="D16">
        <v>-0.5722642</v>
      </c>
      <c r="E16">
        <v>4</v>
      </c>
      <c r="F16">
        <v>4</v>
      </c>
      <c r="G16">
        <v>2022</v>
      </c>
      <c r="H16">
        <v>13</v>
      </c>
      <c r="I16">
        <v>55</v>
      </c>
      <c r="J16">
        <v>17.3</v>
      </c>
      <c r="K16">
        <v>44.19</v>
      </c>
      <c r="L16">
        <v>0</v>
      </c>
      <c r="M16">
        <v>39.892000000000003</v>
      </c>
      <c r="N16">
        <v>0.60799999999999998</v>
      </c>
      <c r="P16" s="1">
        <f t="shared" si="0"/>
        <v>11.081111111111111</v>
      </c>
      <c r="Q16" s="3">
        <f t="shared" si="1"/>
        <v>0.59166666666666146</v>
      </c>
      <c r="R16" s="3">
        <f t="shared" si="2"/>
        <v>0.49305555555555536</v>
      </c>
      <c r="S16" s="3">
        <f t="shared" si="3"/>
        <v>0.42767676767676766</v>
      </c>
    </row>
    <row r="17" spans="1:19" x14ac:dyDescent="0.25">
      <c r="A17" t="s">
        <v>16</v>
      </c>
      <c r="C17">
        <v>52.047271199999997</v>
      </c>
      <c r="D17">
        <v>-0.57227189999999994</v>
      </c>
      <c r="E17">
        <v>4</v>
      </c>
      <c r="F17">
        <v>4</v>
      </c>
      <c r="G17">
        <v>2022</v>
      </c>
      <c r="H17">
        <v>13</v>
      </c>
      <c r="I17">
        <v>55</v>
      </c>
      <c r="J17">
        <v>17.399999999999999</v>
      </c>
      <c r="K17">
        <v>44.19</v>
      </c>
      <c r="L17">
        <v>0</v>
      </c>
      <c r="M17">
        <v>40.031999999999996</v>
      </c>
      <c r="N17">
        <v>0.60099999999999998</v>
      </c>
      <c r="P17" s="1">
        <f t="shared" si="0"/>
        <v>11.12</v>
      </c>
      <c r="Q17" s="3">
        <f t="shared" si="1"/>
        <v>0.38888888888887863</v>
      </c>
      <c r="R17" s="3">
        <f t="shared" si="2"/>
        <v>0.443888888888889</v>
      </c>
      <c r="S17" s="3">
        <f t="shared" si="3"/>
        <v>0.4308333333333334</v>
      </c>
    </row>
    <row r="18" spans="1:19" x14ac:dyDescent="0.25">
      <c r="A18" t="s">
        <v>16</v>
      </c>
      <c r="C18">
        <v>52.047280399999998</v>
      </c>
      <c r="D18">
        <v>-0.57227930000000005</v>
      </c>
      <c r="E18">
        <v>4</v>
      </c>
      <c r="F18">
        <v>4</v>
      </c>
      <c r="G18">
        <v>2022</v>
      </c>
      <c r="H18">
        <v>13</v>
      </c>
      <c r="I18">
        <v>55</v>
      </c>
      <c r="J18">
        <v>17.5</v>
      </c>
      <c r="K18">
        <v>44.19</v>
      </c>
      <c r="L18">
        <v>0</v>
      </c>
      <c r="M18">
        <v>40.387999999999998</v>
      </c>
      <c r="N18">
        <v>0.60099999999999998</v>
      </c>
      <c r="P18" s="1">
        <f t="shared" si="0"/>
        <v>11.218888888888889</v>
      </c>
      <c r="Q18" s="3">
        <f t="shared" si="1"/>
        <v>0.98888888888890136</v>
      </c>
      <c r="R18" s="3">
        <f t="shared" si="2"/>
        <v>0.54222222222222349</v>
      </c>
      <c r="S18" s="3">
        <f>AVERAGE(R13:R23)</f>
        <v>0.43128787878787894</v>
      </c>
    </row>
    <row r="19" spans="1:19" x14ac:dyDescent="0.25">
      <c r="A19" t="s">
        <v>16</v>
      </c>
      <c r="C19">
        <v>52.0472897</v>
      </c>
      <c r="D19">
        <v>-0.57228659999999998</v>
      </c>
      <c r="E19">
        <v>4</v>
      </c>
      <c r="F19">
        <v>4</v>
      </c>
      <c r="G19">
        <v>2022</v>
      </c>
      <c r="H19">
        <v>13</v>
      </c>
      <c r="I19">
        <v>55</v>
      </c>
      <c r="J19">
        <v>17.600000000000001</v>
      </c>
      <c r="K19">
        <v>44.2</v>
      </c>
      <c r="L19">
        <v>0</v>
      </c>
      <c r="M19">
        <v>40.651000000000003</v>
      </c>
      <c r="N19">
        <v>0.59399999999999997</v>
      </c>
      <c r="P19" s="1">
        <f t="shared" si="0"/>
        <v>11.291944444444445</v>
      </c>
      <c r="Q19" s="3">
        <f t="shared" si="1"/>
        <v>0.73055555555555429</v>
      </c>
      <c r="R19" s="3">
        <f t="shared" si="2"/>
        <v>0.46305555555555422</v>
      </c>
      <c r="S19" s="3">
        <f t="shared" ref="S19:S82" si="4">AVERAGE(R14:R24)</f>
        <v>0.42893939393939395</v>
      </c>
    </row>
    <row r="20" spans="1:19" x14ac:dyDescent="0.25">
      <c r="A20" t="s">
        <v>16</v>
      </c>
      <c r="C20">
        <v>52.047299000000002</v>
      </c>
      <c r="D20">
        <v>-0.57229390000000002</v>
      </c>
      <c r="E20">
        <v>4</v>
      </c>
      <c r="F20">
        <v>4</v>
      </c>
      <c r="G20">
        <v>2022</v>
      </c>
      <c r="H20">
        <v>13</v>
      </c>
      <c r="I20">
        <v>55</v>
      </c>
      <c r="J20">
        <v>17.7</v>
      </c>
      <c r="K20">
        <v>44.18</v>
      </c>
      <c r="L20">
        <v>0</v>
      </c>
      <c r="M20">
        <v>40.924999999999997</v>
      </c>
      <c r="N20">
        <v>0.55400000000000005</v>
      </c>
      <c r="P20" s="1">
        <f t="shared" si="0"/>
        <v>11.368055555555555</v>
      </c>
      <c r="Q20" s="3">
        <f t="shared" si="1"/>
        <v>0.76111111111110574</v>
      </c>
      <c r="R20" s="3">
        <f t="shared" si="2"/>
        <v>0.41416666666666657</v>
      </c>
      <c r="S20" s="3">
        <f t="shared" si="4"/>
        <v>0.41803030303030314</v>
      </c>
    </row>
    <row r="21" spans="1:19" x14ac:dyDescent="0.25">
      <c r="A21" t="s">
        <v>16</v>
      </c>
      <c r="C21">
        <v>52.047308100000002</v>
      </c>
      <c r="D21">
        <v>-0.57230099999999995</v>
      </c>
      <c r="E21">
        <v>4</v>
      </c>
      <c r="F21">
        <v>4</v>
      </c>
      <c r="G21">
        <v>2022</v>
      </c>
      <c r="H21">
        <v>13</v>
      </c>
      <c r="I21">
        <v>55</v>
      </c>
      <c r="J21">
        <v>17.8</v>
      </c>
      <c r="K21">
        <v>44.13</v>
      </c>
      <c r="L21">
        <v>0</v>
      </c>
      <c r="M21">
        <v>40.954000000000001</v>
      </c>
      <c r="N21">
        <v>0.55800000000000005</v>
      </c>
      <c r="P21" s="1">
        <f t="shared" si="0"/>
        <v>11.376111111111111</v>
      </c>
      <c r="Q21" s="3">
        <f t="shared" si="1"/>
        <v>8.0555555555559266E-2</v>
      </c>
      <c r="R21" s="3">
        <f t="shared" si="2"/>
        <v>0.406944444444445</v>
      </c>
      <c r="S21" s="3">
        <f t="shared" si="4"/>
        <v>0.40972222222222227</v>
      </c>
    </row>
    <row r="22" spans="1:19" x14ac:dyDescent="0.25">
      <c r="A22" t="s">
        <v>16</v>
      </c>
      <c r="C22">
        <v>52.047317300000003</v>
      </c>
      <c r="D22">
        <v>-0.57230820000000004</v>
      </c>
      <c r="E22">
        <v>4</v>
      </c>
      <c r="F22">
        <v>4</v>
      </c>
      <c r="G22">
        <v>2022</v>
      </c>
      <c r="H22">
        <v>13</v>
      </c>
      <c r="I22">
        <v>55</v>
      </c>
      <c r="J22">
        <v>17.899999999999999</v>
      </c>
      <c r="K22">
        <v>44.13</v>
      </c>
      <c r="L22">
        <v>0</v>
      </c>
      <c r="M22">
        <v>40.985999999999997</v>
      </c>
      <c r="N22">
        <v>0.57199999999999995</v>
      </c>
      <c r="P22" s="1">
        <f t="shared" si="0"/>
        <v>11.385</v>
      </c>
      <c r="Q22" s="3">
        <f t="shared" si="1"/>
        <v>8.888888888888502E-2</v>
      </c>
      <c r="R22" s="3">
        <f t="shared" si="2"/>
        <v>0.36888888888888971</v>
      </c>
      <c r="S22" s="3">
        <f t="shared" si="4"/>
        <v>0.40290404040404049</v>
      </c>
    </row>
    <row r="23" spans="1:19" x14ac:dyDescent="0.25">
      <c r="A23" t="s">
        <v>16</v>
      </c>
      <c r="C23">
        <v>52.047326499999997</v>
      </c>
      <c r="D23">
        <v>-0.57231540000000003</v>
      </c>
      <c r="E23">
        <v>4</v>
      </c>
      <c r="F23">
        <v>4</v>
      </c>
      <c r="G23">
        <v>2022</v>
      </c>
      <c r="H23">
        <v>13</v>
      </c>
      <c r="I23">
        <v>55</v>
      </c>
      <c r="J23">
        <v>18</v>
      </c>
      <c r="K23">
        <v>44.1</v>
      </c>
      <c r="L23">
        <v>0</v>
      </c>
      <c r="M23">
        <v>41.206000000000003</v>
      </c>
      <c r="N23">
        <v>0.58299999999999996</v>
      </c>
      <c r="P23" s="1">
        <f t="shared" si="0"/>
        <v>11.446111111111112</v>
      </c>
      <c r="Q23" s="3">
        <f t="shared" si="1"/>
        <v>0.61111111111111782</v>
      </c>
      <c r="R23" s="3">
        <f t="shared" si="2"/>
        <v>0.35999999999999943</v>
      </c>
      <c r="S23" s="3">
        <f t="shared" si="4"/>
        <v>0.39909090909090916</v>
      </c>
    </row>
    <row r="24" spans="1:19" x14ac:dyDescent="0.25">
      <c r="A24" t="s">
        <v>16</v>
      </c>
      <c r="C24">
        <v>52.047335599999997</v>
      </c>
      <c r="D24">
        <v>-0.57232260000000001</v>
      </c>
      <c r="E24">
        <v>4</v>
      </c>
      <c r="F24">
        <v>4</v>
      </c>
      <c r="G24">
        <v>2022</v>
      </c>
      <c r="H24">
        <v>13</v>
      </c>
      <c r="I24">
        <v>55</v>
      </c>
      <c r="J24">
        <v>18.100000000000001</v>
      </c>
      <c r="K24">
        <v>44.09</v>
      </c>
      <c r="L24">
        <v>0</v>
      </c>
      <c r="M24">
        <v>40.997</v>
      </c>
      <c r="N24">
        <v>0.63700000000000001</v>
      </c>
      <c r="P24" s="1">
        <f t="shared" si="0"/>
        <v>11.388055555555555</v>
      </c>
      <c r="Q24" s="3">
        <f t="shared" si="1"/>
        <v>-0.58055555555556637</v>
      </c>
      <c r="R24" s="3">
        <f t="shared" si="2"/>
        <v>0.33611111111111036</v>
      </c>
      <c r="S24" s="3">
        <f t="shared" si="4"/>
        <v>0.39224747474747479</v>
      </c>
    </row>
    <row r="25" spans="1:19" x14ac:dyDescent="0.25">
      <c r="A25" t="s">
        <v>16</v>
      </c>
      <c r="C25">
        <v>52.047344899999999</v>
      </c>
      <c r="D25">
        <v>-0.57233020000000001</v>
      </c>
      <c r="E25">
        <v>4</v>
      </c>
      <c r="F25">
        <v>4</v>
      </c>
      <c r="G25">
        <v>2022</v>
      </c>
      <c r="H25">
        <v>13</v>
      </c>
      <c r="I25">
        <v>55</v>
      </c>
      <c r="J25">
        <v>18.2</v>
      </c>
      <c r="K25">
        <v>44.12</v>
      </c>
      <c r="L25">
        <v>0</v>
      </c>
      <c r="M25">
        <v>41.17</v>
      </c>
      <c r="N25">
        <v>0.65200000000000002</v>
      </c>
      <c r="P25" s="1">
        <f t="shared" si="0"/>
        <v>11.436111111111112</v>
      </c>
      <c r="Q25" s="3">
        <f t="shared" si="1"/>
        <v>0.4805555555555685</v>
      </c>
      <c r="R25" s="3">
        <f t="shared" si="2"/>
        <v>0.29583333333333428</v>
      </c>
      <c r="S25" s="3">
        <f t="shared" si="4"/>
        <v>0.38196969696969707</v>
      </c>
    </row>
    <row r="26" spans="1:19" x14ac:dyDescent="0.25">
      <c r="A26" t="s">
        <v>16</v>
      </c>
      <c r="C26">
        <v>52.047354300000002</v>
      </c>
      <c r="D26">
        <v>-0.57233750000000005</v>
      </c>
      <c r="E26">
        <v>4</v>
      </c>
      <c r="F26">
        <v>4</v>
      </c>
      <c r="G26">
        <v>2022</v>
      </c>
      <c r="H26">
        <v>13</v>
      </c>
      <c r="I26">
        <v>55</v>
      </c>
      <c r="J26">
        <v>18.3</v>
      </c>
      <c r="K26">
        <v>44.14</v>
      </c>
      <c r="L26">
        <v>0</v>
      </c>
      <c r="M26">
        <v>41.356999999999999</v>
      </c>
      <c r="N26">
        <v>0.65500000000000003</v>
      </c>
      <c r="P26" s="1">
        <f t="shared" si="0"/>
        <v>11.488055555555556</v>
      </c>
      <c r="Q26" s="3">
        <f t="shared" si="1"/>
        <v>0.51944444444444571</v>
      </c>
      <c r="R26" s="3">
        <f t="shared" si="2"/>
        <v>0.38277777777777722</v>
      </c>
      <c r="S26" s="3">
        <f t="shared" si="4"/>
        <v>0.37095959595959599</v>
      </c>
    </row>
    <row r="27" spans="1:19" x14ac:dyDescent="0.25">
      <c r="A27" t="s">
        <v>16</v>
      </c>
      <c r="C27">
        <v>52.047363699999998</v>
      </c>
      <c r="D27">
        <v>-0.57234499999999999</v>
      </c>
      <c r="E27">
        <v>4</v>
      </c>
      <c r="F27">
        <v>4</v>
      </c>
      <c r="G27">
        <v>2022</v>
      </c>
      <c r="H27">
        <v>13</v>
      </c>
      <c r="I27">
        <v>55</v>
      </c>
      <c r="J27">
        <v>18.399999999999999</v>
      </c>
      <c r="K27">
        <v>44.19</v>
      </c>
      <c r="L27">
        <v>0</v>
      </c>
      <c r="M27">
        <v>41.36</v>
      </c>
      <c r="N27">
        <v>0.63700000000000001</v>
      </c>
      <c r="P27" s="1">
        <f t="shared" si="0"/>
        <v>11.488888888888889</v>
      </c>
      <c r="Q27" s="3">
        <f t="shared" si="1"/>
        <v>8.3333333333257542E-3</v>
      </c>
      <c r="R27" s="3">
        <f t="shared" si="2"/>
        <v>0.41805555555555607</v>
      </c>
      <c r="S27" s="3">
        <f t="shared" si="4"/>
        <v>0.36669191919191912</v>
      </c>
    </row>
    <row r="28" spans="1:19" x14ac:dyDescent="0.25">
      <c r="A28" t="s">
        <v>16</v>
      </c>
      <c r="C28">
        <v>52.047373299999997</v>
      </c>
      <c r="D28">
        <v>-0.57235230000000004</v>
      </c>
      <c r="E28">
        <v>4</v>
      </c>
      <c r="F28">
        <v>4</v>
      </c>
      <c r="G28">
        <v>2022</v>
      </c>
      <c r="H28">
        <v>13</v>
      </c>
      <c r="I28">
        <v>55</v>
      </c>
      <c r="J28">
        <v>18.5</v>
      </c>
      <c r="K28">
        <v>44.2</v>
      </c>
      <c r="L28">
        <v>0</v>
      </c>
      <c r="M28">
        <v>41.683999999999997</v>
      </c>
      <c r="N28">
        <v>0.60499999999999998</v>
      </c>
      <c r="P28" s="1">
        <f t="shared" si="0"/>
        <v>11.578888888888889</v>
      </c>
      <c r="Q28" s="3">
        <f t="shared" si="1"/>
        <v>0.89999999999999858</v>
      </c>
      <c r="R28" s="3">
        <f t="shared" si="2"/>
        <v>0.40194444444444422</v>
      </c>
      <c r="S28" s="3">
        <f t="shared" si="4"/>
        <v>0.35934343434343413</v>
      </c>
    </row>
    <row r="29" spans="1:19" x14ac:dyDescent="0.25">
      <c r="A29" t="s">
        <v>16</v>
      </c>
      <c r="C29">
        <v>52.047382800000001</v>
      </c>
      <c r="D29">
        <v>-0.57235959999999997</v>
      </c>
      <c r="E29">
        <v>4</v>
      </c>
      <c r="F29">
        <v>4</v>
      </c>
      <c r="G29">
        <v>2022</v>
      </c>
      <c r="H29">
        <v>13</v>
      </c>
      <c r="I29">
        <v>55</v>
      </c>
      <c r="J29">
        <v>18.600000000000001</v>
      </c>
      <c r="K29">
        <v>44.21</v>
      </c>
      <c r="L29">
        <v>0</v>
      </c>
      <c r="M29">
        <v>41.860999999999997</v>
      </c>
      <c r="N29">
        <v>0.61199999999999999</v>
      </c>
      <c r="P29" s="1">
        <f t="shared" si="0"/>
        <v>11.628055555555555</v>
      </c>
      <c r="Q29" s="3">
        <f t="shared" si="1"/>
        <v>0.49166666666666359</v>
      </c>
      <c r="R29" s="3">
        <f t="shared" si="2"/>
        <v>0.46694444444444549</v>
      </c>
      <c r="S29" s="3">
        <f t="shared" si="4"/>
        <v>0.34797979797979794</v>
      </c>
    </row>
    <row r="30" spans="1:19" x14ac:dyDescent="0.25">
      <c r="A30" t="s">
        <v>16</v>
      </c>
      <c r="C30">
        <v>52.047392299999998</v>
      </c>
      <c r="D30">
        <v>-0.57236710000000002</v>
      </c>
      <c r="E30">
        <v>4</v>
      </c>
      <c r="F30">
        <v>4</v>
      </c>
      <c r="G30">
        <v>2022</v>
      </c>
      <c r="H30">
        <v>13</v>
      </c>
      <c r="I30">
        <v>55</v>
      </c>
      <c r="J30">
        <v>18.7</v>
      </c>
      <c r="K30">
        <v>44.23</v>
      </c>
      <c r="L30">
        <v>0</v>
      </c>
      <c r="M30">
        <v>41.99</v>
      </c>
      <c r="N30">
        <v>0.61899999999999999</v>
      </c>
      <c r="P30" s="1">
        <f t="shared" si="0"/>
        <v>11.66388888888889</v>
      </c>
      <c r="Q30" s="3">
        <f t="shared" si="1"/>
        <v>0.35833333333334494</v>
      </c>
      <c r="R30" s="3">
        <f t="shared" si="2"/>
        <v>0.34999999999999964</v>
      </c>
      <c r="S30" s="3">
        <f t="shared" si="4"/>
        <v>0.34270202020202023</v>
      </c>
    </row>
    <row r="31" spans="1:19" x14ac:dyDescent="0.25">
      <c r="A31" t="s">
        <v>16</v>
      </c>
      <c r="C31">
        <v>52.047401899999997</v>
      </c>
      <c r="D31">
        <v>-0.57237439999999995</v>
      </c>
      <c r="E31">
        <v>4</v>
      </c>
      <c r="F31">
        <v>4</v>
      </c>
      <c r="G31">
        <v>2022</v>
      </c>
      <c r="H31">
        <v>13</v>
      </c>
      <c r="I31">
        <v>55</v>
      </c>
      <c r="J31">
        <v>18.8</v>
      </c>
      <c r="K31">
        <v>44.22</v>
      </c>
      <c r="L31">
        <v>0</v>
      </c>
      <c r="M31">
        <v>42.332000000000001</v>
      </c>
      <c r="N31">
        <v>0.61899999999999999</v>
      </c>
      <c r="P31" s="1">
        <f t="shared" si="0"/>
        <v>11.758888888888889</v>
      </c>
      <c r="Q31" s="3">
        <f t="shared" si="1"/>
        <v>0.94999999999998863</v>
      </c>
      <c r="R31" s="3">
        <f t="shared" si="2"/>
        <v>0.29305555555555429</v>
      </c>
      <c r="S31" s="3">
        <f t="shared" si="4"/>
        <v>0.34146464646464642</v>
      </c>
    </row>
    <row r="32" spans="1:19" x14ac:dyDescent="0.25">
      <c r="A32" t="s">
        <v>16</v>
      </c>
      <c r="C32">
        <v>52.047411599999997</v>
      </c>
      <c r="D32">
        <v>-0.57238160000000005</v>
      </c>
      <c r="E32">
        <v>4</v>
      </c>
      <c r="F32">
        <v>4</v>
      </c>
      <c r="G32">
        <v>2022</v>
      </c>
      <c r="H32">
        <v>13</v>
      </c>
      <c r="I32">
        <v>55</v>
      </c>
      <c r="J32">
        <v>18.899999999999999</v>
      </c>
      <c r="K32">
        <v>44.24</v>
      </c>
      <c r="L32">
        <v>0</v>
      </c>
      <c r="M32">
        <v>42.491</v>
      </c>
      <c r="N32">
        <v>0.61199999999999999</v>
      </c>
      <c r="P32" s="1">
        <f t="shared" si="0"/>
        <v>11.803055555555556</v>
      </c>
      <c r="Q32" s="3">
        <f t="shared" si="1"/>
        <v>0.44166666666667354</v>
      </c>
      <c r="R32" s="3">
        <f t="shared" si="2"/>
        <v>0.35999999999999943</v>
      </c>
      <c r="S32" s="3">
        <f t="shared" si="4"/>
        <v>0.32775252525252524</v>
      </c>
    </row>
    <row r="33" spans="1:19" x14ac:dyDescent="0.25">
      <c r="A33" t="s">
        <v>16</v>
      </c>
      <c r="C33">
        <v>52.047421100000001</v>
      </c>
      <c r="D33">
        <v>-0.57238900000000004</v>
      </c>
      <c r="E33">
        <v>4</v>
      </c>
      <c r="F33">
        <v>4</v>
      </c>
      <c r="G33">
        <v>2022</v>
      </c>
      <c r="H33">
        <v>13</v>
      </c>
      <c r="I33">
        <v>55</v>
      </c>
      <c r="J33">
        <v>19</v>
      </c>
      <c r="K33">
        <v>44.21</v>
      </c>
      <c r="L33">
        <v>0</v>
      </c>
      <c r="M33">
        <v>42.652999999999999</v>
      </c>
      <c r="N33">
        <v>0.61199999999999999</v>
      </c>
      <c r="P33" s="1">
        <f t="shared" si="0"/>
        <v>11.848055555555556</v>
      </c>
      <c r="Q33" s="3">
        <f t="shared" si="1"/>
        <v>0.44999999999999929</v>
      </c>
      <c r="R33" s="3">
        <f t="shared" si="2"/>
        <v>0.28805555555555529</v>
      </c>
      <c r="S33" s="3">
        <f t="shared" si="4"/>
        <v>0.30118686868686856</v>
      </c>
    </row>
    <row r="34" spans="1:19" x14ac:dyDescent="0.25">
      <c r="A34" t="s">
        <v>16</v>
      </c>
      <c r="C34">
        <v>52.047430900000002</v>
      </c>
      <c r="D34">
        <v>-0.57239629999999997</v>
      </c>
      <c r="E34">
        <v>4</v>
      </c>
      <c r="F34">
        <v>4</v>
      </c>
      <c r="G34">
        <v>2022</v>
      </c>
      <c r="H34">
        <v>13</v>
      </c>
      <c r="I34">
        <v>55</v>
      </c>
      <c r="J34">
        <v>19.100000000000001</v>
      </c>
      <c r="K34">
        <v>44.23</v>
      </c>
      <c r="L34">
        <v>0</v>
      </c>
      <c r="M34">
        <v>42.677999999999997</v>
      </c>
      <c r="N34">
        <v>0.59799999999999998</v>
      </c>
      <c r="P34" s="1">
        <f t="shared" si="0"/>
        <v>11.855</v>
      </c>
      <c r="Q34" s="3">
        <f t="shared" si="1"/>
        <v>6.9444444444446418E-2</v>
      </c>
      <c r="R34" s="3">
        <f t="shared" si="2"/>
        <v>0.23500000000000121</v>
      </c>
      <c r="S34" s="3">
        <f t="shared" si="4"/>
        <v>0.28646464646464637</v>
      </c>
    </row>
    <row r="35" spans="1:19" x14ac:dyDescent="0.25">
      <c r="A35" t="s">
        <v>16</v>
      </c>
      <c r="C35">
        <v>52.047440399999999</v>
      </c>
      <c r="D35">
        <v>-0.57240389999999997</v>
      </c>
      <c r="E35">
        <v>4</v>
      </c>
      <c r="F35">
        <v>4</v>
      </c>
      <c r="G35">
        <v>2022</v>
      </c>
      <c r="H35">
        <v>13</v>
      </c>
      <c r="I35">
        <v>55</v>
      </c>
      <c r="J35">
        <v>19.2</v>
      </c>
      <c r="K35">
        <v>44.25</v>
      </c>
      <c r="L35">
        <v>0</v>
      </c>
      <c r="M35">
        <v>42.43</v>
      </c>
      <c r="N35">
        <v>0.60099999999999998</v>
      </c>
      <c r="P35" s="1">
        <f t="shared" si="0"/>
        <v>11.786111111111111</v>
      </c>
      <c r="Q35" s="3">
        <f t="shared" si="1"/>
        <v>-0.68888888888888999</v>
      </c>
      <c r="R35" s="3">
        <f t="shared" si="2"/>
        <v>0.2780555555555555</v>
      </c>
      <c r="S35" s="3">
        <f t="shared" si="4"/>
        <v>0.27436868686868654</v>
      </c>
    </row>
    <row r="36" spans="1:19" x14ac:dyDescent="0.25">
      <c r="A36" t="s">
        <v>16</v>
      </c>
      <c r="C36">
        <v>52.0474502</v>
      </c>
      <c r="D36">
        <v>-0.57241129999999996</v>
      </c>
      <c r="E36">
        <v>4</v>
      </c>
      <c r="F36">
        <v>4</v>
      </c>
      <c r="G36">
        <v>2022</v>
      </c>
      <c r="H36">
        <v>13</v>
      </c>
      <c r="I36">
        <v>55</v>
      </c>
      <c r="J36">
        <v>19.3</v>
      </c>
      <c r="K36">
        <v>44.29</v>
      </c>
      <c r="L36">
        <v>0</v>
      </c>
      <c r="M36">
        <v>42.411999999999999</v>
      </c>
      <c r="N36">
        <v>0.60799999999999998</v>
      </c>
      <c r="P36" s="1">
        <f t="shared" si="0"/>
        <v>11.781111111111111</v>
      </c>
      <c r="Q36" s="3">
        <f t="shared" si="1"/>
        <v>-5.0000000000007816E-2</v>
      </c>
      <c r="R36" s="3">
        <f t="shared" si="2"/>
        <v>0.28222222222222193</v>
      </c>
      <c r="S36" s="3">
        <f t="shared" si="4"/>
        <v>0.25972222222222202</v>
      </c>
    </row>
    <row r="37" spans="1:19" x14ac:dyDescent="0.25">
      <c r="A37" t="s">
        <v>16</v>
      </c>
      <c r="C37">
        <v>52.0474599</v>
      </c>
      <c r="D37">
        <v>-0.57241889999999995</v>
      </c>
      <c r="E37">
        <v>4</v>
      </c>
      <c r="F37">
        <v>4</v>
      </c>
      <c r="G37">
        <v>2022</v>
      </c>
      <c r="H37">
        <v>13</v>
      </c>
      <c r="I37">
        <v>55</v>
      </c>
      <c r="J37">
        <v>19.399999999999999</v>
      </c>
      <c r="K37">
        <v>44.33</v>
      </c>
      <c r="L37">
        <v>0</v>
      </c>
      <c r="M37">
        <v>42.655999999999999</v>
      </c>
      <c r="N37">
        <v>0.61199999999999999</v>
      </c>
      <c r="P37" s="1">
        <f t="shared" si="0"/>
        <v>11.848888888888888</v>
      </c>
      <c r="Q37" s="3">
        <f t="shared" si="1"/>
        <v>0.67777777777777715</v>
      </c>
      <c r="R37" s="3">
        <f t="shared" si="2"/>
        <v>0.23194444444444429</v>
      </c>
      <c r="S37" s="3">
        <f t="shared" si="4"/>
        <v>0.24300505050505047</v>
      </c>
    </row>
    <row r="38" spans="1:19" x14ac:dyDescent="0.25">
      <c r="A38" t="s">
        <v>16</v>
      </c>
      <c r="C38">
        <v>52.047469900000003</v>
      </c>
      <c r="D38">
        <v>-0.57242610000000005</v>
      </c>
      <c r="E38">
        <v>4</v>
      </c>
      <c r="F38">
        <v>4</v>
      </c>
      <c r="G38">
        <v>2022</v>
      </c>
      <c r="H38">
        <v>13</v>
      </c>
      <c r="I38">
        <v>55</v>
      </c>
      <c r="J38">
        <v>19.5</v>
      </c>
      <c r="K38">
        <v>44.37</v>
      </c>
      <c r="L38">
        <v>0</v>
      </c>
      <c r="M38">
        <v>42.720999999999997</v>
      </c>
      <c r="N38">
        <v>0.623</v>
      </c>
      <c r="P38" s="1">
        <f t="shared" si="0"/>
        <v>11.866944444444444</v>
      </c>
      <c r="Q38" s="3">
        <f t="shared" si="1"/>
        <v>0.18055555555555713</v>
      </c>
      <c r="R38" s="3">
        <f t="shared" si="2"/>
        <v>0.12583333333333258</v>
      </c>
      <c r="S38" s="3">
        <f t="shared" si="4"/>
        <v>0.21891414141414148</v>
      </c>
    </row>
    <row r="39" spans="1:19" x14ac:dyDescent="0.25">
      <c r="A39" t="s">
        <v>16</v>
      </c>
      <c r="C39">
        <v>52.047479699999997</v>
      </c>
      <c r="D39">
        <v>-0.57243319999999998</v>
      </c>
      <c r="E39">
        <v>4</v>
      </c>
      <c r="F39">
        <v>4</v>
      </c>
      <c r="G39">
        <v>2022</v>
      </c>
      <c r="H39">
        <v>13</v>
      </c>
      <c r="I39">
        <v>55</v>
      </c>
      <c r="J39">
        <v>19.600000000000001</v>
      </c>
      <c r="K39">
        <v>44.37</v>
      </c>
      <c r="L39">
        <v>0</v>
      </c>
      <c r="M39">
        <v>42.707000000000001</v>
      </c>
      <c r="N39">
        <v>0.63400000000000001</v>
      </c>
      <c r="P39" s="1">
        <f t="shared" si="0"/>
        <v>11.863055555555556</v>
      </c>
      <c r="Q39" s="3">
        <f t="shared" si="1"/>
        <v>-3.8888888888877204E-2</v>
      </c>
      <c r="R39" s="3">
        <f t="shared" si="2"/>
        <v>0.24000000000000021</v>
      </c>
      <c r="S39" s="3">
        <f t="shared" si="4"/>
        <v>0.20108585858585862</v>
      </c>
    </row>
    <row r="40" spans="1:19" x14ac:dyDescent="0.25">
      <c r="A40" t="s">
        <v>16</v>
      </c>
      <c r="C40">
        <v>52.047489599999999</v>
      </c>
      <c r="D40">
        <v>-0.57244010000000001</v>
      </c>
      <c r="E40">
        <v>4</v>
      </c>
      <c r="F40">
        <v>4</v>
      </c>
      <c r="G40">
        <v>2022</v>
      </c>
      <c r="H40">
        <v>13</v>
      </c>
      <c r="I40">
        <v>55</v>
      </c>
      <c r="J40">
        <v>19.7</v>
      </c>
      <c r="K40">
        <v>44.35</v>
      </c>
      <c r="L40">
        <v>0</v>
      </c>
      <c r="M40">
        <v>42.991</v>
      </c>
      <c r="N40">
        <v>0.63700000000000001</v>
      </c>
      <c r="P40" s="1">
        <f t="shared" si="0"/>
        <v>11.941944444444445</v>
      </c>
      <c r="Q40" s="3">
        <f t="shared" si="1"/>
        <v>0.78888888888888786</v>
      </c>
      <c r="R40" s="3">
        <f t="shared" si="2"/>
        <v>0.33388888888888779</v>
      </c>
      <c r="S40" s="3">
        <f t="shared" si="4"/>
        <v>0.197171717171717</v>
      </c>
    </row>
    <row r="41" spans="1:19" x14ac:dyDescent="0.25">
      <c r="A41" t="s">
        <v>16</v>
      </c>
      <c r="C41">
        <v>52.047499500000001</v>
      </c>
      <c r="D41">
        <v>-0.57244700000000004</v>
      </c>
      <c r="E41">
        <v>4</v>
      </c>
      <c r="F41">
        <v>4</v>
      </c>
      <c r="G41">
        <v>2022</v>
      </c>
      <c r="H41">
        <v>13</v>
      </c>
      <c r="I41">
        <v>55</v>
      </c>
      <c r="J41">
        <v>19.8</v>
      </c>
      <c r="K41">
        <v>44.31</v>
      </c>
      <c r="L41">
        <v>0</v>
      </c>
      <c r="M41">
        <v>43.347999999999999</v>
      </c>
      <c r="N41">
        <v>0.63400000000000001</v>
      </c>
      <c r="P41" s="1">
        <f t="shared" si="0"/>
        <v>12.04111111111111</v>
      </c>
      <c r="Q41" s="3">
        <f t="shared" si="1"/>
        <v>0.99166666666665293</v>
      </c>
      <c r="R41" s="3">
        <f t="shared" si="2"/>
        <v>0.18888888888888999</v>
      </c>
      <c r="S41" s="3">
        <f t="shared" si="4"/>
        <v>0.1711616161616161</v>
      </c>
    </row>
    <row r="42" spans="1:19" x14ac:dyDescent="0.25">
      <c r="A42" t="s">
        <v>16</v>
      </c>
      <c r="C42">
        <v>52.0475092</v>
      </c>
      <c r="D42">
        <v>-0.57245380000000001</v>
      </c>
      <c r="E42">
        <v>4</v>
      </c>
      <c r="F42">
        <v>4</v>
      </c>
      <c r="G42">
        <v>2022</v>
      </c>
      <c r="H42">
        <v>13</v>
      </c>
      <c r="I42">
        <v>55</v>
      </c>
      <c r="J42">
        <v>19.899999999999999</v>
      </c>
      <c r="K42">
        <v>44.26</v>
      </c>
      <c r="L42">
        <v>0</v>
      </c>
      <c r="M42">
        <v>43.326000000000001</v>
      </c>
      <c r="N42">
        <v>0.63</v>
      </c>
      <c r="P42" s="1">
        <f t="shared" si="0"/>
        <v>12.035</v>
      </c>
      <c r="Q42" s="3">
        <f t="shared" si="1"/>
        <v>-6.11111111111029E-2</v>
      </c>
      <c r="R42" s="3">
        <f t="shared" si="2"/>
        <v>0.10916666666666686</v>
      </c>
      <c r="S42" s="3">
        <f t="shared" si="4"/>
        <v>0.1378787878787878</v>
      </c>
    </row>
    <row r="43" spans="1:19" x14ac:dyDescent="0.25">
      <c r="A43" t="s">
        <v>16</v>
      </c>
      <c r="C43">
        <v>52.047519000000001</v>
      </c>
      <c r="D43">
        <v>-0.57246019999999997</v>
      </c>
      <c r="E43">
        <v>4</v>
      </c>
      <c r="F43">
        <v>4</v>
      </c>
      <c r="G43">
        <v>2022</v>
      </c>
      <c r="H43">
        <v>13</v>
      </c>
      <c r="I43">
        <v>55</v>
      </c>
      <c r="J43">
        <v>20</v>
      </c>
      <c r="K43">
        <v>44.21</v>
      </c>
      <c r="L43">
        <v>0</v>
      </c>
      <c r="M43">
        <v>43.106000000000002</v>
      </c>
      <c r="N43">
        <v>0.63</v>
      </c>
      <c r="P43" s="1">
        <f t="shared" si="0"/>
        <v>11.973888888888888</v>
      </c>
      <c r="Q43" s="3">
        <f t="shared" si="1"/>
        <v>-0.61111111111111782</v>
      </c>
      <c r="R43" s="3">
        <f t="shared" si="2"/>
        <v>9.5000000000000639E-2</v>
      </c>
      <c r="S43" s="3">
        <f t="shared" si="4"/>
        <v>0.12371212121212126</v>
      </c>
    </row>
    <row r="44" spans="1:19" x14ac:dyDescent="0.25">
      <c r="A44" t="s">
        <v>16</v>
      </c>
      <c r="C44">
        <v>52.047528900000003</v>
      </c>
      <c r="D44">
        <v>-0.5724667</v>
      </c>
      <c r="E44">
        <v>4</v>
      </c>
      <c r="F44">
        <v>4</v>
      </c>
      <c r="G44">
        <v>2022</v>
      </c>
      <c r="H44">
        <v>13</v>
      </c>
      <c r="I44">
        <v>55</v>
      </c>
      <c r="J44">
        <v>20.100000000000001</v>
      </c>
      <c r="K44">
        <v>44.15</v>
      </c>
      <c r="L44">
        <v>0</v>
      </c>
      <c r="M44">
        <v>43.542000000000002</v>
      </c>
      <c r="N44">
        <v>0.64100000000000001</v>
      </c>
      <c r="P44" s="1">
        <f t="shared" si="0"/>
        <v>12.095000000000001</v>
      </c>
      <c r="Q44" s="3">
        <f t="shared" si="1"/>
        <v>1.2111111111111228</v>
      </c>
      <c r="R44" s="3">
        <f t="shared" si="2"/>
        <v>9.1944444444443718E-2</v>
      </c>
      <c r="S44" s="3">
        <f t="shared" si="4"/>
        <v>0.10126262626262626</v>
      </c>
    </row>
    <row r="45" spans="1:19" x14ac:dyDescent="0.25">
      <c r="A45" t="s">
        <v>16</v>
      </c>
      <c r="C45">
        <v>52.047538899999999</v>
      </c>
      <c r="D45">
        <v>-0.57247320000000002</v>
      </c>
      <c r="E45">
        <v>4</v>
      </c>
      <c r="F45">
        <v>4</v>
      </c>
      <c r="G45">
        <v>2022</v>
      </c>
      <c r="H45">
        <v>13</v>
      </c>
      <c r="I45">
        <v>55</v>
      </c>
      <c r="J45">
        <v>20.2</v>
      </c>
      <c r="K45">
        <v>44.11</v>
      </c>
      <c r="L45">
        <v>0</v>
      </c>
      <c r="M45">
        <v>43.631999999999998</v>
      </c>
      <c r="N45">
        <v>0.64100000000000001</v>
      </c>
      <c r="P45" s="1">
        <f t="shared" si="0"/>
        <v>12.12</v>
      </c>
      <c r="Q45" s="3">
        <f t="shared" si="1"/>
        <v>0.24999999999998579</v>
      </c>
      <c r="R45" s="3">
        <f t="shared" si="2"/>
        <v>0.19194444444444336</v>
      </c>
      <c r="S45" s="3">
        <f t="shared" si="4"/>
        <v>7.0631313131313114E-2</v>
      </c>
    </row>
    <row r="46" spans="1:19" x14ac:dyDescent="0.25">
      <c r="A46" t="s">
        <v>16</v>
      </c>
      <c r="C46">
        <v>52.047548800000001</v>
      </c>
      <c r="D46">
        <v>-0.57247970000000004</v>
      </c>
      <c r="E46">
        <v>4</v>
      </c>
      <c r="F46">
        <v>4</v>
      </c>
      <c r="G46">
        <v>2022</v>
      </c>
      <c r="H46">
        <v>13</v>
      </c>
      <c r="I46">
        <v>55</v>
      </c>
      <c r="J46">
        <v>20.3</v>
      </c>
      <c r="K46">
        <v>44.11</v>
      </c>
      <c r="L46">
        <v>0</v>
      </c>
      <c r="M46">
        <v>43.091999999999999</v>
      </c>
      <c r="N46">
        <v>0.64400000000000002</v>
      </c>
      <c r="P46" s="1">
        <f t="shared" si="0"/>
        <v>11.97</v>
      </c>
      <c r="Q46" s="3">
        <f t="shared" si="1"/>
        <v>-1.4999999999999858</v>
      </c>
      <c r="R46" s="3">
        <f t="shared" si="2"/>
        <v>-8.0555555555541503E-3</v>
      </c>
      <c r="S46" s="3">
        <f t="shared" si="4"/>
        <v>5.6010101010101045E-2</v>
      </c>
    </row>
    <row r="47" spans="1:19" x14ac:dyDescent="0.25">
      <c r="A47" t="s">
        <v>16</v>
      </c>
      <c r="C47">
        <v>52.047558799999997</v>
      </c>
      <c r="D47">
        <v>-0.57248639999999995</v>
      </c>
      <c r="E47">
        <v>4</v>
      </c>
      <c r="F47">
        <v>4</v>
      </c>
      <c r="G47">
        <v>2022</v>
      </c>
      <c r="H47">
        <v>13</v>
      </c>
      <c r="I47">
        <v>55</v>
      </c>
      <c r="J47">
        <v>20.399999999999999</v>
      </c>
      <c r="K47">
        <v>44.13</v>
      </c>
      <c r="L47">
        <v>0</v>
      </c>
      <c r="M47">
        <v>43.048999999999999</v>
      </c>
      <c r="N47">
        <v>0.64800000000000002</v>
      </c>
      <c r="P47" s="1">
        <f t="shared" si="0"/>
        <v>11.958055555555555</v>
      </c>
      <c r="Q47" s="3">
        <f t="shared" si="1"/>
        <v>-0.11944444444445423</v>
      </c>
      <c r="R47" s="3">
        <f t="shared" si="2"/>
        <v>-8.3888888888889568E-2</v>
      </c>
      <c r="S47" s="3">
        <f t="shared" si="4"/>
        <v>6.2020202020202024E-2</v>
      </c>
    </row>
    <row r="48" spans="1:19" x14ac:dyDescent="0.25">
      <c r="A48" t="s">
        <v>16</v>
      </c>
      <c r="C48">
        <v>52.047569000000003</v>
      </c>
      <c r="D48">
        <v>-0.57249280000000002</v>
      </c>
      <c r="E48">
        <v>4</v>
      </c>
      <c r="F48">
        <v>4</v>
      </c>
      <c r="G48">
        <v>2022</v>
      </c>
      <c r="H48">
        <v>13</v>
      </c>
      <c r="I48">
        <v>55</v>
      </c>
      <c r="J48">
        <v>20.5</v>
      </c>
      <c r="K48">
        <v>44.15</v>
      </c>
      <c r="L48">
        <v>0</v>
      </c>
      <c r="M48">
        <v>43.063000000000002</v>
      </c>
      <c r="N48">
        <v>0.66200000000000003</v>
      </c>
      <c r="P48" s="1">
        <f t="shared" si="0"/>
        <v>11.961944444444445</v>
      </c>
      <c r="Q48" s="3">
        <f t="shared" si="1"/>
        <v>3.8888888888894968E-2</v>
      </c>
      <c r="R48" s="3">
        <f t="shared" si="2"/>
        <v>7.6111111111112351E-2</v>
      </c>
      <c r="S48" s="3">
        <f t="shared" si="4"/>
        <v>6.3383838383838279E-2</v>
      </c>
    </row>
    <row r="49" spans="1:19" x14ac:dyDescent="0.25">
      <c r="A49" t="s">
        <v>16</v>
      </c>
      <c r="C49">
        <v>52.047579300000002</v>
      </c>
      <c r="D49">
        <v>-0.57249870000000003</v>
      </c>
      <c r="E49">
        <v>4</v>
      </c>
      <c r="F49">
        <v>4</v>
      </c>
      <c r="G49">
        <v>2022</v>
      </c>
      <c r="H49">
        <v>13</v>
      </c>
      <c r="I49">
        <v>55</v>
      </c>
      <c r="J49">
        <v>20.6</v>
      </c>
      <c r="K49">
        <v>44.19</v>
      </c>
      <c r="L49">
        <v>0</v>
      </c>
      <c r="M49">
        <v>43.037999999999997</v>
      </c>
      <c r="N49">
        <v>0.66600000000000004</v>
      </c>
      <c r="P49" s="1">
        <f t="shared" si="0"/>
        <v>11.955</v>
      </c>
      <c r="Q49" s="3">
        <f t="shared" si="1"/>
        <v>-6.9444444444446418E-2</v>
      </c>
      <c r="R49" s="3">
        <f t="shared" si="2"/>
        <v>-0.12111111111111228</v>
      </c>
      <c r="S49" s="3">
        <f t="shared" si="4"/>
        <v>7.4747474747474646E-2</v>
      </c>
    </row>
    <row r="50" spans="1:19" x14ac:dyDescent="0.25">
      <c r="A50" t="s">
        <v>16</v>
      </c>
      <c r="C50">
        <v>52.047589799999997</v>
      </c>
      <c r="D50">
        <v>-0.57250489999999998</v>
      </c>
      <c r="E50">
        <v>4</v>
      </c>
      <c r="F50">
        <v>4</v>
      </c>
      <c r="G50">
        <v>2022</v>
      </c>
      <c r="H50">
        <v>13</v>
      </c>
      <c r="I50">
        <v>55</v>
      </c>
      <c r="J50">
        <v>20.7</v>
      </c>
      <c r="K50">
        <v>44.21</v>
      </c>
      <c r="L50">
        <v>0</v>
      </c>
      <c r="M50">
        <v>43.682000000000002</v>
      </c>
      <c r="N50">
        <v>0.623</v>
      </c>
      <c r="P50" s="1">
        <f t="shared" si="0"/>
        <v>12.133888888888889</v>
      </c>
      <c r="Q50" s="3">
        <f t="shared" si="1"/>
        <v>1.7888888888888843</v>
      </c>
      <c r="R50" s="3">
        <f t="shared" si="2"/>
        <v>-9.69444444444445E-2</v>
      </c>
      <c r="S50" s="3">
        <f t="shared" si="4"/>
        <v>7.3030303030302987E-2</v>
      </c>
    </row>
    <row r="51" spans="1:19" x14ac:dyDescent="0.25">
      <c r="A51" t="s">
        <v>16</v>
      </c>
      <c r="C51">
        <v>52.047599900000002</v>
      </c>
      <c r="D51">
        <v>-0.57251099999999999</v>
      </c>
      <c r="E51">
        <v>4</v>
      </c>
      <c r="F51">
        <v>4</v>
      </c>
      <c r="G51">
        <v>2022</v>
      </c>
      <c r="H51">
        <v>13</v>
      </c>
      <c r="I51">
        <v>55</v>
      </c>
      <c r="J51">
        <v>20.8</v>
      </c>
      <c r="K51">
        <v>44.18</v>
      </c>
      <c r="L51">
        <v>0</v>
      </c>
      <c r="M51">
        <v>43.319000000000003</v>
      </c>
      <c r="N51">
        <v>0.61599999999999999</v>
      </c>
      <c r="P51" s="1">
        <f t="shared" si="0"/>
        <v>12.033055555555556</v>
      </c>
      <c r="Q51" s="3">
        <f t="shared" si="1"/>
        <v>-1.0083333333333222</v>
      </c>
      <c r="R51" s="3">
        <f t="shared" si="2"/>
        <v>0.17305555555555507</v>
      </c>
      <c r="S51" s="3">
        <f t="shared" si="4"/>
        <v>6.540404040404045E-2</v>
      </c>
    </row>
    <row r="52" spans="1:19" x14ac:dyDescent="0.25">
      <c r="A52" t="s">
        <v>16</v>
      </c>
      <c r="C52">
        <v>52.047609899999998</v>
      </c>
      <c r="D52">
        <v>-0.57251719999999995</v>
      </c>
      <c r="E52">
        <v>4</v>
      </c>
      <c r="F52">
        <v>4</v>
      </c>
      <c r="G52">
        <v>2022</v>
      </c>
      <c r="H52">
        <v>13</v>
      </c>
      <c r="I52">
        <v>55</v>
      </c>
      <c r="J52">
        <v>20.9</v>
      </c>
      <c r="K52">
        <v>44.19</v>
      </c>
      <c r="L52">
        <v>0</v>
      </c>
      <c r="M52">
        <v>43.024000000000001</v>
      </c>
      <c r="N52">
        <v>0.626</v>
      </c>
      <c r="P52" s="1">
        <f t="shared" si="0"/>
        <v>11.951111111111111</v>
      </c>
      <c r="Q52" s="3">
        <f t="shared" si="1"/>
        <v>-0.81944444444445708</v>
      </c>
      <c r="R52" s="3">
        <f t="shared" si="2"/>
        <v>0.25500000000000078</v>
      </c>
      <c r="S52" s="3">
        <f t="shared" si="4"/>
        <v>8.1136363636363645E-2</v>
      </c>
    </row>
    <row r="53" spans="1:19" x14ac:dyDescent="0.25">
      <c r="A53" t="s">
        <v>16</v>
      </c>
      <c r="C53">
        <v>52.047619900000001</v>
      </c>
      <c r="D53">
        <v>-0.57252340000000002</v>
      </c>
      <c r="E53">
        <v>4</v>
      </c>
      <c r="F53">
        <v>4</v>
      </c>
      <c r="G53">
        <v>2022</v>
      </c>
      <c r="H53">
        <v>13</v>
      </c>
      <c r="I53">
        <v>55</v>
      </c>
      <c r="J53">
        <v>21</v>
      </c>
      <c r="K53">
        <v>44.15</v>
      </c>
      <c r="L53">
        <v>0</v>
      </c>
      <c r="M53">
        <v>43.38</v>
      </c>
      <c r="N53">
        <v>0.63</v>
      </c>
      <c r="P53" s="1">
        <f t="shared" si="0"/>
        <v>12.05</v>
      </c>
      <c r="Q53" s="3">
        <f t="shared" si="1"/>
        <v>0.98888888888890136</v>
      </c>
      <c r="R53" s="3">
        <f t="shared" si="2"/>
        <v>0.12416666666666565</v>
      </c>
      <c r="S53" s="3">
        <f t="shared" si="4"/>
        <v>9.257575757575752E-2</v>
      </c>
    </row>
    <row r="54" spans="1:19" x14ac:dyDescent="0.25">
      <c r="A54" t="s">
        <v>16</v>
      </c>
      <c r="C54">
        <v>52.047629899999997</v>
      </c>
      <c r="D54">
        <v>-0.57252939999999997</v>
      </c>
      <c r="E54">
        <v>4</v>
      </c>
      <c r="F54">
        <v>4</v>
      </c>
      <c r="G54">
        <v>2022</v>
      </c>
      <c r="H54">
        <v>13</v>
      </c>
      <c r="I54">
        <v>55</v>
      </c>
      <c r="J54">
        <v>21.1</v>
      </c>
      <c r="K54">
        <v>44.12</v>
      </c>
      <c r="L54">
        <v>0</v>
      </c>
      <c r="M54">
        <v>43.106000000000002</v>
      </c>
      <c r="N54">
        <v>0.623</v>
      </c>
      <c r="P54" s="1">
        <f t="shared" si="0"/>
        <v>11.973888888888888</v>
      </c>
      <c r="Q54" s="3">
        <f t="shared" si="1"/>
        <v>-0.76111111111112351</v>
      </c>
      <c r="R54" s="3">
        <f t="shared" si="2"/>
        <v>0.22000000000000064</v>
      </c>
      <c r="S54" s="3">
        <f t="shared" si="4"/>
        <v>9.0934343434343354E-2</v>
      </c>
    </row>
    <row r="55" spans="1:19" x14ac:dyDescent="0.25">
      <c r="A55" t="s">
        <v>16</v>
      </c>
      <c r="C55">
        <v>52.047640100000002</v>
      </c>
      <c r="D55">
        <v>-0.57253529999999997</v>
      </c>
      <c r="E55">
        <v>4</v>
      </c>
      <c r="F55">
        <v>4</v>
      </c>
      <c r="G55">
        <v>2022</v>
      </c>
      <c r="H55">
        <v>13</v>
      </c>
      <c r="I55">
        <v>55</v>
      </c>
      <c r="J55">
        <v>21.2</v>
      </c>
      <c r="K55">
        <v>44.12</v>
      </c>
      <c r="L55">
        <v>0</v>
      </c>
      <c r="M55">
        <v>43.283000000000001</v>
      </c>
      <c r="N55">
        <v>0.64100000000000001</v>
      </c>
      <c r="P55" s="1">
        <f t="shared" si="0"/>
        <v>12.023055555555555</v>
      </c>
      <c r="Q55" s="3">
        <f t="shared" si="1"/>
        <v>0.49166666666666359</v>
      </c>
      <c r="R55" s="3">
        <f t="shared" si="2"/>
        <v>7.3055555555555429E-2</v>
      </c>
      <c r="S55" s="3">
        <f t="shared" si="4"/>
        <v>0.10184343434343451</v>
      </c>
    </row>
    <row r="56" spans="1:19" x14ac:dyDescent="0.25">
      <c r="A56" t="s">
        <v>16</v>
      </c>
      <c r="C56">
        <v>52.047650400000002</v>
      </c>
      <c r="D56">
        <v>-0.57254130000000003</v>
      </c>
      <c r="E56">
        <v>4</v>
      </c>
      <c r="F56">
        <v>4</v>
      </c>
      <c r="G56">
        <v>2022</v>
      </c>
      <c r="H56">
        <v>13</v>
      </c>
      <c r="I56">
        <v>55</v>
      </c>
      <c r="J56">
        <v>21.3</v>
      </c>
      <c r="K56">
        <v>44.11</v>
      </c>
      <c r="L56">
        <v>0</v>
      </c>
      <c r="M56">
        <v>43.715000000000003</v>
      </c>
      <c r="N56">
        <v>0.64400000000000002</v>
      </c>
      <c r="P56" s="1">
        <f t="shared" si="0"/>
        <v>12.143055555555556</v>
      </c>
      <c r="Q56" s="3">
        <f t="shared" si="1"/>
        <v>1.2000000000000099</v>
      </c>
      <c r="R56" s="3">
        <f t="shared" si="2"/>
        <v>0.10805555555555557</v>
      </c>
      <c r="S56" s="3">
        <f t="shared" si="4"/>
        <v>9.6287878787878908E-2</v>
      </c>
    </row>
    <row r="57" spans="1:19" x14ac:dyDescent="0.25">
      <c r="A57" t="s">
        <v>16</v>
      </c>
      <c r="C57">
        <v>52.0476606</v>
      </c>
      <c r="D57">
        <v>-0.57254709999999998</v>
      </c>
      <c r="E57">
        <v>4</v>
      </c>
      <c r="F57">
        <v>4</v>
      </c>
      <c r="G57">
        <v>2022</v>
      </c>
      <c r="H57">
        <v>13</v>
      </c>
      <c r="I57">
        <v>55</v>
      </c>
      <c r="J57">
        <v>21.4</v>
      </c>
      <c r="K57">
        <v>44.06</v>
      </c>
      <c r="L57">
        <v>0</v>
      </c>
      <c r="M57">
        <v>43.966999999999999</v>
      </c>
      <c r="N57">
        <v>0.64400000000000002</v>
      </c>
      <c r="P57" s="1">
        <f t="shared" si="0"/>
        <v>12.213055555555556</v>
      </c>
      <c r="Q57" s="3">
        <f t="shared" si="1"/>
        <v>0.70000000000000284</v>
      </c>
      <c r="R57" s="3">
        <f t="shared" si="2"/>
        <v>0.16500000000000092</v>
      </c>
      <c r="S57" s="3">
        <f t="shared" si="4"/>
        <v>6.5555555555555631E-2</v>
      </c>
    </row>
    <row r="58" spans="1:19" x14ac:dyDescent="0.25">
      <c r="A58" t="s">
        <v>16</v>
      </c>
      <c r="C58">
        <v>52.047670599999996</v>
      </c>
      <c r="D58">
        <v>-0.57255319999999998</v>
      </c>
      <c r="E58">
        <v>4</v>
      </c>
      <c r="F58">
        <v>4</v>
      </c>
      <c r="G58">
        <v>2022</v>
      </c>
      <c r="H58">
        <v>13</v>
      </c>
      <c r="I58">
        <v>55</v>
      </c>
      <c r="J58">
        <v>21.5</v>
      </c>
      <c r="K58">
        <v>44.02</v>
      </c>
      <c r="L58">
        <v>0</v>
      </c>
      <c r="M58">
        <v>43.51</v>
      </c>
      <c r="N58">
        <v>0.67300000000000004</v>
      </c>
      <c r="P58" s="1">
        <f t="shared" si="0"/>
        <v>12.08611111111111</v>
      </c>
      <c r="Q58" s="3">
        <f t="shared" si="1"/>
        <v>-1.2694444444444564</v>
      </c>
      <c r="R58" s="3">
        <f t="shared" si="2"/>
        <v>4.1944444444443008E-2</v>
      </c>
      <c r="S58" s="3">
        <f t="shared" si="4"/>
        <v>3.835858585858596E-2</v>
      </c>
    </row>
    <row r="59" spans="1:19" x14ac:dyDescent="0.25">
      <c r="A59" t="s">
        <v>16</v>
      </c>
      <c r="C59">
        <v>52.047680800000002</v>
      </c>
      <c r="D59">
        <v>-0.57255940000000005</v>
      </c>
      <c r="E59">
        <v>4</v>
      </c>
      <c r="F59">
        <v>4</v>
      </c>
      <c r="G59">
        <v>2022</v>
      </c>
      <c r="H59">
        <v>13</v>
      </c>
      <c r="I59">
        <v>55</v>
      </c>
      <c r="J59">
        <v>21.6</v>
      </c>
      <c r="K59">
        <v>43.99</v>
      </c>
      <c r="L59">
        <v>0</v>
      </c>
      <c r="M59">
        <v>43.83</v>
      </c>
      <c r="N59">
        <v>0.68400000000000005</v>
      </c>
      <c r="P59" s="1">
        <f t="shared" si="0"/>
        <v>12.175000000000001</v>
      </c>
      <c r="Q59" s="3">
        <f t="shared" si="1"/>
        <v>0.88888888888890349</v>
      </c>
      <c r="R59" s="3">
        <f t="shared" si="2"/>
        <v>5.8055555555556637E-2</v>
      </c>
      <c r="S59" s="3">
        <f t="shared" si="4"/>
        <v>2.0151515151515233E-2</v>
      </c>
    </row>
    <row r="60" spans="1:19" x14ac:dyDescent="0.25">
      <c r="A60" t="s">
        <v>16</v>
      </c>
      <c r="C60">
        <v>52.047691</v>
      </c>
      <c r="D60">
        <v>-0.57256569999999996</v>
      </c>
      <c r="E60">
        <v>4</v>
      </c>
      <c r="F60">
        <v>4</v>
      </c>
      <c r="G60">
        <v>2022</v>
      </c>
      <c r="H60">
        <v>13</v>
      </c>
      <c r="I60">
        <v>55</v>
      </c>
      <c r="J60">
        <v>21.7</v>
      </c>
      <c r="K60">
        <v>43.97</v>
      </c>
      <c r="L60">
        <v>0</v>
      </c>
      <c r="M60">
        <v>43.945</v>
      </c>
      <c r="N60">
        <v>0.69099999999999995</v>
      </c>
      <c r="P60" s="1">
        <f t="shared" si="0"/>
        <v>12.206944444444444</v>
      </c>
      <c r="Q60" s="3">
        <f t="shared" si="1"/>
        <v>0.31944444444443221</v>
      </c>
      <c r="R60" s="3">
        <f t="shared" si="2"/>
        <v>-1.1111111111095084E-3</v>
      </c>
      <c r="S60" s="3">
        <f t="shared" si="4"/>
        <v>-6.212121212121214E-3</v>
      </c>
    </row>
    <row r="61" spans="1:19" x14ac:dyDescent="0.25">
      <c r="A61" t="s">
        <v>16</v>
      </c>
      <c r="C61">
        <v>52.047701199999999</v>
      </c>
      <c r="D61">
        <v>-0.57257199999999997</v>
      </c>
      <c r="E61">
        <v>4</v>
      </c>
      <c r="F61">
        <v>4</v>
      </c>
      <c r="G61">
        <v>2022</v>
      </c>
      <c r="H61">
        <v>13</v>
      </c>
      <c r="I61">
        <v>55</v>
      </c>
      <c r="J61">
        <v>21.8</v>
      </c>
      <c r="K61">
        <v>43.96</v>
      </c>
      <c r="L61">
        <v>0</v>
      </c>
      <c r="M61">
        <v>43.707999999999998</v>
      </c>
      <c r="N61">
        <v>0.68799999999999994</v>
      </c>
      <c r="P61" s="1">
        <f t="shared" si="0"/>
        <v>12.141111111111112</v>
      </c>
      <c r="Q61" s="3">
        <f t="shared" si="1"/>
        <v>-0.65833333333332078</v>
      </c>
      <c r="R61" s="3">
        <f t="shared" si="2"/>
        <v>-0.15805555555555628</v>
      </c>
      <c r="S61" s="3">
        <f t="shared" si="4"/>
        <v>-2.113636363636363E-2</v>
      </c>
    </row>
    <row r="62" spans="1:19" x14ac:dyDescent="0.25">
      <c r="A62" t="s">
        <v>16</v>
      </c>
      <c r="C62">
        <v>52.047711300000003</v>
      </c>
      <c r="D62">
        <v>-0.57257829999999998</v>
      </c>
      <c r="E62">
        <v>4</v>
      </c>
      <c r="F62">
        <v>4</v>
      </c>
      <c r="G62">
        <v>2022</v>
      </c>
      <c r="H62">
        <v>13</v>
      </c>
      <c r="I62">
        <v>55</v>
      </c>
      <c r="J62">
        <v>21.9</v>
      </c>
      <c r="K62">
        <v>43.95</v>
      </c>
      <c r="L62">
        <v>0</v>
      </c>
      <c r="M62">
        <v>43.618000000000002</v>
      </c>
      <c r="N62">
        <v>0.67</v>
      </c>
      <c r="P62" s="1">
        <f t="shared" si="0"/>
        <v>12.116111111111111</v>
      </c>
      <c r="Q62" s="3">
        <f t="shared" si="1"/>
        <v>-0.25000000000000355</v>
      </c>
      <c r="R62" s="3">
        <f t="shared" si="2"/>
        <v>-0.16500000000000092</v>
      </c>
      <c r="S62" s="3">
        <f t="shared" si="4"/>
        <v>-3.0959595959595954E-2</v>
      </c>
    </row>
    <row r="63" spans="1:19" x14ac:dyDescent="0.25">
      <c r="A63" t="s">
        <v>16</v>
      </c>
      <c r="C63">
        <v>52.047721600000003</v>
      </c>
      <c r="D63">
        <v>-0.57258439999999999</v>
      </c>
      <c r="E63">
        <v>4</v>
      </c>
      <c r="F63">
        <v>4</v>
      </c>
      <c r="G63">
        <v>2022</v>
      </c>
      <c r="H63">
        <v>13</v>
      </c>
      <c r="I63">
        <v>55</v>
      </c>
      <c r="J63">
        <v>22</v>
      </c>
      <c r="K63">
        <v>43.97</v>
      </c>
      <c r="L63">
        <v>0</v>
      </c>
      <c r="M63">
        <v>43.530999999999999</v>
      </c>
      <c r="N63">
        <v>0.68400000000000005</v>
      </c>
      <c r="P63" s="1">
        <f t="shared" si="0"/>
        <v>12.091944444444444</v>
      </c>
      <c r="Q63" s="3">
        <f t="shared" si="1"/>
        <v>-0.2416666666666778</v>
      </c>
      <c r="R63" s="3">
        <f t="shared" si="2"/>
        <v>-4.4166666666665577E-2</v>
      </c>
      <c r="S63" s="3">
        <f t="shared" si="4"/>
        <v>-4.6035353535353547E-2</v>
      </c>
    </row>
    <row r="64" spans="1:19" x14ac:dyDescent="0.25">
      <c r="A64" t="s">
        <v>16</v>
      </c>
      <c r="C64">
        <v>52.0477317</v>
      </c>
      <c r="D64">
        <v>-0.57259079999999996</v>
      </c>
      <c r="E64">
        <v>4</v>
      </c>
      <c r="F64">
        <v>4</v>
      </c>
      <c r="G64">
        <v>2022</v>
      </c>
      <c r="H64">
        <v>13</v>
      </c>
      <c r="I64">
        <v>55</v>
      </c>
      <c r="J64">
        <v>22.1</v>
      </c>
      <c r="K64">
        <v>43.98</v>
      </c>
      <c r="L64">
        <v>0</v>
      </c>
      <c r="M64">
        <v>43.314999999999998</v>
      </c>
      <c r="N64">
        <v>0.69099999999999995</v>
      </c>
      <c r="P64" s="1">
        <f t="shared" si="0"/>
        <v>12.031944444444445</v>
      </c>
      <c r="Q64" s="3">
        <f t="shared" si="1"/>
        <v>-0.59999999999998721</v>
      </c>
      <c r="R64" s="3">
        <f t="shared" si="2"/>
        <v>-7.6111111111112351E-2</v>
      </c>
      <c r="S64" s="3">
        <f t="shared" si="4"/>
        <v>-3.8383838383838249E-2</v>
      </c>
    </row>
    <row r="65" spans="1:19" x14ac:dyDescent="0.25">
      <c r="A65" t="s">
        <v>16</v>
      </c>
      <c r="C65">
        <v>52.047742</v>
      </c>
      <c r="D65">
        <v>-0.57259729999999998</v>
      </c>
      <c r="E65">
        <v>4</v>
      </c>
      <c r="F65">
        <v>4</v>
      </c>
      <c r="G65">
        <v>2022</v>
      </c>
      <c r="H65">
        <v>13</v>
      </c>
      <c r="I65">
        <v>55</v>
      </c>
      <c r="J65">
        <v>22.2</v>
      </c>
      <c r="K65">
        <v>44.01</v>
      </c>
      <c r="L65">
        <v>0</v>
      </c>
      <c r="M65">
        <v>43.279000000000003</v>
      </c>
      <c r="N65">
        <v>0.68400000000000005</v>
      </c>
      <c r="P65" s="1">
        <f t="shared" si="0"/>
        <v>12.021944444444445</v>
      </c>
      <c r="Q65" s="3">
        <f t="shared" si="1"/>
        <v>-9.9999999999997868E-2</v>
      </c>
      <c r="R65" s="3">
        <f t="shared" si="2"/>
        <v>-7.0000000000000284E-2</v>
      </c>
      <c r="S65" s="3">
        <f t="shared" si="4"/>
        <v>-4.2020202020202131E-2</v>
      </c>
    </row>
    <row r="66" spans="1:19" x14ac:dyDescent="0.25">
      <c r="A66" t="s">
        <v>16</v>
      </c>
      <c r="C66">
        <v>52.047752099999997</v>
      </c>
      <c r="D66">
        <v>-0.57260350000000004</v>
      </c>
      <c r="E66">
        <v>4</v>
      </c>
      <c r="F66">
        <v>4</v>
      </c>
      <c r="G66">
        <v>2022</v>
      </c>
      <c r="H66">
        <v>13</v>
      </c>
      <c r="I66">
        <v>55</v>
      </c>
      <c r="J66">
        <v>22.3</v>
      </c>
      <c r="K66">
        <v>44.01</v>
      </c>
      <c r="L66">
        <v>0</v>
      </c>
      <c r="M66">
        <v>43.146000000000001</v>
      </c>
      <c r="N66">
        <v>0.70199999999999996</v>
      </c>
      <c r="P66" s="1">
        <f t="shared" si="0"/>
        <v>11.984999999999999</v>
      </c>
      <c r="Q66" s="3">
        <f t="shared" si="1"/>
        <v>-0.36944444444445779</v>
      </c>
      <c r="R66" s="3">
        <f t="shared" si="2"/>
        <v>-9.1111111111111143E-2</v>
      </c>
      <c r="S66" s="3">
        <f t="shared" si="4"/>
        <v>-4.4191919191919317E-2</v>
      </c>
    </row>
    <row r="67" spans="1:19" x14ac:dyDescent="0.25">
      <c r="A67" t="s">
        <v>16</v>
      </c>
      <c r="C67">
        <v>52.047762400000003</v>
      </c>
      <c r="D67">
        <v>-0.57260979999999995</v>
      </c>
      <c r="E67">
        <v>4</v>
      </c>
      <c r="F67">
        <v>4</v>
      </c>
      <c r="G67">
        <v>2022</v>
      </c>
      <c r="H67">
        <v>13</v>
      </c>
      <c r="I67">
        <v>55</v>
      </c>
      <c r="J67">
        <v>22.4</v>
      </c>
      <c r="K67">
        <v>44.03</v>
      </c>
      <c r="L67">
        <v>0</v>
      </c>
      <c r="M67">
        <v>43.372999999999998</v>
      </c>
      <c r="N67">
        <v>0.69799999999999995</v>
      </c>
      <c r="P67" s="1">
        <f t="shared" ref="P67:P130" si="5">M67*1000/3600</f>
        <v>12.048055555555555</v>
      </c>
      <c r="Q67" s="3">
        <f t="shared" si="1"/>
        <v>0.63055555555555642</v>
      </c>
      <c r="R67" s="3">
        <f t="shared" si="2"/>
        <v>0</v>
      </c>
      <c r="S67" s="3">
        <f t="shared" si="4"/>
        <v>-3.8838383838383936E-2</v>
      </c>
    </row>
    <row r="68" spans="1:19" x14ac:dyDescent="0.25">
      <c r="A68" t="s">
        <v>16</v>
      </c>
      <c r="C68">
        <v>52.047772399999999</v>
      </c>
      <c r="D68">
        <v>-0.57261600000000001</v>
      </c>
      <c r="E68">
        <v>4</v>
      </c>
      <c r="F68">
        <v>4</v>
      </c>
      <c r="G68">
        <v>2022</v>
      </c>
      <c r="H68">
        <v>13</v>
      </c>
      <c r="I68">
        <v>55</v>
      </c>
      <c r="J68">
        <v>22.5</v>
      </c>
      <c r="K68">
        <v>44.01</v>
      </c>
      <c r="L68">
        <v>0</v>
      </c>
      <c r="M68">
        <v>43.350999999999999</v>
      </c>
      <c r="N68">
        <v>0.67300000000000004</v>
      </c>
      <c r="P68" s="1">
        <f t="shared" si="5"/>
        <v>12.041944444444445</v>
      </c>
      <c r="Q68" s="3">
        <f t="shared" si="1"/>
        <v>-6.11111111111029E-2</v>
      </c>
      <c r="R68" s="3">
        <f t="shared" si="2"/>
        <v>-8.3333333333257542E-4</v>
      </c>
      <c r="S68" s="3">
        <f t="shared" si="4"/>
        <v>-4.1742424242424227E-2</v>
      </c>
    </row>
    <row r="69" spans="1:19" x14ac:dyDescent="0.25">
      <c r="A69" t="s">
        <v>16</v>
      </c>
      <c r="C69">
        <v>52.047782599999998</v>
      </c>
      <c r="D69">
        <v>-0.57262250000000003</v>
      </c>
      <c r="E69">
        <v>4</v>
      </c>
      <c r="F69">
        <v>4</v>
      </c>
      <c r="G69">
        <v>2022</v>
      </c>
      <c r="H69">
        <v>13</v>
      </c>
      <c r="I69">
        <v>55</v>
      </c>
      <c r="J69">
        <v>22.6</v>
      </c>
      <c r="K69">
        <v>44</v>
      </c>
      <c r="L69">
        <v>0</v>
      </c>
      <c r="M69">
        <v>43.555999999999997</v>
      </c>
      <c r="N69">
        <v>0.66600000000000004</v>
      </c>
      <c r="P69" s="1">
        <f t="shared" si="5"/>
        <v>12.098888888888888</v>
      </c>
      <c r="Q69" s="3">
        <f t="shared" ref="Q69:Q132" si="6">10*($P69-$P68)</f>
        <v>0.56944444444443576</v>
      </c>
      <c r="R69" s="3">
        <f t="shared" si="2"/>
        <v>0.12611111111111128</v>
      </c>
      <c r="S69" s="3">
        <f t="shared" si="4"/>
        <v>-6.3989898989898986E-2</v>
      </c>
    </row>
    <row r="70" spans="1:19" x14ac:dyDescent="0.25">
      <c r="A70" t="s">
        <v>16</v>
      </c>
      <c r="C70">
        <v>52.0477925</v>
      </c>
      <c r="D70">
        <v>-0.57262880000000005</v>
      </c>
      <c r="E70">
        <v>4</v>
      </c>
      <c r="F70">
        <v>4</v>
      </c>
      <c r="G70">
        <v>2022</v>
      </c>
      <c r="H70">
        <v>13</v>
      </c>
      <c r="I70">
        <v>55</v>
      </c>
      <c r="J70">
        <v>22.7</v>
      </c>
      <c r="K70">
        <v>43.94</v>
      </c>
      <c r="L70">
        <v>0</v>
      </c>
      <c r="M70">
        <v>43.692999999999998</v>
      </c>
      <c r="N70">
        <v>0.66600000000000004</v>
      </c>
      <c r="P70" s="1">
        <f t="shared" si="5"/>
        <v>12.136944444444444</v>
      </c>
      <c r="Q70" s="3">
        <f t="shared" si="6"/>
        <v>0.38055555555555287</v>
      </c>
      <c r="R70" s="3">
        <f t="shared" si="2"/>
        <v>1.8055555555553937E-2</v>
      </c>
      <c r="S70" s="3">
        <f t="shared" si="4"/>
        <v>-7.987373737373718E-2</v>
      </c>
    </row>
    <row r="71" spans="1:19" x14ac:dyDescent="0.25">
      <c r="A71" t="s">
        <v>16</v>
      </c>
      <c r="C71">
        <v>52.047802500000003</v>
      </c>
      <c r="D71">
        <v>-0.57263540000000002</v>
      </c>
      <c r="E71">
        <v>4</v>
      </c>
      <c r="F71">
        <v>4</v>
      </c>
      <c r="G71">
        <v>2022</v>
      </c>
      <c r="H71">
        <v>13</v>
      </c>
      <c r="I71">
        <v>55</v>
      </c>
      <c r="J71">
        <v>22.8</v>
      </c>
      <c r="K71">
        <v>43.92</v>
      </c>
      <c r="L71">
        <v>0</v>
      </c>
      <c r="M71">
        <v>43.38</v>
      </c>
      <c r="N71">
        <v>0.68</v>
      </c>
      <c r="P71" s="1">
        <f t="shared" si="5"/>
        <v>12.05</v>
      </c>
      <c r="Q71" s="3">
        <f t="shared" si="6"/>
        <v>-0.86944444444442937</v>
      </c>
      <c r="R71" s="3">
        <f t="shared" si="2"/>
        <v>-2.4999999999998579E-2</v>
      </c>
      <c r="S71" s="3">
        <f t="shared" si="4"/>
        <v>-9.4520202020201852E-2</v>
      </c>
    </row>
    <row r="72" spans="1:19" x14ac:dyDescent="0.25">
      <c r="A72" t="s">
        <v>16</v>
      </c>
      <c r="C72">
        <v>52.047812499999999</v>
      </c>
      <c r="D72">
        <v>-0.57264199999999998</v>
      </c>
      <c r="E72">
        <v>4</v>
      </c>
      <c r="F72">
        <v>4</v>
      </c>
      <c r="G72">
        <v>2022</v>
      </c>
      <c r="H72">
        <v>13</v>
      </c>
      <c r="I72">
        <v>55</v>
      </c>
      <c r="J72">
        <v>22.9</v>
      </c>
      <c r="K72">
        <v>43.88</v>
      </c>
      <c r="L72">
        <v>0</v>
      </c>
      <c r="M72">
        <v>43.618000000000002</v>
      </c>
      <c r="N72">
        <v>0.69099999999999995</v>
      </c>
      <c r="P72" s="1">
        <f t="shared" si="5"/>
        <v>12.116111111111111</v>
      </c>
      <c r="Q72" s="3">
        <f t="shared" si="6"/>
        <v>0.66111111111110787</v>
      </c>
      <c r="R72" s="3">
        <f t="shared" si="2"/>
        <v>-9.9166666666667069E-2</v>
      </c>
      <c r="S72" s="3">
        <f t="shared" si="4"/>
        <v>-0.12388888888888872</v>
      </c>
    </row>
    <row r="73" spans="1:19" x14ac:dyDescent="0.25">
      <c r="A73" t="s">
        <v>16</v>
      </c>
      <c r="C73">
        <v>52.047822400000001</v>
      </c>
      <c r="D73">
        <v>-0.5726485</v>
      </c>
      <c r="E73">
        <v>4</v>
      </c>
      <c r="F73">
        <v>4</v>
      </c>
      <c r="G73">
        <v>2022</v>
      </c>
      <c r="H73">
        <v>13</v>
      </c>
      <c r="I73">
        <v>55</v>
      </c>
      <c r="J73">
        <v>23</v>
      </c>
      <c r="K73">
        <v>43.85</v>
      </c>
      <c r="L73">
        <v>0</v>
      </c>
      <c r="M73">
        <v>43.527999999999999</v>
      </c>
      <c r="N73">
        <v>0.70199999999999996</v>
      </c>
      <c r="P73" s="1">
        <f t="shared" si="5"/>
        <v>12.091111111111111</v>
      </c>
      <c r="Q73" s="3">
        <f t="shared" si="6"/>
        <v>-0.25000000000000355</v>
      </c>
      <c r="R73" s="3">
        <f t="shared" ref="R73:R136" si="7">($P78-$P68)</f>
        <v>-0.19694444444444414</v>
      </c>
      <c r="S73" s="3">
        <f t="shared" si="4"/>
        <v>-0.15171717171717153</v>
      </c>
    </row>
    <row r="74" spans="1:19" x14ac:dyDescent="0.25">
      <c r="A74" t="s">
        <v>16</v>
      </c>
      <c r="C74">
        <v>52.0478326</v>
      </c>
      <c r="D74">
        <v>-0.57265520000000003</v>
      </c>
      <c r="E74">
        <v>4</v>
      </c>
      <c r="F74">
        <v>4</v>
      </c>
      <c r="G74">
        <v>2022</v>
      </c>
      <c r="H74">
        <v>13</v>
      </c>
      <c r="I74">
        <v>55</v>
      </c>
      <c r="J74">
        <v>23.1</v>
      </c>
      <c r="K74">
        <v>43.84</v>
      </c>
      <c r="L74">
        <v>0</v>
      </c>
      <c r="M74">
        <v>43.768999999999998</v>
      </c>
      <c r="N74">
        <v>0.70899999999999996</v>
      </c>
      <c r="P74" s="1">
        <f t="shared" si="5"/>
        <v>12.158055555555556</v>
      </c>
      <c r="Q74" s="3">
        <f t="shared" si="6"/>
        <v>0.66944444444445139</v>
      </c>
      <c r="R74" s="3">
        <f t="shared" si="7"/>
        <v>-0.28888888888888786</v>
      </c>
      <c r="S74" s="3">
        <f t="shared" si="4"/>
        <v>-0.1869191919191919</v>
      </c>
    </row>
    <row r="75" spans="1:19" x14ac:dyDescent="0.25">
      <c r="A75" t="s">
        <v>16</v>
      </c>
      <c r="C75">
        <v>52.047842199999998</v>
      </c>
      <c r="D75">
        <v>-0.57266229999999996</v>
      </c>
      <c r="E75">
        <v>4</v>
      </c>
      <c r="F75">
        <v>4</v>
      </c>
      <c r="G75">
        <v>2022</v>
      </c>
      <c r="H75">
        <v>13</v>
      </c>
      <c r="I75">
        <v>55</v>
      </c>
      <c r="J75">
        <v>23.2</v>
      </c>
      <c r="K75">
        <v>43.82</v>
      </c>
      <c r="L75">
        <v>0</v>
      </c>
      <c r="M75">
        <v>43.344000000000001</v>
      </c>
      <c r="N75">
        <v>0.69499999999999995</v>
      </c>
      <c r="P75" s="1">
        <f t="shared" si="5"/>
        <v>12.04</v>
      </c>
      <c r="Q75" s="3">
        <f t="shared" si="6"/>
        <v>-1.1805555555555713</v>
      </c>
      <c r="R75" s="3">
        <f t="shared" si="7"/>
        <v>-0.25083333333333258</v>
      </c>
      <c r="S75" s="3">
        <f t="shared" si="4"/>
        <v>-0.22373737373737368</v>
      </c>
    </row>
    <row r="76" spans="1:19" x14ac:dyDescent="0.25">
      <c r="A76" t="s">
        <v>16</v>
      </c>
      <c r="C76">
        <v>52.0478521</v>
      </c>
      <c r="D76">
        <v>-0.57266919999999999</v>
      </c>
      <c r="E76">
        <v>4</v>
      </c>
      <c r="F76">
        <v>4</v>
      </c>
      <c r="G76">
        <v>2022</v>
      </c>
      <c r="H76">
        <v>13</v>
      </c>
      <c r="I76">
        <v>55</v>
      </c>
      <c r="J76">
        <v>23.3</v>
      </c>
      <c r="K76">
        <v>43.84</v>
      </c>
      <c r="L76">
        <v>0</v>
      </c>
      <c r="M76">
        <v>43.055999999999997</v>
      </c>
      <c r="N76">
        <v>0.68</v>
      </c>
      <c r="P76" s="1">
        <f t="shared" si="5"/>
        <v>11.96</v>
      </c>
      <c r="Q76" s="3">
        <f t="shared" si="6"/>
        <v>-0.79999999999998295</v>
      </c>
      <c r="R76" s="3">
        <f t="shared" si="7"/>
        <v>-0.23111111111111171</v>
      </c>
      <c r="S76" s="3">
        <f t="shared" si="4"/>
        <v>-0.2442929292929292</v>
      </c>
    </row>
    <row r="77" spans="1:19" x14ac:dyDescent="0.25">
      <c r="A77" t="s">
        <v>16</v>
      </c>
      <c r="C77">
        <v>52.047862100000003</v>
      </c>
      <c r="D77">
        <v>-0.57267599999999996</v>
      </c>
      <c r="E77">
        <v>4</v>
      </c>
      <c r="F77">
        <v>4</v>
      </c>
      <c r="G77">
        <v>2022</v>
      </c>
      <c r="H77">
        <v>13</v>
      </c>
      <c r="I77">
        <v>55</v>
      </c>
      <c r="J77">
        <v>23.4</v>
      </c>
      <c r="K77">
        <v>43.85</v>
      </c>
      <c r="L77">
        <v>0</v>
      </c>
      <c r="M77">
        <v>43.015999999999998</v>
      </c>
      <c r="N77">
        <v>0.67</v>
      </c>
      <c r="P77" s="1">
        <f t="shared" si="5"/>
        <v>11.948888888888888</v>
      </c>
      <c r="Q77" s="3">
        <f t="shared" si="6"/>
        <v>-0.11111111111112848</v>
      </c>
      <c r="R77" s="3">
        <f t="shared" si="7"/>
        <v>-0.41416666666666657</v>
      </c>
      <c r="S77" s="3">
        <f t="shared" si="4"/>
        <v>-0.27265151515151503</v>
      </c>
    </row>
    <row r="78" spans="1:19" x14ac:dyDescent="0.25">
      <c r="A78" t="s">
        <v>16</v>
      </c>
      <c r="C78">
        <v>52.047871800000003</v>
      </c>
      <c r="D78">
        <v>-0.57268300000000005</v>
      </c>
      <c r="E78">
        <v>4</v>
      </c>
      <c r="F78">
        <v>4</v>
      </c>
      <c r="G78">
        <v>2022</v>
      </c>
      <c r="H78">
        <v>13</v>
      </c>
      <c r="I78">
        <v>55</v>
      </c>
      <c r="J78">
        <v>23.5</v>
      </c>
      <c r="K78">
        <v>43.84</v>
      </c>
      <c r="L78">
        <v>0</v>
      </c>
      <c r="M78">
        <v>42.642000000000003</v>
      </c>
      <c r="N78">
        <v>0.66600000000000004</v>
      </c>
      <c r="P78" s="1">
        <f t="shared" si="5"/>
        <v>11.845000000000001</v>
      </c>
      <c r="Q78" s="3">
        <f t="shared" si="6"/>
        <v>-1.0388888888888737</v>
      </c>
      <c r="R78" s="3">
        <f t="shared" si="7"/>
        <v>-0.306111111111111</v>
      </c>
      <c r="S78" s="3">
        <f t="shared" si="4"/>
        <v>-0.28381313131313118</v>
      </c>
    </row>
    <row r="79" spans="1:19" x14ac:dyDescent="0.25">
      <c r="A79" t="s">
        <v>16</v>
      </c>
      <c r="C79">
        <v>52.047881599999997</v>
      </c>
      <c r="D79">
        <v>-0.57269000000000003</v>
      </c>
      <c r="E79">
        <v>4</v>
      </c>
      <c r="F79">
        <v>4</v>
      </c>
      <c r="G79">
        <v>2022</v>
      </c>
      <c r="H79">
        <v>13</v>
      </c>
      <c r="I79">
        <v>55</v>
      </c>
      <c r="J79">
        <v>23.6</v>
      </c>
      <c r="K79">
        <v>43.86</v>
      </c>
      <c r="L79">
        <v>0</v>
      </c>
      <c r="M79">
        <v>42.515999999999998</v>
      </c>
      <c r="N79">
        <v>0.66200000000000003</v>
      </c>
      <c r="P79" s="1">
        <f t="shared" si="5"/>
        <v>11.81</v>
      </c>
      <c r="Q79" s="3">
        <f t="shared" si="6"/>
        <v>-0.35000000000000142</v>
      </c>
      <c r="R79" s="3">
        <f t="shared" si="7"/>
        <v>-0.38805555555555671</v>
      </c>
      <c r="S79" s="3">
        <f t="shared" si="4"/>
        <v>-0.28409090909090912</v>
      </c>
    </row>
    <row r="80" spans="1:19" x14ac:dyDescent="0.25">
      <c r="A80" t="s">
        <v>16</v>
      </c>
      <c r="C80">
        <v>52.047891499999999</v>
      </c>
      <c r="D80">
        <v>-0.57269709999999996</v>
      </c>
      <c r="E80">
        <v>4</v>
      </c>
      <c r="F80">
        <v>4</v>
      </c>
      <c r="G80">
        <v>2022</v>
      </c>
      <c r="H80">
        <v>13</v>
      </c>
      <c r="I80">
        <v>55</v>
      </c>
      <c r="J80">
        <v>23.7</v>
      </c>
      <c r="K80">
        <v>43.89</v>
      </c>
      <c r="L80">
        <v>0</v>
      </c>
      <c r="M80">
        <v>42.79</v>
      </c>
      <c r="N80">
        <v>0.68</v>
      </c>
      <c r="P80" s="1">
        <f t="shared" si="5"/>
        <v>11.886111111111111</v>
      </c>
      <c r="Q80" s="3">
        <f t="shared" si="6"/>
        <v>0.76111111111110574</v>
      </c>
      <c r="R80" s="3">
        <f t="shared" si="7"/>
        <v>-0.27888888888888808</v>
      </c>
      <c r="S80" s="3">
        <f t="shared" si="4"/>
        <v>-0.27457070707070713</v>
      </c>
    </row>
    <row r="81" spans="1:19" x14ac:dyDescent="0.25">
      <c r="A81" t="s">
        <v>16</v>
      </c>
      <c r="C81">
        <v>52.047901099999997</v>
      </c>
      <c r="D81">
        <v>-0.57270399999999999</v>
      </c>
      <c r="E81">
        <v>4</v>
      </c>
      <c r="F81">
        <v>4</v>
      </c>
      <c r="G81">
        <v>2022</v>
      </c>
      <c r="H81">
        <v>13</v>
      </c>
      <c r="I81">
        <v>55</v>
      </c>
      <c r="J81">
        <v>23.8</v>
      </c>
      <c r="K81">
        <v>43.85</v>
      </c>
      <c r="L81">
        <v>0</v>
      </c>
      <c r="M81">
        <v>42.548000000000002</v>
      </c>
      <c r="N81">
        <v>0.68799999999999994</v>
      </c>
      <c r="P81" s="1">
        <f t="shared" si="5"/>
        <v>11.818888888888889</v>
      </c>
      <c r="Q81" s="3">
        <f t="shared" si="6"/>
        <v>-0.67222222222222072</v>
      </c>
      <c r="R81" s="3">
        <f t="shared" si="7"/>
        <v>-0.20805555555555699</v>
      </c>
      <c r="S81" s="3">
        <f t="shared" si="4"/>
        <v>-0.26520202020202033</v>
      </c>
    </row>
    <row r="82" spans="1:19" x14ac:dyDescent="0.25">
      <c r="A82" t="s">
        <v>16</v>
      </c>
      <c r="C82">
        <v>52.047910600000002</v>
      </c>
      <c r="D82">
        <v>-0.57271110000000003</v>
      </c>
      <c r="E82">
        <v>4</v>
      </c>
      <c r="F82">
        <v>4</v>
      </c>
      <c r="G82">
        <v>2022</v>
      </c>
      <c r="H82">
        <v>13</v>
      </c>
      <c r="I82">
        <v>55</v>
      </c>
      <c r="J82">
        <v>23.9</v>
      </c>
      <c r="K82">
        <v>43.85</v>
      </c>
      <c r="L82">
        <v>0</v>
      </c>
      <c r="M82">
        <v>42.127000000000002</v>
      </c>
      <c r="N82">
        <v>0.70899999999999996</v>
      </c>
      <c r="P82" s="1">
        <f t="shared" si="5"/>
        <v>11.701944444444445</v>
      </c>
      <c r="Q82" s="3">
        <f t="shared" si="6"/>
        <v>-1.1694444444444407</v>
      </c>
      <c r="R82" s="3">
        <f t="shared" si="7"/>
        <v>-0.33694444444444294</v>
      </c>
      <c r="S82" s="3">
        <f t="shared" si="4"/>
        <v>-0.24181818181818199</v>
      </c>
    </row>
    <row r="83" spans="1:19" x14ac:dyDescent="0.25">
      <c r="A83" t="s">
        <v>16</v>
      </c>
      <c r="C83">
        <v>52.047920499999996</v>
      </c>
      <c r="D83">
        <v>-0.5727179</v>
      </c>
      <c r="E83">
        <v>4</v>
      </c>
      <c r="F83">
        <v>4</v>
      </c>
      <c r="G83">
        <v>2022</v>
      </c>
      <c r="H83">
        <v>13</v>
      </c>
      <c r="I83">
        <v>55</v>
      </c>
      <c r="J83">
        <v>24</v>
      </c>
      <c r="K83">
        <v>43.86</v>
      </c>
      <c r="L83">
        <v>0</v>
      </c>
      <c r="M83">
        <v>42.426000000000002</v>
      </c>
      <c r="N83">
        <v>0.70899999999999996</v>
      </c>
      <c r="P83" s="1">
        <f t="shared" si="5"/>
        <v>11.785</v>
      </c>
      <c r="Q83" s="3">
        <f t="shared" si="6"/>
        <v>0.83055555555555216</v>
      </c>
      <c r="R83" s="3">
        <f t="shared" si="7"/>
        <v>-0.2219444444444445</v>
      </c>
      <c r="S83" s="3">
        <f t="shared" ref="S83:S146" si="8">AVERAGE(R78:R88)</f>
        <v>-0.20398989898989922</v>
      </c>
    </row>
    <row r="84" spans="1:19" x14ac:dyDescent="0.25">
      <c r="A84" t="s">
        <v>16</v>
      </c>
      <c r="C84">
        <v>52.047930200000003</v>
      </c>
      <c r="D84">
        <v>-0.57272489999999998</v>
      </c>
      <c r="E84">
        <v>4</v>
      </c>
      <c r="F84">
        <v>4</v>
      </c>
      <c r="G84">
        <v>2022</v>
      </c>
      <c r="H84">
        <v>13</v>
      </c>
      <c r="I84">
        <v>55</v>
      </c>
      <c r="J84">
        <v>24.1</v>
      </c>
      <c r="K84">
        <v>43.88</v>
      </c>
      <c r="L84">
        <v>0</v>
      </c>
      <c r="M84">
        <v>42.372</v>
      </c>
      <c r="N84">
        <v>0.70599999999999996</v>
      </c>
      <c r="P84" s="1">
        <f t="shared" si="5"/>
        <v>11.77</v>
      </c>
      <c r="Q84" s="3">
        <f t="shared" si="6"/>
        <v>-0.15000000000000568</v>
      </c>
      <c r="R84" s="3">
        <f t="shared" si="7"/>
        <v>-0.20000000000000107</v>
      </c>
      <c r="S84" s="3">
        <f t="shared" si="8"/>
        <v>-0.1728030303030306</v>
      </c>
    </row>
    <row r="85" spans="1:19" x14ac:dyDescent="0.25">
      <c r="A85" t="s">
        <v>16</v>
      </c>
      <c r="C85">
        <v>52.047939800000002</v>
      </c>
      <c r="D85">
        <v>-0.57273209999999997</v>
      </c>
      <c r="E85">
        <v>4</v>
      </c>
      <c r="F85">
        <v>4</v>
      </c>
      <c r="G85">
        <v>2022</v>
      </c>
      <c r="H85">
        <v>13</v>
      </c>
      <c r="I85">
        <v>55</v>
      </c>
      <c r="J85">
        <v>24.2</v>
      </c>
      <c r="K85">
        <v>43.89</v>
      </c>
      <c r="L85">
        <v>0</v>
      </c>
      <c r="M85">
        <v>42.34</v>
      </c>
      <c r="N85">
        <v>0.70599999999999996</v>
      </c>
      <c r="P85" s="1">
        <f t="shared" si="5"/>
        <v>11.761111111111111</v>
      </c>
      <c r="Q85" s="3">
        <f t="shared" si="6"/>
        <v>-8.888888888888502E-2</v>
      </c>
      <c r="R85" s="3">
        <f t="shared" si="7"/>
        <v>-0.18416666666666615</v>
      </c>
      <c r="S85" s="3">
        <f t="shared" si="8"/>
        <v>-0.1246212121212123</v>
      </c>
    </row>
    <row r="86" spans="1:19" x14ac:dyDescent="0.25">
      <c r="A86" t="s">
        <v>16</v>
      </c>
      <c r="C86">
        <v>52.047949600000003</v>
      </c>
      <c r="D86">
        <v>-0.57273929999999995</v>
      </c>
      <c r="E86">
        <v>4</v>
      </c>
      <c r="F86">
        <v>4</v>
      </c>
      <c r="G86">
        <v>2022</v>
      </c>
      <c r="H86">
        <v>13</v>
      </c>
      <c r="I86">
        <v>55</v>
      </c>
      <c r="J86">
        <v>24.3</v>
      </c>
      <c r="K86">
        <v>43.93</v>
      </c>
      <c r="L86">
        <v>0</v>
      </c>
      <c r="M86">
        <v>42.307000000000002</v>
      </c>
      <c r="N86">
        <v>0.70199999999999996</v>
      </c>
      <c r="P86" s="1">
        <f t="shared" si="5"/>
        <v>11.751944444444444</v>
      </c>
      <c r="Q86" s="3">
        <f t="shared" si="6"/>
        <v>-9.1666666666672114E-2</v>
      </c>
      <c r="R86" s="3">
        <f t="shared" si="7"/>
        <v>-0.14777777777777779</v>
      </c>
      <c r="S86" s="3">
        <f t="shared" si="8"/>
        <v>-0.10325757575757599</v>
      </c>
    </row>
    <row r="87" spans="1:19" x14ac:dyDescent="0.25">
      <c r="A87" t="s">
        <v>16</v>
      </c>
      <c r="C87">
        <v>52.0479591</v>
      </c>
      <c r="D87">
        <v>-0.57274610000000004</v>
      </c>
      <c r="E87">
        <v>4</v>
      </c>
      <c r="F87">
        <v>4</v>
      </c>
      <c r="G87">
        <v>2022</v>
      </c>
      <c r="H87">
        <v>13</v>
      </c>
      <c r="I87">
        <v>55</v>
      </c>
      <c r="J87">
        <v>24.4</v>
      </c>
      <c r="K87">
        <v>43.95</v>
      </c>
      <c r="L87">
        <v>0</v>
      </c>
      <c r="M87">
        <v>41.802999999999997</v>
      </c>
      <c r="N87">
        <v>0.70199999999999996</v>
      </c>
      <c r="P87" s="1">
        <f t="shared" si="5"/>
        <v>11.611944444444445</v>
      </c>
      <c r="Q87" s="3">
        <f t="shared" si="6"/>
        <v>-1.3999999999999879</v>
      </c>
      <c r="R87" s="3">
        <f t="shared" si="7"/>
        <v>2.6111111111109864E-2</v>
      </c>
      <c r="S87" s="3">
        <f t="shared" si="8"/>
        <v>-7.070707070707094E-2</v>
      </c>
    </row>
    <row r="88" spans="1:19" x14ac:dyDescent="0.25">
      <c r="A88" t="s">
        <v>16</v>
      </c>
      <c r="C88">
        <v>52.047968900000001</v>
      </c>
      <c r="D88">
        <v>-0.57275279999999995</v>
      </c>
      <c r="E88">
        <v>4</v>
      </c>
      <c r="F88">
        <v>4</v>
      </c>
      <c r="G88">
        <v>2022</v>
      </c>
      <c r="H88">
        <v>13</v>
      </c>
      <c r="I88">
        <v>55</v>
      </c>
      <c r="J88">
        <v>24.5</v>
      </c>
      <c r="K88">
        <v>43.98</v>
      </c>
      <c r="L88">
        <v>0</v>
      </c>
      <c r="M88">
        <v>41.843000000000004</v>
      </c>
      <c r="N88">
        <v>0.67700000000000005</v>
      </c>
      <c r="P88" s="1">
        <f t="shared" si="5"/>
        <v>11.623055555555556</v>
      </c>
      <c r="Q88" s="3">
        <f t="shared" si="6"/>
        <v>0.11111111111111072</v>
      </c>
      <c r="R88" s="3">
        <f t="shared" si="7"/>
        <v>1.9444444444438602E-3</v>
      </c>
      <c r="S88" s="3">
        <f t="shared" si="8"/>
        <v>-2.8434343434343843E-2</v>
      </c>
    </row>
    <row r="89" spans="1:19" x14ac:dyDescent="0.25">
      <c r="A89" t="s">
        <v>16</v>
      </c>
      <c r="C89">
        <v>52.0479786</v>
      </c>
      <c r="D89">
        <v>-0.57275969999999998</v>
      </c>
      <c r="E89">
        <v>4</v>
      </c>
      <c r="F89">
        <v>4</v>
      </c>
      <c r="G89">
        <v>2022</v>
      </c>
      <c r="H89">
        <v>13</v>
      </c>
      <c r="I89">
        <v>55</v>
      </c>
      <c r="J89">
        <v>24.6</v>
      </c>
      <c r="K89">
        <v>44.02</v>
      </c>
      <c r="L89">
        <v>0</v>
      </c>
      <c r="M89">
        <v>41.795999999999999</v>
      </c>
      <c r="N89">
        <v>0.66200000000000003</v>
      </c>
      <c r="P89" s="1">
        <f t="shared" si="5"/>
        <v>11.61</v>
      </c>
      <c r="Q89" s="3">
        <f t="shared" si="6"/>
        <v>-0.13055555555556708</v>
      </c>
      <c r="R89" s="3">
        <f t="shared" si="7"/>
        <v>3.6944444444444002E-2</v>
      </c>
      <c r="S89" s="3">
        <f t="shared" si="8"/>
        <v>-3.5353535353539263E-3</v>
      </c>
    </row>
    <row r="90" spans="1:19" x14ac:dyDescent="0.25">
      <c r="A90" t="s">
        <v>16</v>
      </c>
      <c r="C90">
        <v>52.047988599999996</v>
      </c>
      <c r="D90">
        <v>-0.57276640000000001</v>
      </c>
      <c r="E90">
        <v>4</v>
      </c>
      <c r="F90">
        <v>4</v>
      </c>
      <c r="G90">
        <v>2022</v>
      </c>
      <c r="H90">
        <v>13</v>
      </c>
      <c r="I90">
        <v>55</v>
      </c>
      <c r="J90">
        <v>24.7</v>
      </c>
      <c r="K90">
        <v>44.05</v>
      </c>
      <c r="L90">
        <v>0</v>
      </c>
      <c r="M90">
        <v>42.127000000000002</v>
      </c>
      <c r="N90">
        <v>0.65900000000000003</v>
      </c>
      <c r="P90" s="1">
        <f t="shared" si="5"/>
        <v>11.701944444444445</v>
      </c>
      <c r="Q90" s="3">
        <f t="shared" si="6"/>
        <v>0.91944444444445494</v>
      </c>
      <c r="R90" s="3">
        <f t="shared" si="7"/>
        <v>0.14194444444444443</v>
      </c>
      <c r="S90" s="3">
        <f t="shared" si="8"/>
        <v>1.7752525252524878E-2</v>
      </c>
    </row>
    <row r="91" spans="1:19" x14ac:dyDescent="0.25">
      <c r="A91" t="s">
        <v>16</v>
      </c>
      <c r="C91">
        <v>52.047998300000003</v>
      </c>
      <c r="D91">
        <v>-0.57277250000000002</v>
      </c>
      <c r="E91">
        <v>4</v>
      </c>
      <c r="F91">
        <v>4</v>
      </c>
      <c r="G91">
        <v>2022</v>
      </c>
      <c r="H91">
        <v>13</v>
      </c>
      <c r="I91">
        <v>55</v>
      </c>
      <c r="J91">
        <v>24.8</v>
      </c>
      <c r="K91">
        <v>44.04</v>
      </c>
      <c r="L91">
        <v>0</v>
      </c>
      <c r="M91">
        <v>42.015999999999998</v>
      </c>
      <c r="N91">
        <v>0.64400000000000002</v>
      </c>
      <c r="P91" s="1">
        <f t="shared" si="5"/>
        <v>11.671111111111111</v>
      </c>
      <c r="Q91" s="3">
        <f t="shared" si="6"/>
        <v>-0.30833333333333712</v>
      </c>
      <c r="R91" s="3">
        <f t="shared" si="7"/>
        <v>-4.3888888888888644E-2</v>
      </c>
      <c r="S91" s="3">
        <f t="shared" si="8"/>
        <v>3.4494949494949072E-2</v>
      </c>
    </row>
    <row r="92" spans="1:19" x14ac:dyDescent="0.25">
      <c r="A92" t="s">
        <v>16</v>
      </c>
      <c r="C92">
        <v>52.048008099999997</v>
      </c>
      <c r="D92">
        <v>-0.57277909999999999</v>
      </c>
      <c r="E92">
        <v>4</v>
      </c>
      <c r="F92">
        <v>4</v>
      </c>
      <c r="G92">
        <v>2022</v>
      </c>
      <c r="H92">
        <v>13</v>
      </c>
      <c r="I92">
        <v>55</v>
      </c>
      <c r="J92">
        <v>24.9</v>
      </c>
      <c r="K92">
        <v>44.03</v>
      </c>
      <c r="L92">
        <v>0</v>
      </c>
      <c r="M92">
        <v>42.220999999999997</v>
      </c>
      <c r="N92">
        <v>0.63</v>
      </c>
      <c r="P92" s="1">
        <f t="shared" si="5"/>
        <v>11.728055555555555</v>
      </c>
      <c r="Q92" s="3">
        <f t="shared" si="6"/>
        <v>0.56944444444443576</v>
      </c>
      <c r="R92" s="3">
        <f t="shared" si="7"/>
        <v>0.14999999999999858</v>
      </c>
      <c r="S92" s="3">
        <f t="shared" si="8"/>
        <v>5.42929292929289E-2</v>
      </c>
    </row>
    <row r="93" spans="1:19" x14ac:dyDescent="0.25">
      <c r="A93" t="s">
        <v>16</v>
      </c>
      <c r="C93">
        <v>52.048017700000003</v>
      </c>
      <c r="D93">
        <v>-0.57278569999999995</v>
      </c>
      <c r="E93">
        <v>4</v>
      </c>
      <c r="F93">
        <v>4</v>
      </c>
      <c r="G93">
        <v>2022</v>
      </c>
      <c r="H93">
        <v>13</v>
      </c>
      <c r="I93">
        <v>55</v>
      </c>
      <c r="J93">
        <v>25</v>
      </c>
      <c r="K93">
        <v>44</v>
      </c>
      <c r="L93">
        <v>0</v>
      </c>
      <c r="M93">
        <v>42.433</v>
      </c>
      <c r="N93">
        <v>0.61599999999999999</v>
      </c>
      <c r="P93" s="1">
        <f t="shared" si="5"/>
        <v>11.786944444444444</v>
      </c>
      <c r="Q93" s="3">
        <f t="shared" si="6"/>
        <v>0.58888888888889213</v>
      </c>
      <c r="R93" s="3">
        <f t="shared" si="7"/>
        <v>0.12805555555555515</v>
      </c>
      <c r="S93" s="3">
        <f t="shared" si="8"/>
        <v>6.2929292929292752E-2</v>
      </c>
    </row>
    <row r="94" spans="1:19" x14ac:dyDescent="0.25">
      <c r="A94" t="s">
        <v>16</v>
      </c>
      <c r="C94">
        <v>52.048027300000001</v>
      </c>
      <c r="D94">
        <v>-0.57279230000000003</v>
      </c>
      <c r="E94">
        <v>4</v>
      </c>
      <c r="F94">
        <v>4</v>
      </c>
      <c r="G94">
        <v>2022</v>
      </c>
      <c r="H94">
        <v>13</v>
      </c>
      <c r="I94">
        <v>55</v>
      </c>
      <c r="J94">
        <v>25.1</v>
      </c>
      <c r="K94">
        <v>43.96</v>
      </c>
      <c r="L94">
        <v>0</v>
      </c>
      <c r="M94">
        <v>42.505000000000003</v>
      </c>
      <c r="N94">
        <v>0.626</v>
      </c>
      <c r="P94" s="1">
        <f t="shared" si="5"/>
        <v>11.806944444444444</v>
      </c>
      <c r="Q94" s="3">
        <f t="shared" si="6"/>
        <v>0.19999999999999574</v>
      </c>
      <c r="R94" s="3">
        <f t="shared" si="7"/>
        <v>5.1944444444444571E-2</v>
      </c>
      <c r="S94" s="3">
        <f t="shared" si="8"/>
        <v>7.0479797979797934E-2</v>
      </c>
    </row>
    <row r="95" spans="1:19" x14ac:dyDescent="0.25">
      <c r="A95" t="s">
        <v>16</v>
      </c>
      <c r="C95">
        <v>52.048037000000001</v>
      </c>
      <c r="D95">
        <v>-0.5727989</v>
      </c>
      <c r="E95">
        <v>4</v>
      </c>
      <c r="F95">
        <v>4</v>
      </c>
      <c r="G95">
        <v>2022</v>
      </c>
      <c r="H95">
        <v>13</v>
      </c>
      <c r="I95">
        <v>55</v>
      </c>
      <c r="J95">
        <v>25.2</v>
      </c>
      <c r="K95">
        <v>43.91</v>
      </c>
      <c r="L95">
        <v>0</v>
      </c>
      <c r="M95">
        <v>42.850999999999999</v>
      </c>
      <c r="N95">
        <v>0.64100000000000001</v>
      </c>
      <c r="P95" s="1">
        <f t="shared" si="5"/>
        <v>11.903055555555556</v>
      </c>
      <c r="Q95" s="3">
        <f t="shared" si="6"/>
        <v>0.96111111111111924</v>
      </c>
      <c r="R95" s="3">
        <f t="shared" si="7"/>
        <v>3.416666666666579E-2</v>
      </c>
      <c r="S95" s="3">
        <f t="shared" si="8"/>
        <v>6.9848484848484785E-2</v>
      </c>
    </row>
    <row r="96" spans="1:19" x14ac:dyDescent="0.25">
      <c r="A96" t="s">
        <v>16</v>
      </c>
      <c r="C96">
        <v>52.048046300000003</v>
      </c>
      <c r="D96">
        <v>-0.57280560000000003</v>
      </c>
      <c r="E96">
        <v>4</v>
      </c>
      <c r="F96">
        <v>4</v>
      </c>
      <c r="G96">
        <v>2022</v>
      </c>
      <c r="H96">
        <v>13</v>
      </c>
      <c r="I96">
        <v>55</v>
      </c>
      <c r="J96">
        <v>25.3</v>
      </c>
      <c r="K96">
        <v>43.88</v>
      </c>
      <c r="L96">
        <v>0</v>
      </c>
      <c r="M96">
        <v>42.149000000000001</v>
      </c>
      <c r="N96">
        <v>0.64400000000000002</v>
      </c>
      <c r="P96" s="1">
        <f t="shared" si="5"/>
        <v>11.708055555555555</v>
      </c>
      <c r="Q96" s="3">
        <f t="shared" si="6"/>
        <v>-1.9500000000000028</v>
      </c>
      <c r="R96" s="3">
        <f t="shared" si="7"/>
        <v>0</v>
      </c>
      <c r="S96" s="3">
        <f t="shared" si="8"/>
        <v>8.1388888888888941E-2</v>
      </c>
    </row>
    <row r="97" spans="1:19" x14ac:dyDescent="0.25">
      <c r="A97" t="s">
        <v>16</v>
      </c>
      <c r="C97">
        <v>52.048055900000001</v>
      </c>
      <c r="D97">
        <v>-0.5728124</v>
      </c>
      <c r="E97">
        <v>4</v>
      </c>
      <c r="F97">
        <v>4</v>
      </c>
      <c r="G97">
        <v>2022</v>
      </c>
      <c r="H97">
        <v>13</v>
      </c>
      <c r="I97">
        <v>55</v>
      </c>
      <c r="J97">
        <v>25.4</v>
      </c>
      <c r="K97">
        <v>43.85</v>
      </c>
      <c r="L97">
        <v>0</v>
      </c>
      <c r="M97">
        <v>42.343000000000004</v>
      </c>
      <c r="N97">
        <v>0.63</v>
      </c>
      <c r="P97" s="1">
        <f t="shared" si="5"/>
        <v>11.761944444444444</v>
      </c>
      <c r="Q97" s="3">
        <f t="shared" si="6"/>
        <v>0.53888888888888431</v>
      </c>
      <c r="R97" s="3">
        <f t="shared" si="7"/>
        <v>7.0000000000000284E-2</v>
      </c>
      <c r="S97" s="3">
        <f t="shared" si="8"/>
        <v>0.10356060606060619</v>
      </c>
    </row>
    <row r="98" spans="1:19" x14ac:dyDescent="0.25">
      <c r="A98" t="s">
        <v>16</v>
      </c>
      <c r="C98">
        <v>52.048065800000003</v>
      </c>
      <c r="D98">
        <v>-0.57281910000000003</v>
      </c>
      <c r="E98">
        <v>4</v>
      </c>
      <c r="F98">
        <v>4</v>
      </c>
      <c r="G98">
        <v>2022</v>
      </c>
      <c r="H98">
        <v>13</v>
      </c>
      <c r="I98">
        <v>55</v>
      </c>
      <c r="J98">
        <v>25.5</v>
      </c>
      <c r="K98">
        <v>43.87</v>
      </c>
      <c r="L98">
        <v>0</v>
      </c>
      <c r="M98">
        <v>42.304000000000002</v>
      </c>
      <c r="N98">
        <v>0.626</v>
      </c>
      <c r="P98" s="1">
        <f t="shared" si="5"/>
        <v>11.751111111111111</v>
      </c>
      <c r="Q98" s="3">
        <f t="shared" si="6"/>
        <v>-0.10833333333332362</v>
      </c>
      <c r="R98" s="3">
        <f t="shared" si="7"/>
        <v>0.12111111111111228</v>
      </c>
      <c r="S98" s="3">
        <f t="shared" si="8"/>
        <v>0.12636363636363657</v>
      </c>
    </row>
    <row r="99" spans="1:19" x14ac:dyDescent="0.25">
      <c r="A99" t="s">
        <v>16</v>
      </c>
      <c r="C99">
        <v>52.048075500000003</v>
      </c>
      <c r="D99">
        <v>-0.5728259</v>
      </c>
      <c r="E99">
        <v>4</v>
      </c>
      <c r="F99">
        <v>4</v>
      </c>
      <c r="G99">
        <v>2022</v>
      </c>
      <c r="H99">
        <v>13</v>
      </c>
      <c r="I99">
        <v>55</v>
      </c>
      <c r="J99">
        <v>25.6</v>
      </c>
      <c r="K99">
        <v>43.9</v>
      </c>
      <c r="L99">
        <v>0</v>
      </c>
      <c r="M99">
        <v>41.982999999999997</v>
      </c>
      <c r="N99">
        <v>0.58699999999999997</v>
      </c>
      <c r="P99" s="1">
        <f t="shared" si="5"/>
        <v>11.661944444444444</v>
      </c>
      <c r="Q99" s="3">
        <f t="shared" si="6"/>
        <v>-0.89166666666667282</v>
      </c>
      <c r="R99" s="3">
        <f t="shared" si="7"/>
        <v>8.5000000000000853E-2</v>
      </c>
      <c r="S99" s="3">
        <f t="shared" si="8"/>
        <v>0.15426767676767705</v>
      </c>
    </row>
    <row r="100" spans="1:19" x14ac:dyDescent="0.25">
      <c r="A100" t="s">
        <v>16</v>
      </c>
      <c r="C100">
        <v>52.048085399999998</v>
      </c>
      <c r="D100">
        <v>-0.57283260000000003</v>
      </c>
      <c r="E100">
        <v>4</v>
      </c>
      <c r="F100">
        <v>4</v>
      </c>
      <c r="G100">
        <v>2022</v>
      </c>
      <c r="H100">
        <v>13</v>
      </c>
      <c r="I100">
        <v>55</v>
      </c>
      <c r="J100">
        <v>25.7</v>
      </c>
      <c r="K100">
        <v>43.92</v>
      </c>
      <c r="L100">
        <v>0</v>
      </c>
      <c r="M100">
        <v>42.25</v>
      </c>
      <c r="N100">
        <v>0.59399999999999997</v>
      </c>
      <c r="P100" s="1">
        <f t="shared" si="5"/>
        <v>11.736111111111111</v>
      </c>
      <c r="Q100" s="3">
        <f t="shared" si="6"/>
        <v>0.74166666666666714</v>
      </c>
      <c r="R100" s="3">
        <f t="shared" si="7"/>
        <v>2.9999999999999361E-2</v>
      </c>
      <c r="S100" s="3">
        <f t="shared" si="8"/>
        <v>0.1803535353535356</v>
      </c>
    </row>
    <row r="101" spans="1:19" x14ac:dyDescent="0.25">
      <c r="A101" t="s">
        <v>16</v>
      </c>
      <c r="C101">
        <v>52.048095400000001</v>
      </c>
      <c r="D101">
        <v>-0.57283910000000005</v>
      </c>
      <c r="E101">
        <v>4</v>
      </c>
      <c r="F101">
        <v>4</v>
      </c>
      <c r="G101">
        <v>2022</v>
      </c>
      <c r="H101">
        <v>13</v>
      </c>
      <c r="I101">
        <v>55</v>
      </c>
      <c r="J101">
        <v>25.8</v>
      </c>
      <c r="K101">
        <v>43.98</v>
      </c>
      <c r="L101">
        <v>0</v>
      </c>
      <c r="M101">
        <v>42.015999999999998</v>
      </c>
      <c r="N101">
        <v>0.59399999999999997</v>
      </c>
      <c r="P101" s="1">
        <f t="shared" si="5"/>
        <v>11.671111111111111</v>
      </c>
      <c r="Q101" s="3">
        <f t="shared" si="6"/>
        <v>-0.64999999999999503</v>
      </c>
      <c r="R101" s="3">
        <f t="shared" si="7"/>
        <v>0.26888888888889007</v>
      </c>
      <c r="S101" s="3">
        <f t="shared" si="8"/>
        <v>0.22123737373737401</v>
      </c>
    </row>
    <row r="102" spans="1:19" x14ac:dyDescent="0.25">
      <c r="A102" t="s">
        <v>16</v>
      </c>
      <c r="C102">
        <v>52.048105499999998</v>
      </c>
      <c r="D102">
        <v>-0.57284539999999995</v>
      </c>
      <c r="E102">
        <v>4</v>
      </c>
      <c r="F102">
        <v>4</v>
      </c>
      <c r="G102">
        <v>2022</v>
      </c>
      <c r="H102">
        <v>13</v>
      </c>
      <c r="I102">
        <v>55</v>
      </c>
      <c r="J102">
        <v>25.9</v>
      </c>
      <c r="K102">
        <v>44.02</v>
      </c>
      <c r="L102">
        <v>0</v>
      </c>
      <c r="M102">
        <v>42.472999999999999</v>
      </c>
      <c r="N102">
        <v>0.58699999999999997</v>
      </c>
      <c r="P102" s="1">
        <f t="shared" si="5"/>
        <v>11.798055555555555</v>
      </c>
      <c r="Q102" s="3">
        <f t="shared" si="6"/>
        <v>1.2694444444444386</v>
      </c>
      <c r="R102" s="3">
        <f t="shared" si="7"/>
        <v>0.20000000000000107</v>
      </c>
      <c r="S102" s="3">
        <f t="shared" si="8"/>
        <v>0.25015151515151551</v>
      </c>
    </row>
    <row r="103" spans="1:19" x14ac:dyDescent="0.25">
      <c r="A103" t="s">
        <v>16</v>
      </c>
      <c r="C103">
        <v>52.048115799999998</v>
      </c>
      <c r="D103">
        <v>-0.57285129999999995</v>
      </c>
      <c r="E103">
        <v>4</v>
      </c>
      <c r="F103">
        <v>4</v>
      </c>
      <c r="G103">
        <v>2022</v>
      </c>
      <c r="H103">
        <v>13</v>
      </c>
      <c r="I103">
        <v>55</v>
      </c>
      <c r="J103">
        <v>26</v>
      </c>
      <c r="K103">
        <v>44.07</v>
      </c>
      <c r="L103">
        <v>0</v>
      </c>
      <c r="M103">
        <v>42.869</v>
      </c>
      <c r="N103">
        <v>0.57199999999999995</v>
      </c>
      <c r="P103" s="1">
        <f t="shared" si="5"/>
        <v>11.908055555555556</v>
      </c>
      <c r="Q103" s="3">
        <f t="shared" si="6"/>
        <v>1.1000000000000121</v>
      </c>
      <c r="R103" s="3">
        <f t="shared" si="7"/>
        <v>0.40083333333333293</v>
      </c>
      <c r="S103" s="3">
        <f t="shared" si="8"/>
        <v>0.26823232323232349</v>
      </c>
    </row>
    <row r="104" spans="1:19" x14ac:dyDescent="0.25">
      <c r="A104" t="s">
        <v>16</v>
      </c>
      <c r="C104">
        <v>52.048126000000003</v>
      </c>
      <c r="D104">
        <v>-0.57285719999999996</v>
      </c>
      <c r="E104">
        <v>4</v>
      </c>
      <c r="F104">
        <v>4</v>
      </c>
      <c r="G104">
        <v>2022</v>
      </c>
      <c r="H104">
        <v>13</v>
      </c>
      <c r="I104">
        <v>55</v>
      </c>
      <c r="J104">
        <v>26.1</v>
      </c>
      <c r="K104">
        <v>44.09</v>
      </c>
      <c r="L104">
        <v>0</v>
      </c>
      <c r="M104">
        <v>42.811</v>
      </c>
      <c r="N104">
        <v>0.61199999999999999</v>
      </c>
      <c r="P104" s="1">
        <f t="shared" si="5"/>
        <v>11.891944444444444</v>
      </c>
      <c r="Q104" s="3">
        <f t="shared" si="6"/>
        <v>-0.16111111111111853</v>
      </c>
      <c r="R104" s="3">
        <f t="shared" si="7"/>
        <v>0.4350000000000005</v>
      </c>
      <c r="S104" s="3">
        <f t="shared" si="8"/>
        <v>0.27851010101010121</v>
      </c>
    </row>
    <row r="105" spans="1:19" x14ac:dyDescent="0.25">
      <c r="A105" t="s">
        <v>16</v>
      </c>
      <c r="C105">
        <v>52.048136</v>
      </c>
      <c r="D105">
        <v>-0.57286300000000001</v>
      </c>
      <c r="E105">
        <v>4</v>
      </c>
      <c r="F105">
        <v>4</v>
      </c>
      <c r="G105">
        <v>2022</v>
      </c>
      <c r="H105">
        <v>13</v>
      </c>
      <c r="I105">
        <v>55</v>
      </c>
      <c r="J105">
        <v>26.2</v>
      </c>
      <c r="K105">
        <v>44.08</v>
      </c>
      <c r="L105">
        <v>0</v>
      </c>
      <c r="M105">
        <v>42.959000000000003</v>
      </c>
      <c r="N105">
        <v>0.63400000000000001</v>
      </c>
      <c r="P105" s="1">
        <f t="shared" si="5"/>
        <v>11.933055555555555</v>
      </c>
      <c r="Q105" s="3">
        <f t="shared" si="6"/>
        <v>0.41111111111110432</v>
      </c>
      <c r="R105" s="3">
        <f t="shared" si="7"/>
        <v>0.33888888888888857</v>
      </c>
      <c r="S105" s="3">
        <f t="shared" si="8"/>
        <v>0.28878787878787887</v>
      </c>
    </row>
    <row r="106" spans="1:19" x14ac:dyDescent="0.25">
      <c r="A106" t="s">
        <v>16</v>
      </c>
      <c r="C106">
        <v>52.048146099999997</v>
      </c>
      <c r="D106">
        <v>-0.57286879999999996</v>
      </c>
      <c r="E106">
        <v>4</v>
      </c>
      <c r="F106">
        <v>4</v>
      </c>
      <c r="G106">
        <v>2022</v>
      </c>
      <c r="H106">
        <v>13</v>
      </c>
      <c r="I106">
        <v>55</v>
      </c>
      <c r="J106">
        <v>26.3</v>
      </c>
      <c r="K106">
        <v>44.05</v>
      </c>
      <c r="L106">
        <v>0</v>
      </c>
      <c r="M106">
        <v>43.116999999999997</v>
      </c>
      <c r="N106">
        <v>0.65200000000000002</v>
      </c>
      <c r="P106" s="1">
        <f t="shared" si="5"/>
        <v>11.976944444444445</v>
      </c>
      <c r="Q106" s="3">
        <f t="shared" si="6"/>
        <v>0.43888888888890421</v>
      </c>
      <c r="R106" s="3">
        <f t="shared" si="7"/>
        <v>0.48388888888888815</v>
      </c>
      <c r="S106" s="3">
        <f t="shared" si="8"/>
        <v>0.31106060606060609</v>
      </c>
    </row>
    <row r="107" spans="1:19" x14ac:dyDescent="0.25">
      <c r="A107" t="s">
        <v>16</v>
      </c>
      <c r="C107">
        <v>52.048156200000001</v>
      </c>
      <c r="D107">
        <v>-0.57287460000000001</v>
      </c>
      <c r="E107">
        <v>4</v>
      </c>
      <c r="F107">
        <v>4</v>
      </c>
      <c r="G107">
        <v>2022</v>
      </c>
      <c r="H107">
        <v>13</v>
      </c>
      <c r="I107">
        <v>55</v>
      </c>
      <c r="J107">
        <v>26.4</v>
      </c>
      <c r="K107">
        <v>44.04</v>
      </c>
      <c r="L107">
        <v>0</v>
      </c>
      <c r="M107">
        <v>43.063000000000002</v>
      </c>
      <c r="N107">
        <v>0.64100000000000001</v>
      </c>
      <c r="P107" s="1">
        <f t="shared" si="5"/>
        <v>11.961944444444445</v>
      </c>
      <c r="Q107" s="3">
        <f t="shared" si="6"/>
        <v>-0.15000000000000568</v>
      </c>
      <c r="R107" s="3">
        <f t="shared" si="7"/>
        <v>0.31805555555555642</v>
      </c>
      <c r="S107" s="3">
        <f t="shared" si="8"/>
        <v>0.31717171717171699</v>
      </c>
    </row>
    <row r="108" spans="1:19" x14ac:dyDescent="0.25">
      <c r="A108" t="s">
        <v>16</v>
      </c>
      <c r="C108">
        <v>52.048166399999999</v>
      </c>
      <c r="D108">
        <v>-0.5728801</v>
      </c>
      <c r="E108">
        <v>4</v>
      </c>
      <c r="F108">
        <v>4</v>
      </c>
      <c r="G108">
        <v>2022</v>
      </c>
      <c r="H108">
        <v>13</v>
      </c>
      <c r="I108">
        <v>55</v>
      </c>
      <c r="J108">
        <v>26.5</v>
      </c>
      <c r="K108">
        <v>43.98</v>
      </c>
      <c r="L108">
        <v>0</v>
      </c>
      <c r="M108">
        <v>43.747</v>
      </c>
      <c r="N108">
        <v>0.64400000000000002</v>
      </c>
      <c r="P108" s="1">
        <f t="shared" si="5"/>
        <v>12.151944444444444</v>
      </c>
      <c r="Q108" s="3">
        <f t="shared" si="6"/>
        <v>1.899999999999995</v>
      </c>
      <c r="R108" s="3">
        <f t="shared" si="7"/>
        <v>0.26888888888888829</v>
      </c>
      <c r="S108" s="3">
        <f t="shared" si="8"/>
        <v>0.30825757575757556</v>
      </c>
    </row>
    <row r="109" spans="1:19" x14ac:dyDescent="0.25">
      <c r="A109" t="s">
        <v>16</v>
      </c>
      <c r="C109">
        <v>52.048176499999997</v>
      </c>
      <c r="D109">
        <v>-0.57288539999999999</v>
      </c>
      <c r="E109">
        <v>4</v>
      </c>
      <c r="F109">
        <v>4</v>
      </c>
      <c r="G109">
        <v>2022</v>
      </c>
      <c r="H109">
        <v>13</v>
      </c>
      <c r="I109">
        <v>55</v>
      </c>
      <c r="J109">
        <v>26.6</v>
      </c>
      <c r="K109">
        <v>43.93</v>
      </c>
      <c r="L109">
        <v>0</v>
      </c>
      <c r="M109">
        <v>43.548999999999999</v>
      </c>
      <c r="N109">
        <v>0.60499999999999998</v>
      </c>
      <c r="P109" s="1">
        <f t="shared" si="5"/>
        <v>12.096944444444444</v>
      </c>
      <c r="Q109" s="3">
        <f t="shared" si="6"/>
        <v>-0.54999999999999716</v>
      </c>
      <c r="R109" s="3">
        <f t="shared" si="7"/>
        <v>0.23416666666666686</v>
      </c>
      <c r="S109" s="3">
        <f t="shared" si="8"/>
        <v>0.29464646464646455</v>
      </c>
    </row>
    <row r="110" spans="1:19" x14ac:dyDescent="0.25">
      <c r="A110" t="s">
        <v>16</v>
      </c>
      <c r="C110">
        <v>52.048186700000002</v>
      </c>
      <c r="D110">
        <v>-0.57289080000000003</v>
      </c>
      <c r="E110">
        <v>4</v>
      </c>
      <c r="F110">
        <v>4</v>
      </c>
      <c r="G110">
        <v>2022</v>
      </c>
      <c r="H110">
        <v>13</v>
      </c>
      <c r="I110">
        <v>55</v>
      </c>
      <c r="J110">
        <v>26.7</v>
      </c>
      <c r="K110">
        <v>43.9</v>
      </c>
      <c r="L110">
        <v>0</v>
      </c>
      <c r="M110">
        <v>43.47</v>
      </c>
      <c r="N110">
        <v>0.60799999999999998</v>
      </c>
      <c r="P110" s="1">
        <f t="shared" si="5"/>
        <v>12.074999999999999</v>
      </c>
      <c r="Q110" s="3">
        <f t="shared" si="6"/>
        <v>-0.2194444444444521</v>
      </c>
      <c r="R110" s="3">
        <f t="shared" si="7"/>
        <v>0.19805555555555543</v>
      </c>
      <c r="S110" s="3">
        <f t="shared" si="8"/>
        <v>0.30083333333333329</v>
      </c>
    </row>
    <row r="111" spans="1:19" x14ac:dyDescent="0.25">
      <c r="A111" t="s">
        <v>16</v>
      </c>
      <c r="C111">
        <v>52.048196900000001</v>
      </c>
      <c r="D111">
        <v>-0.57289599999999996</v>
      </c>
      <c r="E111">
        <v>4</v>
      </c>
      <c r="F111">
        <v>4</v>
      </c>
      <c r="G111">
        <v>2022</v>
      </c>
      <c r="H111">
        <v>13</v>
      </c>
      <c r="I111">
        <v>55</v>
      </c>
      <c r="J111">
        <v>26.8</v>
      </c>
      <c r="K111">
        <v>43.85</v>
      </c>
      <c r="L111">
        <v>0</v>
      </c>
      <c r="M111">
        <v>43.758000000000003</v>
      </c>
      <c r="N111">
        <v>0.59</v>
      </c>
      <c r="P111" s="1">
        <f t="shared" si="5"/>
        <v>12.154999999999999</v>
      </c>
      <c r="Q111" s="3">
        <f t="shared" si="6"/>
        <v>0.80000000000000071</v>
      </c>
      <c r="R111" s="3">
        <f t="shared" si="7"/>
        <v>0.27499999999999858</v>
      </c>
      <c r="S111" s="3">
        <f t="shared" si="8"/>
        <v>0.29156565656565658</v>
      </c>
    </row>
    <row r="112" spans="1:19" x14ac:dyDescent="0.25">
      <c r="A112" t="s">
        <v>16</v>
      </c>
      <c r="C112">
        <v>52.048207099999999</v>
      </c>
      <c r="D112">
        <v>-0.57290140000000001</v>
      </c>
      <c r="E112">
        <v>4</v>
      </c>
      <c r="F112">
        <v>4</v>
      </c>
      <c r="G112">
        <v>2022</v>
      </c>
      <c r="H112">
        <v>13</v>
      </c>
      <c r="I112">
        <v>55</v>
      </c>
      <c r="J112">
        <v>26.9</v>
      </c>
      <c r="K112">
        <v>43.8</v>
      </c>
      <c r="L112">
        <v>0</v>
      </c>
      <c r="M112">
        <v>43.618000000000002</v>
      </c>
      <c r="N112">
        <v>0.61899999999999999</v>
      </c>
      <c r="P112" s="1">
        <f t="shared" si="5"/>
        <v>12.116111111111111</v>
      </c>
      <c r="Q112" s="3">
        <f t="shared" si="6"/>
        <v>-0.38888888888887863</v>
      </c>
      <c r="R112" s="3">
        <f t="shared" si="7"/>
        <v>0.33611111111111036</v>
      </c>
      <c r="S112" s="3">
        <f t="shared" si="8"/>
        <v>0.27848484848484856</v>
      </c>
    </row>
    <row r="113" spans="1:19" x14ac:dyDescent="0.25">
      <c r="A113" t="s">
        <v>16</v>
      </c>
      <c r="C113">
        <v>52.048217600000001</v>
      </c>
      <c r="D113">
        <v>-0.57290700000000006</v>
      </c>
      <c r="E113">
        <v>4</v>
      </c>
      <c r="F113">
        <v>4</v>
      </c>
      <c r="G113">
        <v>2022</v>
      </c>
      <c r="H113">
        <v>13</v>
      </c>
      <c r="I113">
        <v>55</v>
      </c>
      <c r="J113">
        <v>27</v>
      </c>
      <c r="K113">
        <v>43.82</v>
      </c>
      <c r="L113">
        <v>0</v>
      </c>
      <c r="M113">
        <v>43.837000000000003</v>
      </c>
      <c r="N113">
        <v>0.61199999999999999</v>
      </c>
      <c r="P113" s="1">
        <f t="shared" si="5"/>
        <v>12.176944444444445</v>
      </c>
      <c r="Q113" s="3">
        <f t="shared" si="6"/>
        <v>0.60833333333333073</v>
      </c>
      <c r="R113" s="3">
        <f t="shared" si="7"/>
        <v>0.10194444444444528</v>
      </c>
      <c r="S113" s="3">
        <f t="shared" si="8"/>
        <v>0.27184343434343428</v>
      </c>
    </row>
    <row r="114" spans="1:19" x14ac:dyDescent="0.25">
      <c r="A114" t="s">
        <v>16</v>
      </c>
      <c r="C114">
        <v>52.048227799999999</v>
      </c>
      <c r="D114">
        <v>-0.57291259999999999</v>
      </c>
      <c r="E114">
        <v>4</v>
      </c>
      <c r="F114">
        <v>4</v>
      </c>
      <c r="G114">
        <v>2022</v>
      </c>
      <c r="H114">
        <v>13</v>
      </c>
      <c r="I114">
        <v>55</v>
      </c>
      <c r="J114">
        <v>27.1</v>
      </c>
      <c r="K114">
        <v>43.8</v>
      </c>
      <c r="L114">
        <v>0</v>
      </c>
      <c r="M114">
        <v>43.654000000000003</v>
      </c>
      <c r="N114">
        <v>0.61199999999999999</v>
      </c>
      <c r="P114" s="1">
        <f t="shared" si="5"/>
        <v>12.126111111111111</v>
      </c>
      <c r="Q114" s="3">
        <f t="shared" si="6"/>
        <v>-0.50833333333333286</v>
      </c>
      <c r="R114" s="3">
        <f t="shared" si="7"/>
        <v>0.25111111111111128</v>
      </c>
      <c r="S114" s="3">
        <f t="shared" si="8"/>
        <v>0.2818434343434344</v>
      </c>
    </row>
    <row r="115" spans="1:19" x14ac:dyDescent="0.25">
      <c r="A115" t="s">
        <v>16</v>
      </c>
      <c r="C115">
        <v>52.048238099999999</v>
      </c>
      <c r="D115">
        <v>-0.57291809999999999</v>
      </c>
      <c r="E115">
        <v>4</v>
      </c>
      <c r="F115">
        <v>4</v>
      </c>
      <c r="G115">
        <v>2022</v>
      </c>
      <c r="H115">
        <v>13</v>
      </c>
      <c r="I115">
        <v>55</v>
      </c>
      <c r="J115">
        <v>27.2</v>
      </c>
      <c r="K115">
        <v>43.79</v>
      </c>
      <c r="L115">
        <v>0</v>
      </c>
      <c r="M115">
        <v>43.671999999999997</v>
      </c>
      <c r="N115">
        <v>0.60799999999999998</v>
      </c>
      <c r="P115" s="1">
        <f t="shared" si="5"/>
        <v>12.13111111111111</v>
      </c>
      <c r="Q115" s="3">
        <f t="shared" si="6"/>
        <v>4.9999999999990052E-2</v>
      </c>
      <c r="R115" s="3">
        <f t="shared" si="7"/>
        <v>0.50305555555555692</v>
      </c>
      <c r="S115" s="3">
        <f t="shared" si="8"/>
        <v>0.28755050505050517</v>
      </c>
    </row>
    <row r="116" spans="1:19" x14ac:dyDescent="0.25">
      <c r="A116" t="s">
        <v>16</v>
      </c>
      <c r="C116">
        <v>52.048248800000003</v>
      </c>
      <c r="D116">
        <v>-0.57292370000000004</v>
      </c>
      <c r="E116">
        <v>4</v>
      </c>
      <c r="F116">
        <v>4</v>
      </c>
      <c r="G116">
        <v>2022</v>
      </c>
      <c r="H116">
        <v>13</v>
      </c>
      <c r="I116">
        <v>55</v>
      </c>
      <c r="J116">
        <v>27.3</v>
      </c>
      <c r="K116">
        <v>43.81</v>
      </c>
      <c r="L116">
        <v>0</v>
      </c>
      <c r="M116">
        <v>44.106999999999999</v>
      </c>
      <c r="N116">
        <v>0.59799999999999998</v>
      </c>
      <c r="P116" s="1">
        <f t="shared" si="5"/>
        <v>12.251944444444444</v>
      </c>
      <c r="Q116" s="3">
        <f t="shared" si="6"/>
        <v>1.2083333333333357</v>
      </c>
      <c r="R116" s="3">
        <f t="shared" si="7"/>
        <v>0.23694444444444507</v>
      </c>
      <c r="S116" s="3">
        <f t="shared" si="8"/>
        <v>0.29727272727272741</v>
      </c>
    </row>
    <row r="117" spans="1:19" x14ac:dyDescent="0.25">
      <c r="A117" t="s">
        <v>16</v>
      </c>
      <c r="C117">
        <v>52.0482595</v>
      </c>
      <c r="D117">
        <v>-0.57292920000000003</v>
      </c>
      <c r="E117">
        <v>4</v>
      </c>
      <c r="F117">
        <v>4</v>
      </c>
      <c r="G117">
        <v>2022</v>
      </c>
      <c r="H117">
        <v>13</v>
      </c>
      <c r="I117">
        <v>55</v>
      </c>
      <c r="J117">
        <v>27.4</v>
      </c>
      <c r="K117">
        <v>43.84</v>
      </c>
      <c r="L117">
        <v>0</v>
      </c>
      <c r="M117">
        <v>44.273000000000003</v>
      </c>
      <c r="N117">
        <v>0.58299999999999996</v>
      </c>
      <c r="P117" s="1">
        <f t="shared" si="5"/>
        <v>12.298055555555555</v>
      </c>
      <c r="Q117" s="3">
        <f t="shared" si="6"/>
        <v>0.46111111111111214</v>
      </c>
      <c r="R117" s="3">
        <f t="shared" si="7"/>
        <v>0.33999999999999986</v>
      </c>
      <c r="S117" s="3">
        <f t="shared" si="8"/>
        <v>0.29363636363636397</v>
      </c>
    </row>
    <row r="118" spans="1:19" x14ac:dyDescent="0.25">
      <c r="A118" t="s">
        <v>16</v>
      </c>
      <c r="C118">
        <v>52.048270100000003</v>
      </c>
      <c r="D118">
        <v>-0.57293450000000001</v>
      </c>
      <c r="E118">
        <v>4</v>
      </c>
      <c r="F118">
        <v>4</v>
      </c>
      <c r="G118">
        <v>2022</v>
      </c>
      <c r="H118">
        <v>13</v>
      </c>
      <c r="I118">
        <v>55</v>
      </c>
      <c r="J118">
        <v>27.5</v>
      </c>
      <c r="K118">
        <v>43.86</v>
      </c>
      <c r="L118">
        <v>0</v>
      </c>
      <c r="M118">
        <v>44.113999999999997</v>
      </c>
      <c r="N118">
        <v>0.57999999999999996</v>
      </c>
      <c r="P118" s="1">
        <f t="shared" si="5"/>
        <v>12.253888888888889</v>
      </c>
      <c r="Q118" s="3">
        <f t="shared" si="6"/>
        <v>-0.44166666666665577</v>
      </c>
      <c r="R118" s="3">
        <f t="shared" si="7"/>
        <v>0.24499999999999922</v>
      </c>
      <c r="S118" s="3">
        <f t="shared" si="8"/>
        <v>0.29873737373737408</v>
      </c>
    </row>
    <row r="119" spans="1:19" x14ac:dyDescent="0.25">
      <c r="A119" t="s">
        <v>16</v>
      </c>
      <c r="C119">
        <v>52.048281000000003</v>
      </c>
      <c r="D119">
        <v>-0.57293959999999999</v>
      </c>
      <c r="E119">
        <v>4</v>
      </c>
      <c r="F119">
        <v>4</v>
      </c>
      <c r="G119">
        <v>2022</v>
      </c>
      <c r="H119">
        <v>13</v>
      </c>
      <c r="I119">
        <v>55</v>
      </c>
      <c r="J119">
        <v>27.6</v>
      </c>
      <c r="K119">
        <v>43.89</v>
      </c>
      <c r="L119">
        <v>0</v>
      </c>
      <c r="M119">
        <v>44.453000000000003</v>
      </c>
      <c r="N119">
        <v>0.58299999999999996</v>
      </c>
      <c r="P119" s="1">
        <f t="shared" si="5"/>
        <v>12.348055555555556</v>
      </c>
      <c r="Q119" s="3">
        <f t="shared" si="6"/>
        <v>0.94166666666666288</v>
      </c>
      <c r="R119" s="3">
        <f t="shared" si="7"/>
        <v>0.3788888888888895</v>
      </c>
      <c r="S119" s="3">
        <f t="shared" si="8"/>
        <v>0.31565656565656591</v>
      </c>
    </row>
    <row r="120" spans="1:19" x14ac:dyDescent="0.25">
      <c r="A120" t="s">
        <v>16</v>
      </c>
      <c r="C120">
        <v>52.048292000000004</v>
      </c>
      <c r="D120">
        <v>-0.57294440000000002</v>
      </c>
      <c r="E120">
        <v>4</v>
      </c>
      <c r="F120">
        <v>4</v>
      </c>
      <c r="G120">
        <v>2022</v>
      </c>
      <c r="H120">
        <v>13</v>
      </c>
      <c r="I120">
        <v>55</v>
      </c>
      <c r="J120">
        <v>27.7</v>
      </c>
      <c r="K120">
        <v>43.89</v>
      </c>
      <c r="L120">
        <v>0</v>
      </c>
      <c r="M120">
        <v>45.280999999999999</v>
      </c>
      <c r="N120">
        <v>0.59</v>
      </c>
      <c r="P120" s="1">
        <f t="shared" si="5"/>
        <v>12.578055555555556</v>
      </c>
      <c r="Q120" s="3">
        <f t="shared" si="6"/>
        <v>2.3000000000000043</v>
      </c>
      <c r="R120" s="3">
        <f t="shared" si="7"/>
        <v>0.29694444444444557</v>
      </c>
      <c r="S120" s="3">
        <f t="shared" si="8"/>
        <v>0.29608585858585879</v>
      </c>
    </row>
    <row r="121" spans="1:19" x14ac:dyDescent="0.25">
      <c r="A121" t="s">
        <v>16</v>
      </c>
      <c r="C121">
        <v>52.0483026</v>
      </c>
      <c r="D121">
        <v>-0.57294889999999998</v>
      </c>
      <c r="E121">
        <v>4</v>
      </c>
      <c r="F121">
        <v>4</v>
      </c>
      <c r="G121">
        <v>2022</v>
      </c>
      <c r="H121">
        <v>13</v>
      </c>
      <c r="I121">
        <v>55</v>
      </c>
      <c r="J121">
        <v>27.8</v>
      </c>
      <c r="K121">
        <v>43.85</v>
      </c>
      <c r="L121">
        <v>0</v>
      </c>
      <c r="M121">
        <v>44.610999999999997</v>
      </c>
      <c r="N121">
        <v>0.59399999999999997</v>
      </c>
      <c r="P121" s="1">
        <f t="shared" si="5"/>
        <v>12.391944444444444</v>
      </c>
      <c r="Q121" s="3">
        <f t="shared" si="6"/>
        <v>-1.8611111111111178</v>
      </c>
      <c r="R121" s="3">
        <f t="shared" si="7"/>
        <v>0.30499999999999972</v>
      </c>
      <c r="S121" s="3">
        <f t="shared" si="8"/>
        <v>0.27772727272727288</v>
      </c>
    </row>
    <row r="122" spans="1:19" x14ac:dyDescent="0.25">
      <c r="A122" t="s">
        <v>16</v>
      </c>
      <c r="C122">
        <v>52.048313399999998</v>
      </c>
      <c r="D122">
        <v>-0.57295359999999995</v>
      </c>
      <c r="E122">
        <v>4</v>
      </c>
      <c r="F122">
        <v>4</v>
      </c>
      <c r="G122">
        <v>2022</v>
      </c>
      <c r="H122">
        <v>13</v>
      </c>
      <c r="I122">
        <v>55</v>
      </c>
      <c r="J122">
        <v>27.9</v>
      </c>
      <c r="K122">
        <v>43.84</v>
      </c>
      <c r="L122">
        <v>0</v>
      </c>
      <c r="M122">
        <v>44.841999999999999</v>
      </c>
      <c r="N122">
        <v>0.63</v>
      </c>
      <c r="P122" s="1">
        <f t="shared" si="5"/>
        <v>12.456111111111111</v>
      </c>
      <c r="Q122" s="3">
        <f t="shared" si="6"/>
        <v>0.64166666666666927</v>
      </c>
      <c r="R122" s="3">
        <f t="shared" si="7"/>
        <v>0.23500000000000121</v>
      </c>
      <c r="S122" s="3">
        <f t="shared" si="8"/>
        <v>0.28080808080808095</v>
      </c>
    </row>
    <row r="123" spans="1:19" x14ac:dyDescent="0.25">
      <c r="A123" t="s">
        <v>16</v>
      </c>
      <c r="C123">
        <v>52.048324100000002</v>
      </c>
      <c r="D123">
        <v>-0.57295810000000003</v>
      </c>
      <c r="E123">
        <v>4</v>
      </c>
      <c r="F123">
        <v>4</v>
      </c>
      <c r="G123">
        <v>2022</v>
      </c>
      <c r="H123">
        <v>13</v>
      </c>
      <c r="I123">
        <v>55</v>
      </c>
      <c r="J123">
        <v>28</v>
      </c>
      <c r="K123">
        <v>43.8</v>
      </c>
      <c r="L123">
        <v>0</v>
      </c>
      <c r="M123">
        <v>44.719000000000001</v>
      </c>
      <c r="N123">
        <v>0.63700000000000001</v>
      </c>
      <c r="P123" s="1">
        <f t="shared" si="5"/>
        <v>12.421944444444444</v>
      </c>
      <c r="Q123" s="3">
        <f t="shared" si="6"/>
        <v>-0.34166666666667567</v>
      </c>
      <c r="R123" s="3">
        <f t="shared" si="7"/>
        <v>0.39222222222222136</v>
      </c>
      <c r="S123" s="3">
        <f t="shared" si="8"/>
        <v>0.27734848484848501</v>
      </c>
    </row>
    <row r="124" spans="1:19" x14ac:dyDescent="0.25">
      <c r="A124" t="s">
        <v>16</v>
      </c>
      <c r="C124">
        <v>52.048335100000003</v>
      </c>
      <c r="D124">
        <v>-0.57296279999999999</v>
      </c>
      <c r="E124">
        <v>4</v>
      </c>
      <c r="F124">
        <v>4</v>
      </c>
      <c r="G124">
        <v>2022</v>
      </c>
      <c r="H124">
        <v>13</v>
      </c>
      <c r="I124">
        <v>55</v>
      </c>
      <c r="J124">
        <v>28.1</v>
      </c>
      <c r="K124">
        <v>43.82</v>
      </c>
      <c r="L124">
        <v>0</v>
      </c>
      <c r="M124">
        <v>45.018000000000001</v>
      </c>
      <c r="N124">
        <v>0.63700000000000001</v>
      </c>
      <c r="P124" s="1">
        <f t="shared" si="5"/>
        <v>12.505000000000001</v>
      </c>
      <c r="Q124" s="3">
        <f t="shared" si="6"/>
        <v>0.83055555555556992</v>
      </c>
      <c r="R124" s="3">
        <f t="shared" si="7"/>
        <v>0.28805555555555529</v>
      </c>
      <c r="S124" s="3">
        <f t="shared" si="8"/>
        <v>0.28406565656565663</v>
      </c>
    </row>
    <row r="125" spans="1:19" x14ac:dyDescent="0.25">
      <c r="A125" t="s">
        <v>16</v>
      </c>
      <c r="C125">
        <v>52.0483458</v>
      </c>
      <c r="D125">
        <v>-0.57296740000000002</v>
      </c>
      <c r="E125">
        <v>4</v>
      </c>
      <c r="F125">
        <v>4</v>
      </c>
      <c r="G125">
        <v>2022</v>
      </c>
      <c r="H125">
        <v>13</v>
      </c>
      <c r="I125">
        <v>55</v>
      </c>
      <c r="J125">
        <v>28.2</v>
      </c>
      <c r="K125">
        <v>43.8</v>
      </c>
      <c r="L125">
        <v>0</v>
      </c>
      <c r="M125">
        <v>44.741</v>
      </c>
      <c r="N125">
        <v>0.63</v>
      </c>
      <c r="P125" s="1">
        <f t="shared" si="5"/>
        <v>12.428055555555556</v>
      </c>
      <c r="Q125" s="3">
        <f t="shared" si="6"/>
        <v>-0.76944444444444926</v>
      </c>
      <c r="R125" s="3">
        <f t="shared" si="7"/>
        <v>3.5833333333332718E-2</v>
      </c>
      <c r="S125" s="3">
        <f t="shared" si="8"/>
        <v>0.2992424242424242</v>
      </c>
    </row>
    <row r="126" spans="1:19" x14ac:dyDescent="0.25">
      <c r="A126" t="s">
        <v>16</v>
      </c>
      <c r="C126">
        <v>52.048356800000001</v>
      </c>
      <c r="D126">
        <v>-0.57297200000000004</v>
      </c>
      <c r="E126">
        <v>4</v>
      </c>
      <c r="F126">
        <v>4</v>
      </c>
      <c r="G126">
        <v>2022</v>
      </c>
      <c r="H126">
        <v>13</v>
      </c>
      <c r="I126">
        <v>55</v>
      </c>
      <c r="J126">
        <v>28.3</v>
      </c>
      <c r="K126">
        <v>43.81</v>
      </c>
      <c r="L126">
        <v>0</v>
      </c>
      <c r="M126">
        <v>45.204999999999998</v>
      </c>
      <c r="N126">
        <v>0.60799999999999998</v>
      </c>
      <c r="P126" s="1">
        <f t="shared" si="5"/>
        <v>12.556944444444444</v>
      </c>
      <c r="Q126" s="3">
        <f t="shared" si="6"/>
        <v>1.2888888888888772</v>
      </c>
      <c r="R126" s="3">
        <f t="shared" si="7"/>
        <v>0.301111111111112</v>
      </c>
      <c r="S126" s="3">
        <f t="shared" si="8"/>
        <v>0.32444444444444431</v>
      </c>
    </row>
    <row r="127" spans="1:19" x14ac:dyDescent="0.25">
      <c r="A127" t="s">
        <v>16</v>
      </c>
      <c r="C127">
        <v>52.0483677</v>
      </c>
      <c r="D127">
        <v>-0.5729765</v>
      </c>
      <c r="E127">
        <v>4</v>
      </c>
      <c r="F127">
        <v>4</v>
      </c>
      <c r="G127">
        <v>2022</v>
      </c>
      <c r="H127">
        <v>13</v>
      </c>
      <c r="I127">
        <v>55</v>
      </c>
      <c r="J127">
        <v>28.4</v>
      </c>
      <c r="K127">
        <v>43.8</v>
      </c>
      <c r="L127">
        <v>0</v>
      </c>
      <c r="M127">
        <v>45.119</v>
      </c>
      <c r="N127">
        <v>0.60799999999999998</v>
      </c>
      <c r="P127" s="1">
        <f t="shared" si="5"/>
        <v>12.533055555555556</v>
      </c>
      <c r="Q127" s="3">
        <f t="shared" si="6"/>
        <v>-0.23888888888887294</v>
      </c>
      <c r="R127" s="3">
        <f t="shared" si="7"/>
        <v>0.27083333333333393</v>
      </c>
      <c r="S127" s="3">
        <f t="shared" si="8"/>
        <v>0.36752525252525231</v>
      </c>
    </row>
    <row r="128" spans="1:19" x14ac:dyDescent="0.25">
      <c r="A128" t="s">
        <v>16</v>
      </c>
      <c r="C128">
        <v>52.048378900000003</v>
      </c>
      <c r="D128">
        <v>-0.57298110000000002</v>
      </c>
      <c r="E128">
        <v>4</v>
      </c>
      <c r="F128">
        <v>4</v>
      </c>
      <c r="G128">
        <v>2022</v>
      </c>
      <c r="H128">
        <v>13</v>
      </c>
      <c r="I128">
        <v>55</v>
      </c>
      <c r="J128">
        <v>28.5</v>
      </c>
      <c r="K128">
        <v>43.83</v>
      </c>
      <c r="L128">
        <v>0</v>
      </c>
      <c r="M128">
        <v>45.526000000000003</v>
      </c>
      <c r="N128">
        <v>0.60099999999999998</v>
      </c>
      <c r="P128" s="1">
        <f t="shared" si="5"/>
        <v>12.646111111111111</v>
      </c>
      <c r="Q128" s="3">
        <f t="shared" si="6"/>
        <v>1.1305555555555458</v>
      </c>
      <c r="R128" s="3">
        <f t="shared" si="7"/>
        <v>0.30194444444444457</v>
      </c>
      <c r="S128" s="3">
        <f t="shared" si="8"/>
        <v>0.38770202020201983</v>
      </c>
    </row>
    <row r="129" spans="1:19" x14ac:dyDescent="0.25">
      <c r="A129" t="s">
        <v>16</v>
      </c>
      <c r="C129">
        <v>52.048390099999999</v>
      </c>
      <c r="D129">
        <v>-0.57298590000000005</v>
      </c>
      <c r="E129">
        <v>4</v>
      </c>
      <c r="F129">
        <v>4</v>
      </c>
      <c r="G129">
        <v>2022</v>
      </c>
      <c r="H129">
        <v>13</v>
      </c>
      <c r="I129">
        <v>55</v>
      </c>
      <c r="J129">
        <v>28.6</v>
      </c>
      <c r="K129">
        <v>43.87</v>
      </c>
      <c r="L129">
        <v>0</v>
      </c>
      <c r="M129">
        <v>45.49</v>
      </c>
      <c r="N129">
        <v>0.59399999999999997</v>
      </c>
      <c r="P129" s="1">
        <f t="shared" si="5"/>
        <v>12.636111111111111</v>
      </c>
      <c r="Q129" s="3">
        <f t="shared" si="6"/>
        <v>-9.9999999999997868E-2</v>
      </c>
      <c r="R129" s="3">
        <f t="shared" si="7"/>
        <v>0.31888888888888722</v>
      </c>
      <c r="S129" s="3">
        <f t="shared" si="8"/>
        <v>0.39249999999999974</v>
      </c>
    </row>
    <row r="130" spans="1:19" x14ac:dyDescent="0.25">
      <c r="A130" t="s">
        <v>16</v>
      </c>
      <c r="C130">
        <v>52.048400999999998</v>
      </c>
      <c r="D130">
        <v>-0.57299049999999996</v>
      </c>
      <c r="E130">
        <v>4</v>
      </c>
      <c r="F130">
        <v>4</v>
      </c>
      <c r="G130">
        <v>2022</v>
      </c>
      <c r="H130">
        <v>13</v>
      </c>
      <c r="I130">
        <v>55</v>
      </c>
      <c r="J130">
        <v>28.7</v>
      </c>
      <c r="K130">
        <v>43.86</v>
      </c>
      <c r="L130">
        <v>0</v>
      </c>
      <c r="M130">
        <v>45.41</v>
      </c>
      <c r="N130">
        <v>0.59799999999999998</v>
      </c>
      <c r="P130" s="1">
        <f t="shared" si="5"/>
        <v>12.613888888888889</v>
      </c>
      <c r="Q130" s="3">
        <f t="shared" si="6"/>
        <v>-0.22222222222222143</v>
      </c>
      <c r="R130" s="3">
        <f t="shared" si="7"/>
        <v>0.5458333333333325</v>
      </c>
      <c r="S130" s="3">
        <f t="shared" si="8"/>
        <v>0.3954040404040402</v>
      </c>
    </row>
    <row r="131" spans="1:19" x14ac:dyDescent="0.25">
      <c r="A131" t="s">
        <v>16</v>
      </c>
      <c r="C131">
        <v>52.048412300000003</v>
      </c>
      <c r="D131">
        <v>-0.57299549999999999</v>
      </c>
      <c r="E131">
        <v>4</v>
      </c>
      <c r="F131">
        <v>4</v>
      </c>
      <c r="G131">
        <v>2022</v>
      </c>
      <c r="H131">
        <v>13</v>
      </c>
      <c r="I131">
        <v>55</v>
      </c>
      <c r="J131">
        <v>28.8</v>
      </c>
      <c r="K131">
        <v>43.91</v>
      </c>
      <c r="L131">
        <v>0</v>
      </c>
      <c r="M131">
        <v>45.695</v>
      </c>
      <c r="N131">
        <v>0.58699999999999997</v>
      </c>
      <c r="P131" s="1">
        <f t="shared" ref="P131:P194" si="9">M131*1000/3600</f>
        <v>12.693055555555556</v>
      </c>
      <c r="Q131" s="3">
        <f t="shared" si="6"/>
        <v>0.79166666666667496</v>
      </c>
      <c r="R131" s="3">
        <f t="shared" si="7"/>
        <v>0.57416666666666671</v>
      </c>
      <c r="S131" s="3">
        <f t="shared" si="8"/>
        <v>0.41767676767676742</v>
      </c>
    </row>
    <row r="132" spans="1:19" x14ac:dyDescent="0.25">
      <c r="A132" t="s">
        <v>16</v>
      </c>
      <c r="C132">
        <v>52.0484236</v>
      </c>
      <c r="D132">
        <v>-0.57300010000000001</v>
      </c>
      <c r="E132">
        <v>4</v>
      </c>
      <c r="F132">
        <v>4</v>
      </c>
      <c r="G132">
        <v>2022</v>
      </c>
      <c r="H132">
        <v>13</v>
      </c>
      <c r="I132">
        <v>55</v>
      </c>
      <c r="J132">
        <v>28.9</v>
      </c>
      <c r="K132">
        <v>43.93</v>
      </c>
      <c r="L132">
        <v>0</v>
      </c>
      <c r="M132">
        <v>45.817</v>
      </c>
      <c r="N132">
        <v>0.56899999999999995</v>
      </c>
      <c r="P132" s="1">
        <f t="shared" si="9"/>
        <v>12.726944444444445</v>
      </c>
      <c r="Q132" s="3">
        <f t="shared" si="6"/>
        <v>0.33888888888888857</v>
      </c>
      <c r="R132" s="3">
        <f t="shared" si="7"/>
        <v>0.77888888888888808</v>
      </c>
      <c r="S132" s="3">
        <f t="shared" si="8"/>
        <v>0.40613636363636324</v>
      </c>
    </row>
    <row r="133" spans="1:19" x14ac:dyDescent="0.25">
      <c r="A133" t="s">
        <v>16</v>
      </c>
      <c r="C133">
        <v>52.048434700000001</v>
      </c>
      <c r="D133">
        <v>-0.57300479999999998</v>
      </c>
      <c r="E133">
        <v>4</v>
      </c>
      <c r="F133">
        <v>4</v>
      </c>
      <c r="G133">
        <v>2022</v>
      </c>
      <c r="H133">
        <v>13</v>
      </c>
      <c r="I133">
        <v>55</v>
      </c>
      <c r="J133">
        <v>29</v>
      </c>
      <c r="K133">
        <v>43.94</v>
      </c>
      <c r="L133">
        <v>0</v>
      </c>
      <c r="M133">
        <v>45.805999999999997</v>
      </c>
      <c r="N133">
        <v>0.56899999999999995</v>
      </c>
      <c r="P133" s="1">
        <f t="shared" si="9"/>
        <v>12.723888888888888</v>
      </c>
      <c r="Q133" s="3">
        <f t="shared" ref="Q133:Q196" si="10">10*($P133-$P132)</f>
        <v>-3.0555555555569214E-2</v>
      </c>
      <c r="R133" s="3">
        <f t="shared" si="7"/>
        <v>0.45694444444444393</v>
      </c>
      <c r="S133" s="3">
        <f t="shared" si="8"/>
        <v>0.38997474747474714</v>
      </c>
    </row>
    <row r="134" spans="1:19" x14ac:dyDescent="0.25">
      <c r="A134" t="s">
        <v>16</v>
      </c>
      <c r="C134">
        <v>52.048445999999998</v>
      </c>
      <c r="D134">
        <v>-0.5730092</v>
      </c>
      <c r="E134">
        <v>4</v>
      </c>
      <c r="F134">
        <v>4</v>
      </c>
      <c r="G134">
        <v>2022</v>
      </c>
      <c r="H134">
        <v>13</v>
      </c>
      <c r="I134">
        <v>55</v>
      </c>
      <c r="J134">
        <v>29.1</v>
      </c>
      <c r="K134">
        <v>43.95</v>
      </c>
      <c r="L134">
        <v>0</v>
      </c>
      <c r="M134">
        <v>46.165999999999997</v>
      </c>
      <c r="N134">
        <v>0.56200000000000006</v>
      </c>
      <c r="P134" s="1">
        <f t="shared" si="9"/>
        <v>12.823888888888888</v>
      </c>
      <c r="Q134" s="3">
        <f t="shared" si="10"/>
        <v>0.99999999999999645</v>
      </c>
      <c r="R134" s="3">
        <f t="shared" si="7"/>
        <v>0.44500000000000028</v>
      </c>
      <c r="S134" s="3">
        <f t="shared" si="8"/>
        <v>0.35545454545454513</v>
      </c>
    </row>
    <row r="135" spans="1:19" x14ac:dyDescent="0.25">
      <c r="A135" t="s">
        <v>16</v>
      </c>
      <c r="C135">
        <v>52.048457499999998</v>
      </c>
      <c r="D135">
        <v>-0.57301310000000005</v>
      </c>
      <c r="E135">
        <v>4</v>
      </c>
      <c r="F135">
        <v>4</v>
      </c>
      <c r="G135">
        <v>2022</v>
      </c>
      <c r="H135">
        <v>13</v>
      </c>
      <c r="I135">
        <v>55</v>
      </c>
      <c r="J135">
        <v>29.2</v>
      </c>
      <c r="K135">
        <v>43.94</v>
      </c>
      <c r="L135">
        <v>0</v>
      </c>
      <c r="M135">
        <v>46.706000000000003</v>
      </c>
      <c r="N135">
        <v>0.57999999999999996</v>
      </c>
      <c r="P135" s="1">
        <f t="shared" si="9"/>
        <v>12.973888888888888</v>
      </c>
      <c r="Q135" s="3">
        <f t="shared" si="10"/>
        <v>1.5000000000000036</v>
      </c>
      <c r="R135" s="3">
        <f t="shared" si="7"/>
        <v>0.32000000000000028</v>
      </c>
      <c r="S135" s="3">
        <f t="shared" si="8"/>
        <v>0.30055555555555541</v>
      </c>
    </row>
    <row r="136" spans="1:19" x14ac:dyDescent="0.25">
      <c r="A136" t="s">
        <v>16</v>
      </c>
      <c r="C136">
        <v>52.048468999999997</v>
      </c>
      <c r="D136">
        <v>-0.57301659999999999</v>
      </c>
      <c r="E136">
        <v>4</v>
      </c>
      <c r="F136">
        <v>4</v>
      </c>
      <c r="G136">
        <v>2022</v>
      </c>
      <c r="H136">
        <v>13</v>
      </c>
      <c r="I136">
        <v>55</v>
      </c>
      <c r="J136">
        <v>29.3</v>
      </c>
      <c r="K136">
        <v>43.89</v>
      </c>
      <c r="L136">
        <v>0</v>
      </c>
      <c r="M136">
        <v>47.271999999999998</v>
      </c>
      <c r="N136">
        <v>0.626</v>
      </c>
      <c r="P136" s="1">
        <f t="shared" si="9"/>
        <v>13.13111111111111</v>
      </c>
      <c r="Q136" s="3">
        <f t="shared" si="10"/>
        <v>1.5722222222222193</v>
      </c>
      <c r="R136" s="3">
        <f t="shared" si="7"/>
        <v>0.28083333333333194</v>
      </c>
      <c r="S136" s="3">
        <f t="shared" si="8"/>
        <v>0.22002525252525243</v>
      </c>
    </row>
    <row r="137" spans="1:19" x14ac:dyDescent="0.25">
      <c r="A137" t="s">
        <v>16</v>
      </c>
      <c r="C137">
        <v>52.048480599999998</v>
      </c>
      <c r="D137">
        <v>-0.57302050000000004</v>
      </c>
      <c r="E137">
        <v>4</v>
      </c>
      <c r="F137">
        <v>4</v>
      </c>
      <c r="G137">
        <v>2022</v>
      </c>
      <c r="H137">
        <v>13</v>
      </c>
      <c r="I137">
        <v>55</v>
      </c>
      <c r="J137">
        <v>29.4</v>
      </c>
      <c r="K137">
        <v>43.83</v>
      </c>
      <c r="L137">
        <v>0</v>
      </c>
      <c r="M137">
        <v>47.923000000000002</v>
      </c>
      <c r="N137">
        <v>0.63700000000000001</v>
      </c>
      <c r="P137" s="1">
        <f t="shared" si="9"/>
        <v>13.311944444444444</v>
      </c>
      <c r="Q137" s="3">
        <f t="shared" si="10"/>
        <v>1.8083333333333407</v>
      </c>
      <c r="R137" s="3">
        <f t="shared" ref="R137:R200" si="11">($P142-$P132)</f>
        <v>0.17416666666666636</v>
      </c>
      <c r="S137" s="3">
        <f t="shared" si="8"/>
        <v>0.12156565656565652</v>
      </c>
    </row>
    <row r="138" spans="1:19" x14ac:dyDescent="0.25">
      <c r="A138" t="s">
        <v>16</v>
      </c>
      <c r="C138">
        <v>52.048491900000002</v>
      </c>
      <c r="D138">
        <v>-0.57302450000000005</v>
      </c>
      <c r="E138">
        <v>4</v>
      </c>
      <c r="F138">
        <v>4</v>
      </c>
      <c r="G138">
        <v>2022</v>
      </c>
      <c r="H138">
        <v>13</v>
      </c>
      <c r="I138">
        <v>55</v>
      </c>
      <c r="J138">
        <v>29.5</v>
      </c>
      <c r="K138">
        <v>43.8</v>
      </c>
      <c r="L138">
        <v>0</v>
      </c>
      <c r="M138">
        <v>47.170999999999999</v>
      </c>
      <c r="N138">
        <v>0.66200000000000003</v>
      </c>
      <c r="P138" s="1">
        <f t="shared" si="9"/>
        <v>13.103055555555555</v>
      </c>
      <c r="Q138" s="3">
        <f t="shared" si="10"/>
        <v>-2.0888888888888957</v>
      </c>
      <c r="R138" s="3">
        <f t="shared" si="11"/>
        <v>9.3055555555556779E-2</v>
      </c>
      <c r="S138" s="3">
        <f t="shared" si="8"/>
        <v>7.7525252525254143E-3</v>
      </c>
    </row>
    <row r="139" spans="1:19" x14ac:dyDescent="0.25">
      <c r="A139" t="s">
        <v>16</v>
      </c>
      <c r="C139">
        <v>52.048503199999999</v>
      </c>
      <c r="D139">
        <v>-0.57302889999999995</v>
      </c>
      <c r="E139">
        <v>4</v>
      </c>
      <c r="F139">
        <v>4</v>
      </c>
      <c r="G139">
        <v>2022</v>
      </c>
      <c r="H139">
        <v>13</v>
      </c>
      <c r="I139">
        <v>55</v>
      </c>
      <c r="J139">
        <v>29.6</v>
      </c>
      <c r="K139">
        <v>43.78</v>
      </c>
      <c r="L139">
        <v>0</v>
      </c>
      <c r="M139">
        <v>47.091999999999999</v>
      </c>
      <c r="N139">
        <v>0.68799999999999994</v>
      </c>
      <c r="P139" s="1">
        <f t="shared" si="9"/>
        <v>13.081111111111111</v>
      </c>
      <c r="Q139" s="3">
        <f t="shared" si="10"/>
        <v>-0.21944444444443434</v>
      </c>
      <c r="R139" s="3">
        <f t="shared" si="11"/>
        <v>-7.7777777777777501E-2</v>
      </c>
      <c r="S139" s="3">
        <f t="shared" si="8"/>
        <v>-7.8333333333333144E-2</v>
      </c>
    </row>
    <row r="140" spans="1:19" x14ac:dyDescent="0.25">
      <c r="A140" t="s">
        <v>16</v>
      </c>
      <c r="C140">
        <v>52.048514500000003</v>
      </c>
      <c r="D140">
        <v>-0.57303329999999997</v>
      </c>
      <c r="E140">
        <v>4</v>
      </c>
      <c r="F140">
        <v>4</v>
      </c>
      <c r="G140">
        <v>2022</v>
      </c>
      <c r="H140">
        <v>13</v>
      </c>
      <c r="I140">
        <v>55</v>
      </c>
      <c r="J140">
        <v>29.7</v>
      </c>
      <c r="K140">
        <v>43.77</v>
      </c>
      <c r="L140">
        <v>0</v>
      </c>
      <c r="M140">
        <v>46.561999999999998</v>
      </c>
      <c r="N140">
        <v>0.69099999999999995</v>
      </c>
      <c r="P140" s="1">
        <f t="shared" si="9"/>
        <v>12.933888888888889</v>
      </c>
      <c r="Q140" s="3">
        <f t="shared" si="10"/>
        <v>-1.4722222222222214</v>
      </c>
      <c r="R140" s="3">
        <f t="shared" si="11"/>
        <v>-0.28500000000000014</v>
      </c>
      <c r="S140" s="3">
        <f t="shared" si="8"/>
        <v>-0.13676767676767668</v>
      </c>
    </row>
    <row r="141" spans="1:19" x14ac:dyDescent="0.25">
      <c r="A141" t="s">
        <v>16</v>
      </c>
      <c r="C141">
        <v>52.048525699999999</v>
      </c>
      <c r="D141">
        <v>-0.57303760000000004</v>
      </c>
      <c r="E141">
        <v>4</v>
      </c>
      <c r="F141">
        <v>4</v>
      </c>
      <c r="G141">
        <v>2022</v>
      </c>
      <c r="H141">
        <v>13</v>
      </c>
      <c r="I141">
        <v>55</v>
      </c>
      <c r="J141">
        <v>29.8</v>
      </c>
      <c r="K141">
        <v>43.76</v>
      </c>
      <c r="L141">
        <v>0</v>
      </c>
      <c r="M141">
        <v>46.706000000000003</v>
      </c>
      <c r="N141">
        <v>0.69799999999999995</v>
      </c>
      <c r="P141" s="1">
        <f t="shared" si="9"/>
        <v>12.973888888888888</v>
      </c>
      <c r="Q141" s="3">
        <f t="shared" si="10"/>
        <v>0.39999999999999147</v>
      </c>
      <c r="R141" s="3">
        <f t="shared" si="11"/>
        <v>-0.33999999999999986</v>
      </c>
      <c r="S141" s="3">
        <f t="shared" si="8"/>
        <v>-0.18921717171717167</v>
      </c>
    </row>
    <row r="142" spans="1:19" x14ac:dyDescent="0.25">
      <c r="A142" t="s">
        <v>16</v>
      </c>
      <c r="C142">
        <v>52.048537099999997</v>
      </c>
      <c r="D142">
        <v>-0.57304239999999995</v>
      </c>
      <c r="E142">
        <v>4</v>
      </c>
      <c r="F142">
        <v>4</v>
      </c>
      <c r="G142">
        <v>2022</v>
      </c>
      <c r="H142">
        <v>13</v>
      </c>
      <c r="I142">
        <v>55</v>
      </c>
      <c r="J142">
        <v>29.9</v>
      </c>
      <c r="K142">
        <v>43.8</v>
      </c>
      <c r="L142">
        <v>0</v>
      </c>
      <c r="M142">
        <v>46.444000000000003</v>
      </c>
      <c r="N142">
        <v>0.68799999999999994</v>
      </c>
      <c r="P142" s="1">
        <f t="shared" si="9"/>
        <v>12.901111111111112</v>
      </c>
      <c r="Q142" s="3">
        <f t="shared" si="10"/>
        <v>-0.7277777777777672</v>
      </c>
      <c r="R142" s="3">
        <f t="shared" si="11"/>
        <v>-0.5088888888888885</v>
      </c>
      <c r="S142" s="3">
        <f t="shared" si="8"/>
        <v>-0.22212121212121197</v>
      </c>
    </row>
    <row r="143" spans="1:19" x14ac:dyDescent="0.25">
      <c r="A143" t="s">
        <v>16</v>
      </c>
      <c r="C143">
        <v>52.048548400000001</v>
      </c>
      <c r="D143">
        <v>-0.57304790000000005</v>
      </c>
      <c r="E143">
        <v>4</v>
      </c>
      <c r="F143">
        <v>4</v>
      </c>
      <c r="G143">
        <v>2022</v>
      </c>
      <c r="H143">
        <v>13</v>
      </c>
      <c r="I143">
        <v>55</v>
      </c>
      <c r="J143">
        <v>30</v>
      </c>
      <c r="K143">
        <v>43.88</v>
      </c>
      <c r="L143">
        <v>0</v>
      </c>
      <c r="M143">
        <v>46.140999999999998</v>
      </c>
      <c r="N143">
        <v>0.65900000000000003</v>
      </c>
      <c r="P143" s="1">
        <f t="shared" si="9"/>
        <v>12.816944444444445</v>
      </c>
      <c r="Q143" s="3">
        <f t="shared" si="10"/>
        <v>-0.84166666666666501</v>
      </c>
      <c r="R143" s="3">
        <f t="shared" si="11"/>
        <v>-0.47305555555555401</v>
      </c>
      <c r="S143" s="3">
        <f t="shared" si="8"/>
        <v>-0.2311363636363635</v>
      </c>
    </row>
    <row r="144" spans="1:19" x14ac:dyDescent="0.25">
      <c r="A144" t="s">
        <v>16</v>
      </c>
      <c r="C144">
        <v>52.048559400000002</v>
      </c>
      <c r="D144">
        <v>-0.57305320000000004</v>
      </c>
      <c r="E144">
        <v>4</v>
      </c>
      <c r="F144">
        <v>4</v>
      </c>
      <c r="G144">
        <v>2022</v>
      </c>
      <c r="H144">
        <v>13</v>
      </c>
      <c r="I144">
        <v>55</v>
      </c>
      <c r="J144">
        <v>30.1</v>
      </c>
      <c r="K144">
        <v>43.92</v>
      </c>
      <c r="L144">
        <v>0</v>
      </c>
      <c r="M144">
        <v>45.886000000000003</v>
      </c>
      <c r="N144">
        <v>0.65900000000000003</v>
      </c>
      <c r="P144" s="1">
        <f t="shared" si="9"/>
        <v>12.746111111111111</v>
      </c>
      <c r="Q144" s="3">
        <f t="shared" si="10"/>
        <v>-0.70833333333334636</v>
      </c>
      <c r="R144" s="3">
        <f t="shared" si="11"/>
        <v>-0.49000000000000021</v>
      </c>
      <c r="S144" s="3">
        <f t="shared" si="8"/>
        <v>-0.22525252525252526</v>
      </c>
    </row>
    <row r="145" spans="1:19" x14ac:dyDescent="0.25">
      <c r="A145" t="s">
        <v>16</v>
      </c>
      <c r="C145">
        <v>52.048570699999999</v>
      </c>
      <c r="D145">
        <v>-0.57305819999999996</v>
      </c>
      <c r="E145">
        <v>4</v>
      </c>
      <c r="F145">
        <v>4</v>
      </c>
      <c r="G145">
        <v>2022</v>
      </c>
      <c r="H145">
        <v>13</v>
      </c>
      <c r="I145">
        <v>55</v>
      </c>
      <c r="J145">
        <v>30.2</v>
      </c>
      <c r="K145">
        <v>43.98</v>
      </c>
      <c r="L145">
        <v>0</v>
      </c>
      <c r="M145">
        <v>45.68</v>
      </c>
      <c r="N145">
        <v>0.60799999999999998</v>
      </c>
      <c r="P145" s="1">
        <f t="shared" si="9"/>
        <v>12.688888888888888</v>
      </c>
      <c r="Q145" s="3">
        <f t="shared" si="10"/>
        <v>-0.57222222222222285</v>
      </c>
      <c r="R145" s="3">
        <f t="shared" si="11"/>
        <v>-0.1977777777777785</v>
      </c>
      <c r="S145" s="3">
        <f t="shared" si="8"/>
        <v>-0.20161616161616164</v>
      </c>
    </row>
    <row r="146" spans="1:19" x14ac:dyDescent="0.25">
      <c r="A146" t="s">
        <v>16</v>
      </c>
      <c r="C146">
        <v>52.048582199999998</v>
      </c>
      <c r="D146">
        <v>-0.57306310000000005</v>
      </c>
      <c r="E146">
        <v>4</v>
      </c>
      <c r="F146">
        <v>4</v>
      </c>
      <c r="G146">
        <v>2022</v>
      </c>
      <c r="H146">
        <v>13</v>
      </c>
      <c r="I146">
        <v>55</v>
      </c>
      <c r="J146">
        <v>30.3</v>
      </c>
      <c r="K146">
        <v>44.06</v>
      </c>
      <c r="L146">
        <v>0</v>
      </c>
      <c r="M146">
        <v>46.048000000000002</v>
      </c>
      <c r="N146">
        <v>0.58699999999999997</v>
      </c>
      <c r="P146" s="1">
        <f t="shared" si="9"/>
        <v>12.79111111111111</v>
      </c>
      <c r="Q146" s="3">
        <f t="shared" si="10"/>
        <v>1.0222222222222221</v>
      </c>
      <c r="R146" s="3">
        <f t="shared" si="11"/>
        <v>-0.25694444444444464</v>
      </c>
      <c r="S146" s="3">
        <f t="shared" si="8"/>
        <v>-0.17727272727272722</v>
      </c>
    </row>
    <row r="147" spans="1:19" x14ac:dyDescent="0.25">
      <c r="A147" t="s">
        <v>16</v>
      </c>
      <c r="C147">
        <v>52.048593400000001</v>
      </c>
      <c r="D147">
        <v>-0.57306820000000003</v>
      </c>
      <c r="E147">
        <v>4</v>
      </c>
      <c r="F147">
        <v>4</v>
      </c>
      <c r="G147">
        <v>2022</v>
      </c>
      <c r="H147">
        <v>13</v>
      </c>
      <c r="I147">
        <v>55</v>
      </c>
      <c r="J147">
        <v>30.4</v>
      </c>
      <c r="K147">
        <v>44.1</v>
      </c>
      <c r="L147">
        <v>0</v>
      </c>
      <c r="M147">
        <v>46.091000000000001</v>
      </c>
      <c r="N147">
        <v>0.57999999999999996</v>
      </c>
      <c r="P147" s="1">
        <f t="shared" si="9"/>
        <v>12.803055555555556</v>
      </c>
      <c r="Q147" s="3">
        <f t="shared" si="10"/>
        <v>0.11944444444445423</v>
      </c>
      <c r="R147" s="3">
        <f t="shared" si="11"/>
        <v>-8.1111111111111356E-2</v>
      </c>
      <c r="S147" s="3">
        <f t="shared" ref="S147:S210" si="12">AVERAGE(R142:R152)</f>
        <v>-0.1356313131313131</v>
      </c>
    </row>
    <row r="148" spans="1:19" x14ac:dyDescent="0.25">
      <c r="A148" t="s">
        <v>16</v>
      </c>
      <c r="C148">
        <v>52.0486042</v>
      </c>
      <c r="D148">
        <v>-0.57307330000000001</v>
      </c>
      <c r="E148">
        <v>4</v>
      </c>
      <c r="F148">
        <v>4</v>
      </c>
      <c r="G148">
        <v>2022</v>
      </c>
      <c r="H148">
        <v>13</v>
      </c>
      <c r="I148">
        <v>55</v>
      </c>
      <c r="J148">
        <v>30.5</v>
      </c>
      <c r="K148">
        <v>44.1</v>
      </c>
      <c r="L148">
        <v>0</v>
      </c>
      <c r="M148">
        <v>45.468000000000004</v>
      </c>
      <c r="N148">
        <v>0.56499999999999995</v>
      </c>
      <c r="P148" s="1">
        <f t="shared" si="9"/>
        <v>12.63</v>
      </c>
      <c r="Q148" s="3">
        <f t="shared" si="10"/>
        <v>-1.7305555555555507</v>
      </c>
      <c r="R148" s="3">
        <f t="shared" si="11"/>
        <v>7.4999999999999289E-2</v>
      </c>
      <c r="S148" s="3">
        <f t="shared" si="12"/>
        <v>-7.4646464646464683E-2</v>
      </c>
    </row>
    <row r="149" spans="1:19" x14ac:dyDescent="0.25">
      <c r="A149" t="s">
        <v>16</v>
      </c>
      <c r="C149">
        <v>52.0486152</v>
      </c>
      <c r="D149">
        <v>-0.57307839999999999</v>
      </c>
      <c r="E149">
        <v>4</v>
      </c>
      <c r="F149">
        <v>4</v>
      </c>
      <c r="G149">
        <v>2022</v>
      </c>
      <c r="H149">
        <v>13</v>
      </c>
      <c r="I149">
        <v>55</v>
      </c>
      <c r="J149">
        <v>30.6</v>
      </c>
      <c r="K149">
        <v>44.12</v>
      </c>
      <c r="L149">
        <v>0</v>
      </c>
      <c r="M149">
        <v>45.328000000000003</v>
      </c>
      <c r="N149">
        <v>0.55100000000000005</v>
      </c>
      <c r="P149" s="1">
        <f t="shared" si="9"/>
        <v>12.591111111111111</v>
      </c>
      <c r="Q149" s="3">
        <f t="shared" si="10"/>
        <v>-0.38888888888889639</v>
      </c>
      <c r="R149" s="3">
        <f t="shared" si="11"/>
        <v>0.15777777777777757</v>
      </c>
      <c r="S149" s="3">
        <f t="shared" si="12"/>
        <v>-1.5277777777777985E-2</v>
      </c>
    </row>
    <row r="150" spans="1:19" x14ac:dyDescent="0.25">
      <c r="A150" t="s">
        <v>16</v>
      </c>
      <c r="C150">
        <v>52.048626200000001</v>
      </c>
      <c r="D150">
        <v>-0.57308340000000002</v>
      </c>
      <c r="E150">
        <v>4</v>
      </c>
      <c r="F150">
        <v>4</v>
      </c>
      <c r="G150">
        <v>2022</v>
      </c>
      <c r="H150">
        <v>13</v>
      </c>
      <c r="I150">
        <v>55</v>
      </c>
      <c r="J150">
        <v>30.7</v>
      </c>
      <c r="K150">
        <v>44.11</v>
      </c>
      <c r="L150">
        <v>0</v>
      </c>
      <c r="M150">
        <v>45.85</v>
      </c>
      <c r="N150">
        <v>0.55100000000000005</v>
      </c>
      <c r="P150" s="1">
        <f t="shared" si="9"/>
        <v>12.736111111111111</v>
      </c>
      <c r="Q150" s="3">
        <f t="shared" si="10"/>
        <v>1.4499999999999957</v>
      </c>
      <c r="R150" s="3">
        <f t="shared" si="11"/>
        <v>0.18222222222222229</v>
      </c>
      <c r="S150" s="3">
        <f t="shared" si="12"/>
        <v>3.4722222222222078E-2</v>
      </c>
    </row>
    <row r="151" spans="1:19" x14ac:dyDescent="0.25">
      <c r="A151" t="s">
        <v>16</v>
      </c>
      <c r="C151">
        <v>52.048637200000002</v>
      </c>
      <c r="D151">
        <v>-0.57308800000000004</v>
      </c>
      <c r="E151">
        <v>4</v>
      </c>
      <c r="F151">
        <v>4</v>
      </c>
      <c r="G151">
        <v>2022</v>
      </c>
      <c r="H151">
        <v>13</v>
      </c>
      <c r="I151">
        <v>55</v>
      </c>
      <c r="J151">
        <v>30.8</v>
      </c>
      <c r="K151">
        <v>44.09</v>
      </c>
      <c r="L151">
        <v>0</v>
      </c>
      <c r="M151">
        <v>45.780999999999999</v>
      </c>
      <c r="N151">
        <v>0.55100000000000005</v>
      </c>
      <c r="P151" s="1">
        <f t="shared" si="9"/>
        <v>12.716944444444444</v>
      </c>
      <c r="Q151" s="3">
        <f t="shared" si="10"/>
        <v>-0.19166666666666998</v>
      </c>
      <c r="R151" s="3">
        <f t="shared" si="11"/>
        <v>-1.7222222222221362E-2</v>
      </c>
      <c r="S151" s="3">
        <f t="shared" si="12"/>
        <v>7.2525252525252562E-2</v>
      </c>
    </row>
    <row r="152" spans="1:19" x14ac:dyDescent="0.25">
      <c r="A152" t="s">
        <v>16</v>
      </c>
      <c r="C152">
        <v>52.048648300000004</v>
      </c>
      <c r="D152">
        <v>-0.57309270000000001</v>
      </c>
      <c r="E152">
        <v>4</v>
      </c>
      <c r="F152">
        <v>4</v>
      </c>
      <c r="G152">
        <v>2022</v>
      </c>
      <c r="H152">
        <v>13</v>
      </c>
      <c r="I152">
        <v>55</v>
      </c>
      <c r="J152">
        <v>30.9</v>
      </c>
      <c r="K152">
        <v>44.08</v>
      </c>
      <c r="L152">
        <v>0</v>
      </c>
      <c r="M152">
        <v>46.152000000000001</v>
      </c>
      <c r="N152">
        <v>0.56899999999999995</v>
      </c>
      <c r="P152" s="1">
        <f t="shared" si="9"/>
        <v>12.82</v>
      </c>
      <c r="Q152" s="3">
        <f t="shared" si="10"/>
        <v>1.0305555555555657</v>
      </c>
      <c r="R152" s="3">
        <f t="shared" si="11"/>
        <v>0.11805555555555536</v>
      </c>
      <c r="S152" s="3">
        <f t="shared" si="12"/>
        <v>0.11060606060606061</v>
      </c>
    </row>
    <row r="153" spans="1:19" x14ac:dyDescent="0.25">
      <c r="A153" t="s">
        <v>16</v>
      </c>
      <c r="C153">
        <v>52.048659399999998</v>
      </c>
      <c r="D153">
        <v>-0.57309750000000004</v>
      </c>
      <c r="E153">
        <v>4</v>
      </c>
      <c r="F153">
        <v>4</v>
      </c>
      <c r="G153">
        <v>2022</v>
      </c>
      <c r="H153">
        <v>13</v>
      </c>
      <c r="I153">
        <v>55</v>
      </c>
      <c r="J153">
        <v>31</v>
      </c>
      <c r="K153">
        <v>44.07</v>
      </c>
      <c r="L153">
        <v>0</v>
      </c>
      <c r="M153">
        <v>46.411000000000001</v>
      </c>
      <c r="N153">
        <v>0.57199999999999995</v>
      </c>
      <c r="P153" s="1">
        <f t="shared" si="9"/>
        <v>12.891944444444444</v>
      </c>
      <c r="Q153" s="3">
        <f t="shared" si="10"/>
        <v>0.71944444444444144</v>
      </c>
      <c r="R153" s="3">
        <f t="shared" si="11"/>
        <v>0.161944444444444</v>
      </c>
      <c r="S153" s="3">
        <f t="shared" si="12"/>
        <v>0.12689393939393945</v>
      </c>
    </row>
    <row r="154" spans="1:19" x14ac:dyDescent="0.25">
      <c r="A154" t="s">
        <v>16</v>
      </c>
      <c r="C154">
        <v>52.0486705</v>
      </c>
      <c r="D154">
        <v>-0.57310220000000001</v>
      </c>
      <c r="E154">
        <v>4</v>
      </c>
      <c r="F154">
        <v>4</v>
      </c>
      <c r="G154">
        <v>2022</v>
      </c>
      <c r="H154">
        <v>13</v>
      </c>
      <c r="I154">
        <v>55</v>
      </c>
      <c r="J154">
        <v>31.1</v>
      </c>
      <c r="K154">
        <v>44.03</v>
      </c>
      <c r="L154">
        <v>0</v>
      </c>
      <c r="M154">
        <v>46.454000000000001</v>
      </c>
      <c r="N154">
        <v>0.56499999999999995</v>
      </c>
      <c r="P154" s="1">
        <f t="shared" si="9"/>
        <v>12.903888888888888</v>
      </c>
      <c r="Q154" s="3">
        <f t="shared" si="10"/>
        <v>0.11944444444443647</v>
      </c>
      <c r="R154" s="3">
        <f t="shared" si="11"/>
        <v>0.17999999999999972</v>
      </c>
      <c r="S154" s="3">
        <f t="shared" si="12"/>
        <v>0.13909090909090935</v>
      </c>
    </row>
    <row r="155" spans="1:19" x14ac:dyDescent="0.25">
      <c r="A155" t="s">
        <v>16</v>
      </c>
      <c r="C155">
        <v>52.0486814</v>
      </c>
      <c r="D155">
        <v>-0.57310729999999999</v>
      </c>
      <c r="E155">
        <v>4</v>
      </c>
      <c r="F155">
        <v>4</v>
      </c>
      <c r="G155">
        <v>2022</v>
      </c>
      <c r="H155">
        <v>13</v>
      </c>
      <c r="I155">
        <v>55</v>
      </c>
      <c r="J155">
        <v>31.2</v>
      </c>
      <c r="K155">
        <v>43.98</v>
      </c>
      <c r="L155">
        <v>0</v>
      </c>
      <c r="M155">
        <v>46.335999999999999</v>
      </c>
      <c r="N155">
        <v>0.56499999999999995</v>
      </c>
      <c r="P155" s="1">
        <f t="shared" si="9"/>
        <v>12.871111111111111</v>
      </c>
      <c r="Q155" s="3">
        <f t="shared" si="10"/>
        <v>-0.32777777777777573</v>
      </c>
      <c r="R155" s="3">
        <f t="shared" si="11"/>
        <v>6.0000000000000497E-2</v>
      </c>
      <c r="S155" s="3">
        <f t="shared" si="12"/>
        <v>0.13909090909090935</v>
      </c>
    </row>
    <row r="156" spans="1:19" x14ac:dyDescent="0.25">
      <c r="A156" t="s">
        <v>16</v>
      </c>
      <c r="C156">
        <v>52.048692199999998</v>
      </c>
      <c r="D156">
        <v>-0.57311239999999997</v>
      </c>
      <c r="E156">
        <v>4</v>
      </c>
      <c r="F156">
        <v>4</v>
      </c>
      <c r="G156">
        <v>2022</v>
      </c>
      <c r="H156">
        <v>13</v>
      </c>
      <c r="I156">
        <v>55</v>
      </c>
      <c r="J156">
        <v>31.3</v>
      </c>
      <c r="K156">
        <v>43.92</v>
      </c>
      <c r="L156">
        <v>0</v>
      </c>
      <c r="M156">
        <v>45.985999999999997</v>
      </c>
      <c r="N156">
        <v>0.54700000000000004</v>
      </c>
      <c r="P156" s="1">
        <f t="shared" si="9"/>
        <v>12.773888888888889</v>
      </c>
      <c r="Q156" s="3">
        <f t="shared" si="10"/>
        <v>-0.97222222222221433</v>
      </c>
      <c r="R156" s="3">
        <f t="shared" si="11"/>
        <v>0.21805555555555678</v>
      </c>
      <c r="S156" s="3">
        <f t="shared" si="12"/>
        <v>0.15325757575757606</v>
      </c>
    </row>
    <row r="157" spans="1:19" x14ac:dyDescent="0.25">
      <c r="A157" t="s">
        <v>16</v>
      </c>
      <c r="C157">
        <v>52.0487033</v>
      </c>
      <c r="D157">
        <v>-0.5731176</v>
      </c>
      <c r="E157">
        <v>4</v>
      </c>
      <c r="F157">
        <v>4</v>
      </c>
      <c r="G157">
        <v>2022</v>
      </c>
      <c r="H157">
        <v>13</v>
      </c>
      <c r="I157">
        <v>55</v>
      </c>
      <c r="J157">
        <v>31.4</v>
      </c>
      <c r="K157">
        <v>43.89</v>
      </c>
      <c r="L157">
        <v>0</v>
      </c>
      <c r="M157">
        <v>46.515999999999998</v>
      </c>
      <c r="N157">
        <v>0.56499999999999995</v>
      </c>
      <c r="P157" s="1">
        <f t="shared" si="9"/>
        <v>12.921111111111111</v>
      </c>
      <c r="Q157" s="3">
        <f t="shared" si="10"/>
        <v>1.4722222222222214</v>
      </c>
      <c r="R157" s="3">
        <f t="shared" si="11"/>
        <v>0.161944444444444</v>
      </c>
      <c r="S157" s="3">
        <f t="shared" si="12"/>
        <v>0.17881313131313156</v>
      </c>
    </row>
    <row r="158" spans="1:19" x14ac:dyDescent="0.25">
      <c r="A158" t="s">
        <v>16</v>
      </c>
      <c r="C158">
        <v>52.048714199999999</v>
      </c>
      <c r="D158">
        <v>-0.57312300000000005</v>
      </c>
      <c r="E158">
        <v>4</v>
      </c>
      <c r="F158">
        <v>4</v>
      </c>
      <c r="G158">
        <v>2022</v>
      </c>
      <c r="H158">
        <v>13</v>
      </c>
      <c r="I158">
        <v>55</v>
      </c>
      <c r="J158">
        <v>31.5</v>
      </c>
      <c r="K158">
        <v>43.86</v>
      </c>
      <c r="L158">
        <v>0</v>
      </c>
      <c r="M158">
        <v>46.051000000000002</v>
      </c>
      <c r="N158">
        <v>0.57999999999999996</v>
      </c>
      <c r="P158" s="1">
        <f t="shared" si="9"/>
        <v>12.791944444444445</v>
      </c>
      <c r="Q158" s="3">
        <f t="shared" si="10"/>
        <v>-1.2916666666666643</v>
      </c>
      <c r="R158" s="3">
        <f t="shared" si="11"/>
        <v>9.8055555555555785E-2</v>
      </c>
      <c r="S158" s="3">
        <f t="shared" si="12"/>
        <v>0.18881313131313152</v>
      </c>
    </row>
    <row r="159" spans="1:19" x14ac:dyDescent="0.25">
      <c r="A159" t="s">
        <v>16</v>
      </c>
      <c r="C159">
        <v>52.048725099999999</v>
      </c>
      <c r="D159">
        <v>-0.57312890000000005</v>
      </c>
      <c r="E159">
        <v>4</v>
      </c>
      <c r="F159">
        <v>4</v>
      </c>
      <c r="G159">
        <v>2022</v>
      </c>
      <c r="H159">
        <v>13</v>
      </c>
      <c r="I159">
        <v>55</v>
      </c>
      <c r="J159">
        <v>31.6</v>
      </c>
      <c r="K159">
        <v>43.89</v>
      </c>
      <c r="L159">
        <v>0</v>
      </c>
      <c r="M159">
        <v>45.975999999999999</v>
      </c>
      <c r="N159">
        <v>0.59</v>
      </c>
      <c r="P159" s="1">
        <f t="shared" si="9"/>
        <v>12.771111111111111</v>
      </c>
      <c r="Q159" s="3">
        <f t="shared" si="10"/>
        <v>-0.20833333333333925</v>
      </c>
      <c r="R159" s="3">
        <f t="shared" si="11"/>
        <v>0.20916666666666828</v>
      </c>
      <c r="S159" s="3">
        <f t="shared" si="12"/>
        <v>0.19318181818181851</v>
      </c>
    </row>
    <row r="160" spans="1:19" x14ac:dyDescent="0.25">
      <c r="A160" t="s">
        <v>16</v>
      </c>
      <c r="C160">
        <v>52.0487362</v>
      </c>
      <c r="D160">
        <v>-0.57313449999999999</v>
      </c>
      <c r="E160">
        <v>4</v>
      </c>
      <c r="F160">
        <v>4</v>
      </c>
      <c r="G160">
        <v>2022</v>
      </c>
      <c r="H160">
        <v>13</v>
      </c>
      <c r="I160">
        <v>55</v>
      </c>
      <c r="J160">
        <v>31.7</v>
      </c>
      <c r="K160">
        <v>43.89</v>
      </c>
      <c r="L160">
        <v>0</v>
      </c>
      <c r="M160">
        <v>46.066000000000003</v>
      </c>
      <c r="N160">
        <v>0.59</v>
      </c>
      <c r="P160" s="1">
        <f t="shared" si="9"/>
        <v>12.796111111111111</v>
      </c>
      <c r="Q160" s="3">
        <f t="shared" si="10"/>
        <v>0.25000000000000355</v>
      </c>
      <c r="R160" s="3">
        <f t="shared" si="11"/>
        <v>0.15777777777777757</v>
      </c>
      <c r="S160" s="3">
        <f t="shared" si="12"/>
        <v>0.19143939393939424</v>
      </c>
    </row>
    <row r="161" spans="1:19" x14ac:dyDescent="0.25">
      <c r="A161" t="s">
        <v>16</v>
      </c>
      <c r="C161">
        <v>52.048747300000002</v>
      </c>
      <c r="D161">
        <v>-0.57314019999999999</v>
      </c>
      <c r="E161">
        <v>4</v>
      </c>
      <c r="F161">
        <v>4</v>
      </c>
      <c r="G161">
        <v>2022</v>
      </c>
      <c r="H161">
        <v>13</v>
      </c>
      <c r="I161">
        <v>55</v>
      </c>
      <c r="J161">
        <v>31.8</v>
      </c>
      <c r="K161">
        <v>43.89</v>
      </c>
      <c r="L161">
        <v>0</v>
      </c>
      <c r="M161">
        <v>46.566000000000003</v>
      </c>
      <c r="N161">
        <v>0.60499999999999998</v>
      </c>
      <c r="P161" s="1">
        <f t="shared" si="9"/>
        <v>12.935</v>
      </c>
      <c r="Q161" s="3">
        <f t="shared" si="10"/>
        <v>1.3888888888888928</v>
      </c>
      <c r="R161" s="3">
        <f t="shared" si="11"/>
        <v>0.338055555555556</v>
      </c>
      <c r="S161" s="3">
        <f t="shared" si="12"/>
        <v>0.19108585858585883</v>
      </c>
    </row>
    <row r="162" spans="1:19" x14ac:dyDescent="0.25">
      <c r="A162" t="s">
        <v>16</v>
      </c>
      <c r="C162">
        <v>52.0487587</v>
      </c>
      <c r="D162">
        <v>-0.57314589999999999</v>
      </c>
      <c r="E162">
        <v>4</v>
      </c>
      <c r="F162">
        <v>4</v>
      </c>
      <c r="G162">
        <v>2022</v>
      </c>
      <c r="H162">
        <v>13</v>
      </c>
      <c r="I162">
        <v>55</v>
      </c>
      <c r="J162">
        <v>31.9</v>
      </c>
      <c r="K162">
        <v>43.94</v>
      </c>
      <c r="L162">
        <v>0</v>
      </c>
      <c r="M162">
        <v>46.734999999999999</v>
      </c>
      <c r="N162">
        <v>0.58699999999999997</v>
      </c>
      <c r="P162" s="1">
        <f t="shared" si="9"/>
        <v>12.981944444444444</v>
      </c>
      <c r="Q162" s="3">
        <f t="shared" si="10"/>
        <v>0.46944444444443789</v>
      </c>
      <c r="R162" s="3">
        <f t="shared" si="11"/>
        <v>0.26388888888888928</v>
      </c>
      <c r="S162" s="3">
        <f t="shared" si="12"/>
        <v>0.17118686868686889</v>
      </c>
    </row>
    <row r="163" spans="1:19" x14ac:dyDescent="0.25">
      <c r="A163" t="s">
        <v>16</v>
      </c>
      <c r="C163">
        <v>52.048769900000003</v>
      </c>
      <c r="D163">
        <v>-0.57315210000000005</v>
      </c>
      <c r="E163">
        <v>4</v>
      </c>
      <c r="F163">
        <v>4</v>
      </c>
      <c r="G163">
        <v>2022</v>
      </c>
      <c r="H163">
        <v>13</v>
      </c>
      <c r="I163">
        <v>55</v>
      </c>
      <c r="J163">
        <v>32</v>
      </c>
      <c r="K163">
        <v>43.99</v>
      </c>
      <c r="L163">
        <v>0</v>
      </c>
      <c r="M163">
        <v>46.764000000000003</v>
      </c>
      <c r="N163">
        <v>0.57199999999999995</v>
      </c>
      <c r="P163" s="1">
        <f t="shared" si="9"/>
        <v>12.99</v>
      </c>
      <c r="Q163" s="3">
        <f t="shared" si="10"/>
        <v>8.0555555555559266E-2</v>
      </c>
      <c r="R163" s="3">
        <f t="shared" si="11"/>
        <v>0.22805555555555479</v>
      </c>
      <c r="S163" s="3">
        <f t="shared" si="12"/>
        <v>0.14101010101010125</v>
      </c>
    </row>
    <row r="164" spans="1:19" x14ac:dyDescent="0.25">
      <c r="A164" t="s">
        <v>16</v>
      </c>
      <c r="C164">
        <v>52.048781200000001</v>
      </c>
      <c r="D164">
        <v>-0.57315780000000005</v>
      </c>
      <c r="E164">
        <v>4</v>
      </c>
      <c r="F164">
        <v>4</v>
      </c>
      <c r="G164">
        <v>2022</v>
      </c>
      <c r="H164">
        <v>13</v>
      </c>
      <c r="I164">
        <v>55</v>
      </c>
      <c r="J164">
        <v>32.1</v>
      </c>
      <c r="K164">
        <v>43.97</v>
      </c>
      <c r="L164">
        <v>0</v>
      </c>
      <c r="M164">
        <v>47.207000000000001</v>
      </c>
      <c r="N164">
        <v>0.56200000000000006</v>
      </c>
      <c r="P164" s="1">
        <f t="shared" si="9"/>
        <v>13.113055555555556</v>
      </c>
      <c r="Q164" s="3">
        <f t="shared" si="10"/>
        <v>1.2305555555555614</v>
      </c>
      <c r="R164" s="3">
        <f t="shared" si="11"/>
        <v>0.21000000000000085</v>
      </c>
      <c r="S164" s="3">
        <f t="shared" si="12"/>
        <v>0.10737373737373752</v>
      </c>
    </row>
    <row r="165" spans="1:19" x14ac:dyDescent="0.25">
      <c r="A165" t="s">
        <v>16</v>
      </c>
      <c r="C165">
        <v>52.048792200000001</v>
      </c>
      <c r="D165">
        <v>-0.57316370000000005</v>
      </c>
      <c r="E165">
        <v>4</v>
      </c>
      <c r="F165">
        <v>4</v>
      </c>
      <c r="G165">
        <v>2022</v>
      </c>
      <c r="H165">
        <v>13</v>
      </c>
      <c r="I165">
        <v>55</v>
      </c>
      <c r="J165">
        <v>32.200000000000003</v>
      </c>
      <c r="K165">
        <v>43.94</v>
      </c>
      <c r="L165">
        <v>0</v>
      </c>
      <c r="M165">
        <v>46.904000000000003</v>
      </c>
      <c r="N165">
        <v>0.56499999999999995</v>
      </c>
      <c r="P165" s="1">
        <f t="shared" si="9"/>
        <v>13.028888888888888</v>
      </c>
      <c r="Q165" s="3">
        <f t="shared" si="10"/>
        <v>-0.84166666666668277</v>
      </c>
      <c r="R165" s="3">
        <f t="shared" si="11"/>
        <v>0.16083333333333272</v>
      </c>
      <c r="S165" s="3">
        <f t="shared" si="12"/>
        <v>7.0631313131313267E-2</v>
      </c>
    </row>
    <row r="166" spans="1:19" x14ac:dyDescent="0.25">
      <c r="A166" t="s">
        <v>16</v>
      </c>
      <c r="C166">
        <v>52.048803399999997</v>
      </c>
      <c r="D166">
        <v>-0.5731697</v>
      </c>
      <c r="E166">
        <v>4</v>
      </c>
      <c r="F166">
        <v>4</v>
      </c>
      <c r="G166">
        <v>2022</v>
      </c>
      <c r="H166">
        <v>13</v>
      </c>
      <c r="I166">
        <v>55</v>
      </c>
      <c r="J166">
        <v>32.299999999999997</v>
      </c>
      <c r="K166">
        <v>43.92</v>
      </c>
      <c r="L166">
        <v>0</v>
      </c>
      <c r="M166">
        <v>47.203000000000003</v>
      </c>
      <c r="N166">
        <v>0.56499999999999995</v>
      </c>
      <c r="P166" s="1">
        <f t="shared" si="9"/>
        <v>13.111944444444445</v>
      </c>
      <c r="Q166" s="3">
        <f t="shared" si="10"/>
        <v>0.83055555555556992</v>
      </c>
      <c r="R166" s="3">
        <f t="shared" si="11"/>
        <v>5.6111111111111001E-2</v>
      </c>
      <c r="S166" s="3">
        <f t="shared" si="12"/>
        <v>4.964646464646482E-2</v>
      </c>
    </row>
    <row r="167" spans="1:19" x14ac:dyDescent="0.25">
      <c r="A167" t="s">
        <v>16</v>
      </c>
      <c r="C167">
        <v>52.048814499999999</v>
      </c>
      <c r="D167">
        <v>-0.57317589999999996</v>
      </c>
      <c r="E167">
        <v>4</v>
      </c>
      <c r="F167">
        <v>4</v>
      </c>
      <c r="G167">
        <v>2022</v>
      </c>
      <c r="H167">
        <v>13</v>
      </c>
      <c r="I167">
        <v>55</v>
      </c>
      <c r="J167">
        <v>32.4</v>
      </c>
      <c r="K167">
        <v>43.89</v>
      </c>
      <c r="L167">
        <v>0</v>
      </c>
      <c r="M167">
        <v>47.466000000000001</v>
      </c>
      <c r="N167">
        <v>0.57599999999999996</v>
      </c>
      <c r="P167" s="1">
        <f t="shared" si="9"/>
        <v>13.185</v>
      </c>
      <c r="Q167" s="3">
        <f t="shared" si="10"/>
        <v>0.73055555555555429</v>
      </c>
      <c r="R167" s="3">
        <f t="shared" si="11"/>
        <v>-8.3333333333257542E-4</v>
      </c>
      <c r="S167" s="3">
        <f t="shared" si="12"/>
        <v>1.3459595959596045E-2</v>
      </c>
    </row>
    <row r="168" spans="1:19" x14ac:dyDescent="0.25">
      <c r="A168" t="s">
        <v>16</v>
      </c>
      <c r="C168">
        <v>52.048825399999998</v>
      </c>
      <c r="D168">
        <v>-0.57318250000000004</v>
      </c>
      <c r="E168">
        <v>4</v>
      </c>
      <c r="F168">
        <v>4</v>
      </c>
      <c r="G168">
        <v>2022</v>
      </c>
      <c r="H168">
        <v>13</v>
      </c>
      <c r="I168">
        <v>55</v>
      </c>
      <c r="J168">
        <v>32.5</v>
      </c>
      <c r="K168">
        <v>43.9</v>
      </c>
      <c r="L168">
        <v>0</v>
      </c>
      <c r="M168">
        <v>46.872</v>
      </c>
      <c r="N168">
        <v>0.60799999999999998</v>
      </c>
      <c r="P168" s="1">
        <f t="shared" si="9"/>
        <v>13.02</v>
      </c>
      <c r="Q168" s="3">
        <f t="shared" si="10"/>
        <v>-1.6500000000000092</v>
      </c>
      <c r="R168" s="3">
        <f t="shared" si="11"/>
        <v>-0.16999999999999993</v>
      </c>
      <c r="S168" s="3">
        <f t="shared" si="12"/>
        <v>-3.5353535353524734E-4</v>
      </c>
    </row>
    <row r="169" spans="1:19" x14ac:dyDescent="0.25">
      <c r="A169" t="s">
        <v>16</v>
      </c>
      <c r="C169">
        <v>52.048836299999998</v>
      </c>
      <c r="D169">
        <v>-0.5731889</v>
      </c>
      <c r="E169">
        <v>4</v>
      </c>
      <c r="F169">
        <v>4</v>
      </c>
      <c r="G169">
        <v>2022</v>
      </c>
      <c r="H169">
        <v>13</v>
      </c>
      <c r="I169">
        <v>55</v>
      </c>
      <c r="J169">
        <v>32.6</v>
      </c>
      <c r="K169">
        <v>43.89</v>
      </c>
      <c r="L169">
        <v>0</v>
      </c>
      <c r="M169">
        <v>46.731999999999999</v>
      </c>
      <c r="N169">
        <v>0.64800000000000002</v>
      </c>
      <c r="P169" s="1">
        <f t="shared" si="9"/>
        <v>12.981111111111112</v>
      </c>
      <c r="Q169" s="3">
        <f t="shared" si="10"/>
        <v>-0.38888888888887863</v>
      </c>
      <c r="R169" s="3">
        <f t="shared" si="11"/>
        <v>-0.27194444444444521</v>
      </c>
      <c r="S169" s="3">
        <f t="shared" si="12"/>
        <v>-2.8914141414141333E-2</v>
      </c>
    </row>
    <row r="170" spans="1:19" x14ac:dyDescent="0.25">
      <c r="A170" t="s">
        <v>16</v>
      </c>
      <c r="C170">
        <v>52.048847199999997</v>
      </c>
      <c r="D170">
        <v>-0.57319529999999996</v>
      </c>
      <c r="E170">
        <v>4</v>
      </c>
      <c r="F170">
        <v>4</v>
      </c>
      <c r="G170">
        <v>2022</v>
      </c>
      <c r="H170">
        <v>13</v>
      </c>
      <c r="I170">
        <v>55</v>
      </c>
      <c r="J170">
        <v>32.700000000000003</v>
      </c>
      <c r="K170">
        <v>43.88</v>
      </c>
      <c r="L170">
        <v>0</v>
      </c>
      <c r="M170">
        <v>46.645000000000003</v>
      </c>
      <c r="N170">
        <v>0.67700000000000005</v>
      </c>
      <c r="P170" s="1">
        <f t="shared" si="9"/>
        <v>12.956944444444444</v>
      </c>
      <c r="Q170" s="3">
        <f t="shared" si="10"/>
        <v>-0.2416666666666778</v>
      </c>
      <c r="R170" s="3">
        <f t="shared" si="11"/>
        <v>-0.19499999999999851</v>
      </c>
      <c r="S170" s="3">
        <f t="shared" si="12"/>
        <v>-5.1085858585858575E-2</v>
      </c>
    </row>
    <row r="171" spans="1:19" x14ac:dyDescent="0.25">
      <c r="A171" t="s">
        <v>16</v>
      </c>
      <c r="C171">
        <v>52.048858199999998</v>
      </c>
      <c r="D171">
        <v>-0.57320179999999998</v>
      </c>
      <c r="E171">
        <v>4</v>
      </c>
      <c r="F171">
        <v>4</v>
      </c>
      <c r="G171">
        <v>2022</v>
      </c>
      <c r="H171">
        <v>13</v>
      </c>
      <c r="I171">
        <v>55</v>
      </c>
      <c r="J171">
        <v>32.799999999999997</v>
      </c>
      <c r="K171">
        <v>43.88</v>
      </c>
      <c r="L171">
        <v>0</v>
      </c>
      <c r="M171">
        <v>46.768000000000001</v>
      </c>
      <c r="N171">
        <v>0.68</v>
      </c>
      <c r="P171" s="1">
        <f t="shared" si="9"/>
        <v>12.991111111111111</v>
      </c>
      <c r="Q171" s="3">
        <f t="shared" si="10"/>
        <v>0.34166666666667567</v>
      </c>
      <c r="R171" s="3">
        <f t="shared" si="11"/>
        <v>-7.3055555555555429E-2</v>
      </c>
      <c r="S171" s="3">
        <f t="shared" si="12"/>
        <v>-7.5808080808080713E-2</v>
      </c>
    </row>
    <row r="172" spans="1:19" x14ac:dyDescent="0.25">
      <c r="A172" t="s">
        <v>16</v>
      </c>
      <c r="C172">
        <v>52.048869199999999</v>
      </c>
      <c r="D172">
        <v>-0.57320850000000001</v>
      </c>
      <c r="E172">
        <v>4</v>
      </c>
      <c r="F172">
        <v>4</v>
      </c>
      <c r="G172">
        <v>2022</v>
      </c>
      <c r="H172">
        <v>13</v>
      </c>
      <c r="I172">
        <v>55</v>
      </c>
      <c r="J172">
        <v>32.9</v>
      </c>
      <c r="K172">
        <v>43.94</v>
      </c>
      <c r="L172">
        <v>0</v>
      </c>
      <c r="M172">
        <v>46.731999999999999</v>
      </c>
      <c r="N172">
        <v>0.60099999999999998</v>
      </c>
      <c r="P172" s="1">
        <f t="shared" si="9"/>
        <v>12.981111111111112</v>
      </c>
      <c r="Q172" s="3">
        <f t="shared" si="10"/>
        <v>-9.9999999999997868E-2</v>
      </c>
      <c r="R172" s="3">
        <f t="shared" si="11"/>
        <v>-6.0000000000000497E-2</v>
      </c>
      <c r="S172" s="3">
        <f t="shared" si="12"/>
        <v>-8.9191919191919086E-2</v>
      </c>
    </row>
    <row r="173" spans="1:19" x14ac:dyDescent="0.25">
      <c r="A173" t="s">
        <v>16</v>
      </c>
      <c r="C173">
        <v>52.048879999999997</v>
      </c>
      <c r="D173">
        <v>-0.57321529999999998</v>
      </c>
      <c r="E173">
        <v>4</v>
      </c>
      <c r="F173">
        <v>4</v>
      </c>
      <c r="G173">
        <v>2022</v>
      </c>
      <c r="H173">
        <v>13</v>
      </c>
      <c r="I173">
        <v>55</v>
      </c>
      <c r="J173">
        <v>33</v>
      </c>
      <c r="K173">
        <v>43.97</v>
      </c>
      <c r="L173">
        <v>0</v>
      </c>
      <c r="M173">
        <v>46.152000000000001</v>
      </c>
      <c r="N173">
        <v>0.58699999999999997</v>
      </c>
      <c r="P173" s="1">
        <f t="shared" si="9"/>
        <v>12.82</v>
      </c>
      <c r="Q173" s="3">
        <f t="shared" si="10"/>
        <v>-1.6111111111111143</v>
      </c>
      <c r="R173" s="3">
        <f t="shared" si="11"/>
        <v>0.11194444444444507</v>
      </c>
      <c r="S173" s="3">
        <f t="shared" si="12"/>
        <v>-7.265151515151512E-2</v>
      </c>
    </row>
    <row r="174" spans="1:19" x14ac:dyDescent="0.25">
      <c r="A174" t="s">
        <v>16</v>
      </c>
      <c r="C174">
        <v>52.048890999999998</v>
      </c>
      <c r="D174">
        <v>-0.57322229999999996</v>
      </c>
      <c r="E174">
        <v>4</v>
      </c>
      <c r="F174">
        <v>4</v>
      </c>
      <c r="G174">
        <v>2022</v>
      </c>
      <c r="H174">
        <v>13</v>
      </c>
      <c r="I174">
        <v>55</v>
      </c>
      <c r="J174">
        <v>33.1</v>
      </c>
      <c r="K174">
        <v>44.05</v>
      </c>
      <c r="L174">
        <v>0</v>
      </c>
      <c r="M174">
        <v>46.228000000000002</v>
      </c>
      <c r="N174">
        <v>0.57999999999999996</v>
      </c>
      <c r="P174" s="1">
        <f t="shared" si="9"/>
        <v>12.841111111111111</v>
      </c>
      <c r="Q174" s="3">
        <f t="shared" si="10"/>
        <v>0.21111111111110858</v>
      </c>
      <c r="R174" s="3">
        <f t="shared" si="11"/>
        <v>-8.6111111111112137E-2</v>
      </c>
      <c r="S174" s="3">
        <f t="shared" si="12"/>
        <v>-4.229797979797971E-2</v>
      </c>
    </row>
    <row r="175" spans="1:19" x14ac:dyDescent="0.25">
      <c r="A175" t="s">
        <v>16</v>
      </c>
      <c r="C175">
        <v>52.048901899999997</v>
      </c>
      <c r="D175">
        <v>-0.57322890000000004</v>
      </c>
      <c r="E175">
        <v>4</v>
      </c>
      <c r="F175">
        <v>4</v>
      </c>
      <c r="G175">
        <v>2022</v>
      </c>
      <c r="H175">
        <v>13</v>
      </c>
      <c r="I175">
        <v>55</v>
      </c>
      <c r="J175">
        <v>33.200000000000003</v>
      </c>
      <c r="K175">
        <v>44.1</v>
      </c>
      <c r="L175">
        <v>0</v>
      </c>
      <c r="M175">
        <v>46.201999999999998</v>
      </c>
      <c r="N175">
        <v>0.56499999999999995</v>
      </c>
      <c r="P175" s="1">
        <f t="shared" si="9"/>
        <v>12.83388888888889</v>
      </c>
      <c r="Q175" s="3">
        <f t="shared" si="10"/>
        <v>-7.2222222222215748E-2</v>
      </c>
      <c r="R175" s="3">
        <f t="shared" si="11"/>
        <v>-3.3888888888888857E-2</v>
      </c>
      <c r="S175" s="3">
        <f t="shared" si="12"/>
        <v>1.0883838383838551E-2</v>
      </c>
    </row>
    <row r="176" spans="1:19" x14ac:dyDescent="0.25">
      <c r="A176" t="s">
        <v>16</v>
      </c>
      <c r="C176">
        <v>52.048913200000001</v>
      </c>
      <c r="D176">
        <v>-0.5732353</v>
      </c>
      <c r="E176">
        <v>4</v>
      </c>
      <c r="F176">
        <v>4</v>
      </c>
      <c r="G176">
        <v>2022</v>
      </c>
      <c r="H176">
        <v>13</v>
      </c>
      <c r="I176">
        <v>55</v>
      </c>
      <c r="J176">
        <v>33.299999999999997</v>
      </c>
      <c r="K176">
        <v>44.15</v>
      </c>
      <c r="L176">
        <v>0</v>
      </c>
      <c r="M176">
        <v>46.94</v>
      </c>
      <c r="N176">
        <v>0.55800000000000005</v>
      </c>
      <c r="P176" s="1">
        <f t="shared" si="9"/>
        <v>13.03888888888889</v>
      </c>
      <c r="Q176" s="3">
        <f t="shared" si="10"/>
        <v>2.0500000000000007</v>
      </c>
      <c r="R176" s="3">
        <f t="shared" si="11"/>
        <v>-0.11111111111111072</v>
      </c>
      <c r="S176" s="3">
        <f t="shared" si="12"/>
        <v>3.9444444444444476E-2</v>
      </c>
    </row>
    <row r="177" spans="1:19" x14ac:dyDescent="0.25">
      <c r="A177" t="s">
        <v>16</v>
      </c>
      <c r="C177">
        <v>52.048924499999998</v>
      </c>
      <c r="D177">
        <v>-0.57324140000000001</v>
      </c>
      <c r="E177">
        <v>4</v>
      </c>
      <c r="F177">
        <v>4</v>
      </c>
      <c r="G177">
        <v>2022</v>
      </c>
      <c r="H177">
        <v>13</v>
      </c>
      <c r="I177">
        <v>55</v>
      </c>
      <c r="J177">
        <v>33.4</v>
      </c>
      <c r="K177">
        <v>44.17</v>
      </c>
      <c r="L177">
        <v>0</v>
      </c>
      <c r="M177">
        <v>47.25</v>
      </c>
      <c r="N177">
        <v>0.55800000000000005</v>
      </c>
      <c r="P177" s="1">
        <f t="shared" si="9"/>
        <v>13.125</v>
      </c>
      <c r="Q177" s="3">
        <f t="shared" si="10"/>
        <v>0.86111111111110361</v>
      </c>
      <c r="R177" s="3">
        <f t="shared" si="11"/>
        <v>-9.1111111111111143E-2</v>
      </c>
      <c r="S177" s="3">
        <f t="shared" si="12"/>
        <v>6.3636363636363727E-2</v>
      </c>
    </row>
    <row r="178" spans="1:19" x14ac:dyDescent="0.25">
      <c r="A178" t="s">
        <v>16</v>
      </c>
      <c r="C178">
        <v>52.048935700000001</v>
      </c>
      <c r="D178">
        <v>-0.57324770000000003</v>
      </c>
      <c r="E178">
        <v>4</v>
      </c>
      <c r="F178">
        <v>4</v>
      </c>
      <c r="G178">
        <v>2022</v>
      </c>
      <c r="H178">
        <v>13</v>
      </c>
      <c r="I178">
        <v>55</v>
      </c>
      <c r="J178">
        <v>33.5</v>
      </c>
      <c r="K178">
        <v>44.17</v>
      </c>
      <c r="L178">
        <v>0</v>
      </c>
      <c r="M178">
        <v>47.274999999999999</v>
      </c>
      <c r="N178">
        <v>0.54</v>
      </c>
      <c r="P178" s="1">
        <f t="shared" si="9"/>
        <v>13.131944444444445</v>
      </c>
      <c r="Q178" s="3">
        <f t="shared" si="10"/>
        <v>6.9444444444446418E-2</v>
      </c>
      <c r="R178" s="3">
        <f t="shared" si="11"/>
        <v>0.181111111111111</v>
      </c>
      <c r="S178" s="3">
        <f t="shared" si="12"/>
        <v>8.8914141414141501E-2</v>
      </c>
    </row>
    <row r="179" spans="1:19" x14ac:dyDescent="0.25">
      <c r="A179" t="s">
        <v>16</v>
      </c>
      <c r="C179">
        <v>52.048946200000003</v>
      </c>
      <c r="D179">
        <v>-0.57325400000000004</v>
      </c>
      <c r="E179">
        <v>4</v>
      </c>
      <c r="F179">
        <v>4</v>
      </c>
      <c r="G179">
        <v>2022</v>
      </c>
      <c r="H179">
        <v>13</v>
      </c>
      <c r="I179">
        <v>55</v>
      </c>
      <c r="J179">
        <v>33.6</v>
      </c>
      <c r="K179">
        <v>44.11</v>
      </c>
      <c r="L179">
        <v>0</v>
      </c>
      <c r="M179">
        <v>46.421999999999997</v>
      </c>
      <c r="N179">
        <v>0.53300000000000003</v>
      </c>
      <c r="P179" s="1">
        <f t="shared" si="9"/>
        <v>12.895</v>
      </c>
      <c r="Q179" s="3">
        <f t="shared" si="10"/>
        <v>-2.3694444444444507</v>
      </c>
      <c r="R179" s="3">
        <f t="shared" si="11"/>
        <v>0.16388888888888964</v>
      </c>
      <c r="S179" s="3">
        <f t="shared" si="12"/>
        <v>9.3914141414141478E-2</v>
      </c>
    </row>
    <row r="180" spans="1:19" x14ac:dyDescent="0.25">
      <c r="A180" t="s">
        <v>16</v>
      </c>
      <c r="C180">
        <v>52.048957000000001</v>
      </c>
      <c r="D180">
        <v>-0.5732604</v>
      </c>
      <c r="E180">
        <v>4</v>
      </c>
      <c r="F180">
        <v>4</v>
      </c>
      <c r="G180">
        <v>2022</v>
      </c>
      <c r="H180">
        <v>13</v>
      </c>
      <c r="I180">
        <v>55</v>
      </c>
      <c r="J180">
        <v>33.700000000000003</v>
      </c>
      <c r="K180">
        <v>44.08</v>
      </c>
      <c r="L180">
        <v>0</v>
      </c>
      <c r="M180">
        <v>46.523000000000003</v>
      </c>
      <c r="N180">
        <v>0.52900000000000003</v>
      </c>
      <c r="P180" s="1">
        <f t="shared" si="9"/>
        <v>12.923055555555555</v>
      </c>
      <c r="Q180" s="3">
        <f t="shared" si="10"/>
        <v>0.280555555555555</v>
      </c>
      <c r="R180" s="3">
        <f t="shared" si="11"/>
        <v>0.31305555555555564</v>
      </c>
      <c r="S180" s="3">
        <f t="shared" si="12"/>
        <v>0.10863636363636382</v>
      </c>
    </row>
    <row r="181" spans="1:19" x14ac:dyDescent="0.25">
      <c r="A181" t="s">
        <v>16</v>
      </c>
      <c r="C181">
        <v>52.048967400000002</v>
      </c>
      <c r="D181">
        <v>-0.57326650000000001</v>
      </c>
      <c r="E181">
        <v>4</v>
      </c>
      <c r="F181">
        <v>4</v>
      </c>
      <c r="G181">
        <v>2022</v>
      </c>
      <c r="H181">
        <v>13</v>
      </c>
      <c r="I181">
        <v>55</v>
      </c>
      <c r="J181">
        <v>33.799999999999997</v>
      </c>
      <c r="K181">
        <v>43.97</v>
      </c>
      <c r="L181">
        <v>0</v>
      </c>
      <c r="M181">
        <v>46.368000000000002</v>
      </c>
      <c r="N181">
        <v>0.54</v>
      </c>
      <c r="P181" s="1">
        <f t="shared" si="9"/>
        <v>12.88</v>
      </c>
      <c r="Q181" s="3">
        <f t="shared" si="10"/>
        <v>-0.43055555555554292</v>
      </c>
      <c r="R181" s="3">
        <f t="shared" si="11"/>
        <v>0.11916666666666664</v>
      </c>
      <c r="S181" s="3">
        <f t="shared" si="12"/>
        <v>0.1487121212121213</v>
      </c>
    </row>
    <row r="182" spans="1:19" x14ac:dyDescent="0.25">
      <c r="A182" t="s">
        <v>16</v>
      </c>
      <c r="C182">
        <v>52.048978300000002</v>
      </c>
      <c r="D182">
        <v>-0.57327249999999996</v>
      </c>
      <c r="E182">
        <v>4</v>
      </c>
      <c r="F182">
        <v>4</v>
      </c>
      <c r="G182">
        <v>2022</v>
      </c>
      <c r="H182">
        <v>13</v>
      </c>
      <c r="I182">
        <v>55</v>
      </c>
      <c r="J182">
        <v>33.9</v>
      </c>
      <c r="K182">
        <v>43.94</v>
      </c>
      <c r="L182">
        <v>0</v>
      </c>
      <c r="M182">
        <v>46.404000000000003</v>
      </c>
      <c r="N182">
        <v>0.54700000000000004</v>
      </c>
      <c r="P182" s="1">
        <f t="shared" si="9"/>
        <v>12.89</v>
      </c>
      <c r="Q182" s="3">
        <f t="shared" si="10"/>
        <v>9.9999999999997868E-2</v>
      </c>
      <c r="R182" s="3">
        <f t="shared" si="11"/>
        <v>0.19305555555555642</v>
      </c>
      <c r="S182" s="3">
        <f t="shared" si="12"/>
        <v>0.19936868686868678</v>
      </c>
    </row>
    <row r="183" spans="1:19" x14ac:dyDescent="0.25">
      <c r="A183" t="s">
        <v>16</v>
      </c>
      <c r="C183">
        <v>52.048989200000001</v>
      </c>
      <c r="D183">
        <v>-0.57327819999999996</v>
      </c>
      <c r="E183">
        <v>4</v>
      </c>
      <c r="F183">
        <v>4</v>
      </c>
      <c r="G183">
        <v>2022</v>
      </c>
      <c r="H183">
        <v>13</v>
      </c>
      <c r="I183">
        <v>55</v>
      </c>
      <c r="J183">
        <v>34</v>
      </c>
      <c r="K183">
        <v>43.87</v>
      </c>
      <c r="L183">
        <v>0</v>
      </c>
      <c r="M183">
        <v>46.804000000000002</v>
      </c>
      <c r="N183">
        <v>0.57199999999999995</v>
      </c>
      <c r="P183" s="1">
        <f t="shared" si="9"/>
        <v>13.001111111111111</v>
      </c>
      <c r="Q183" s="3">
        <f t="shared" si="10"/>
        <v>1.1111111111111072</v>
      </c>
      <c r="R183" s="3">
        <f t="shared" si="11"/>
        <v>0.218055555555555</v>
      </c>
      <c r="S183" s="3">
        <f t="shared" si="12"/>
        <v>0.23255050505050498</v>
      </c>
    </row>
    <row r="184" spans="1:19" x14ac:dyDescent="0.25">
      <c r="A184" t="s">
        <v>16</v>
      </c>
      <c r="C184">
        <v>52.049000300000003</v>
      </c>
      <c r="D184">
        <v>-0.57328380000000001</v>
      </c>
      <c r="E184">
        <v>4</v>
      </c>
      <c r="F184">
        <v>4</v>
      </c>
      <c r="G184">
        <v>2022</v>
      </c>
      <c r="H184">
        <v>13</v>
      </c>
      <c r="I184">
        <v>55</v>
      </c>
      <c r="J184">
        <v>34.1</v>
      </c>
      <c r="K184">
        <v>43.85</v>
      </c>
      <c r="L184">
        <v>0</v>
      </c>
      <c r="M184">
        <v>46.817999999999998</v>
      </c>
      <c r="N184">
        <v>0.61899999999999999</v>
      </c>
      <c r="P184" s="1">
        <f t="shared" si="9"/>
        <v>13.005000000000001</v>
      </c>
      <c r="Q184" s="3">
        <f t="shared" si="10"/>
        <v>3.8888888888894968E-2</v>
      </c>
      <c r="R184" s="3">
        <f t="shared" si="11"/>
        <v>0.16694444444444478</v>
      </c>
      <c r="S184" s="3">
        <f t="shared" si="12"/>
        <v>0.21325757575757559</v>
      </c>
    </row>
    <row r="185" spans="1:19" x14ac:dyDescent="0.25">
      <c r="A185" t="s">
        <v>16</v>
      </c>
      <c r="C185">
        <v>52.0490116</v>
      </c>
      <c r="D185">
        <v>-0.57328950000000001</v>
      </c>
      <c r="E185">
        <v>4</v>
      </c>
      <c r="F185">
        <v>4</v>
      </c>
      <c r="G185">
        <v>2022</v>
      </c>
      <c r="H185">
        <v>13</v>
      </c>
      <c r="I185">
        <v>55</v>
      </c>
      <c r="J185">
        <v>34.200000000000003</v>
      </c>
      <c r="K185">
        <v>43.84</v>
      </c>
      <c r="L185">
        <v>0</v>
      </c>
      <c r="M185">
        <v>47.329000000000001</v>
      </c>
      <c r="N185">
        <v>0.63</v>
      </c>
      <c r="P185" s="1">
        <f t="shared" si="9"/>
        <v>13.146944444444445</v>
      </c>
      <c r="Q185" s="3">
        <f t="shared" si="10"/>
        <v>1.4194444444444443</v>
      </c>
      <c r="R185" s="3">
        <f t="shared" si="11"/>
        <v>7.5833333333333641E-2</v>
      </c>
      <c r="S185" s="3">
        <f t="shared" si="12"/>
        <v>0.1583585858585855</v>
      </c>
    </row>
    <row r="186" spans="1:19" x14ac:dyDescent="0.25">
      <c r="A186" t="s">
        <v>16</v>
      </c>
      <c r="C186">
        <v>52.049022899999997</v>
      </c>
      <c r="D186">
        <v>-0.573295</v>
      </c>
      <c r="E186">
        <v>4</v>
      </c>
      <c r="F186">
        <v>4</v>
      </c>
      <c r="G186">
        <v>2022</v>
      </c>
      <c r="H186">
        <v>13</v>
      </c>
      <c r="I186">
        <v>55</v>
      </c>
      <c r="J186">
        <v>34.299999999999997</v>
      </c>
      <c r="K186">
        <v>43.82</v>
      </c>
      <c r="L186">
        <v>0</v>
      </c>
      <c r="M186">
        <v>47.369</v>
      </c>
      <c r="N186">
        <v>0.61199999999999999</v>
      </c>
      <c r="P186" s="1">
        <f t="shared" si="9"/>
        <v>13.158055555555556</v>
      </c>
      <c r="Q186" s="3">
        <f t="shared" si="10"/>
        <v>0.11111111111111072</v>
      </c>
      <c r="R186" s="3">
        <f t="shared" si="11"/>
        <v>0.40694444444444322</v>
      </c>
      <c r="S186" s="3">
        <f t="shared" si="12"/>
        <v>9.9444444444444002E-2</v>
      </c>
    </row>
    <row r="187" spans="1:19" x14ac:dyDescent="0.25">
      <c r="A187" t="s">
        <v>16</v>
      </c>
      <c r="C187">
        <v>52.049034300000002</v>
      </c>
      <c r="D187">
        <v>-0.57330060000000005</v>
      </c>
      <c r="E187">
        <v>4</v>
      </c>
      <c r="F187">
        <v>4</v>
      </c>
      <c r="G187">
        <v>2022</v>
      </c>
      <c r="H187">
        <v>13</v>
      </c>
      <c r="I187">
        <v>55</v>
      </c>
      <c r="J187">
        <v>34.4</v>
      </c>
      <c r="K187">
        <v>43.78</v>
      </c>
      <c r="L187">
        <v>0</v>
      </c>
      <c r="M187">
        <v>47.945</v>
      </c>
      <c r="N187">
        <v>0.63</v>
      </c>
      <c r="P187" s="1">
        <f t="shared" si="9"/>
        <v>13.318055555555556</v>
      </c>
      <c r="Q187" s="3">
        <f t="shared" si="10"/>
        <v>1.6000000000000014</v>
      </c>
      <c r="R187" s="3">
        <f t="shared" si="11"/>
        <v>0.44611111111110979</v>
      </c>
      <c r="S187" s="3">
        <f t="shared" si="12"/>
        <v>5.1616161616161123E-2</v>
      </c>
    </row>
    <row r="188" spans="1:19" x14ac:dyDescent="0.25">
      <c r="A188" t="s">
        <v>16</v>
      </c>
      <c r="C188">
        <v>52.049045700000001</v>
      </c>
      <c r="D188">
        <v>-0.57330680000000001</v>
      </c>
      <c r="E188">
        <v>4</v>
      </c>
      <c r="F188">
        <v>4</v>
      </c>
      <c r="G188">
        <v>2022</v>
      </c>
      <c r="H188">
        <v>13</v>
      </c>
      <c r="I188">
        <v>55</v>
      </c>
      <c r="J188">
        <v>34.5</v>
      </c>
      <c r="K188">
        <v>43.78</v>
      </c>
      <c r="L188">
        <v>0</v>
      </c>
      <c r="M188">
        <v>48.06</v>
      </c>
      <c r="N188">
        <v>0.67</v>
      </c>
      <c r="P188" s="1">
        <f t="shared" si="9"/>
        <v>13.35</v>
      </c>
      <c r="Q188" s="3">
        <f t="shared" si="10"/>
        <v>0.31944444444443221</v>
      </c>
      <c r="R188" s="3">
        <f t="shared" si="11"/>
        <v>0.27388888888888907</v>
      </c>
      <c r="S188" s="3">
        <f t="shared" si="12"/>
        <v>-1.0580808080808685E-2</v>
      </c>
    </row>
    <row r="189" spans="1:19" x14ac:dyDescent="0.25">
      <c r="A189" t="s">
        <v>16</v>
      </c>
      <c r="C189">
        <v>52.049057099999999</v>
      </c>
      <c r="D189">
        <v>-0.57331200000000004</v>
      </c>
      <c r="E189">
        <v>4</v>
      </c>
      <c r="F189">
        <v>4</v>
      </c>
      <c r="G189">
        <v>2022</v>
      </c>
      <c r="H189">
        <v>13</v>
      </c>
      <c r="I189">
        <v>55</v>
      </c>
      <c r="J189">
        <v>34.6</v>
      </c>
      <c r="K189">
        <v>43.85</v>
      </c>
      <c r="L189">
        <v>0</v>
      </c>
      <c r="M189">
        <v>47.023000000000003</v>
      </c>
      <c r="N189">
        <v>0.67</v>
      </c>
      <c r="P189" s="1">
        <f t="shared" si="9"/>
        <v>13.061944444444444</v>
      </c>
      <c r="Q189" s="3">
        <f t="shared" si="10"/>
        <v>-2.8805555555555529</v>
      </c>
      <c r="R189" s="3">
        <f t="shared" si="11"/>
        <v>-3.1111111111112422E-2</v>
      </c>
      <c r="S189" s="3">
        <f t="shared" si="12"/>
        <v>-5.5757575757576235E-2</v>
      </c>
    </row>
    <row r="190" spans="1:19" x14ac:dyDescent="0.25">
      <c r="A190" t="s">
        <v>16</v>
      </c>
      <c r="C190">
        <v>52.049068699999999</v>
      </c>
      <c r="D190">
        <v>-0.57331600000000005</v>
      </c>
      <c r="E190">
        <v>4</v>
      </c>
      <c r="F190">
        <v>4</v>
      </c>
      <c r="G190">
        <v>2022</v>
      </c>
      <c r="H190">
        <v>13</v>
      </c>
      <c r="I190">
        <v>55</v>
      </c>
      <c r="J190">
        <v>34.700000000000003</v>
      </c>
      <c r="K190">
        <v>43.87</v>
      </c>
      <c r="L190">
        <v>0</v>
      </c>
      <c r="M190">
        <v>46.795999999999999</v>
      </c>
      <c r="N190">
        <v>0.67300000000000004</v>
      </c>
      <c r="P190" s="1">
        <f t="shared" si="9"/>
        <v>12.998888888888889</v>
      </c>
      <c r="Q190" s="3">
        <f t="shared" si="10"/>
        <v>-0.63055555555555642</v>
      </c>
      <c r="R190" s="3">
        <f t="shared" si="11"/>
        <v>-0.44000000000000128</v>
      </c>
      <c r="S190" s="3">
        <f t="shared" si="12"/>
        <v>-0.10320707070707126</v>
      </c>
    </row>
    <row r="191" spans="1:19" x14ac:dyDescent="0.25">
      <c r="A191" t="s">
        <v>16</v>
      </c>
      <c r="C191">
        <v>52.049080699999998</v>
      </c>
      <c r="D191">
        <v>-0.57331960000000004</v>
      </c>
      <c r="E191">
        <v>4</v>
      </c>
      <c r="F191">
        <v>4</v>
      </c>
      <c r="G191">
        <v>2022</v>
      </c>
      <c r="H191">
        <v>13</v>
      </c>
      <c r="I191">
        <v>55</v>
      </c>
      <c r="J191">
        <v>34.799999999999997</v>
      </c>
      <c r="K191">
        <v>43.86</v>
      </c>
      <c r="L191">
        <v>0</v>
      </c>
      <c r="M191">
        <v>47.832999999999998</v>
      </c>
      <c r="N191">
        <v>0.66200000000000003</v>
      </c>
      <c r="P191" s="1">
        <f t="shared" si="9"/>
        <v>13.286944444444444</v>
      </c>
      <c r="Q191" s="3">
        <f t="shared" si="10"/>
        <v>2.8805555555555529</v>
      </c>
      <c r="R191" s="3">
        <f t="shared" si="11"/>
        <v>-0.33500000000000085</v>
      </c>
      <c r="S191" s="3">
        <f t="shared" si="12"/>
        <v>-0.1850000000000005</v>
      </c>
    </row>
    <row r="192" spans="1:19" x14ac:dyDescent="0.25">
      <c r="A192" t="s">
        <v>16</v>
      </c>
      <c r="C192">
        <v>52.049092299999998</v>
      </c>
      <c r="D192">
        <v>-0.57332260000000002</v>
      </c>
      <c r="E192">
        <v>4</v>
      </c>
      <c r="F192">
        <v>4</v>
      </c>
      <c r="G192">
        <v>2022</v>
      </c>
      <c r="H192">
        <v>13</v>
      </c>
      <c r="I192">
        <v>55</v>
      </c>
      <c r="J192">
        <v>34.9</v>
      </c>
      <c r="K192">
        <v>43.79</v>
      </c>
      <c r="L192">
        <v>0</v>
      </c>
      <c r="M192">
        <v>48.01</v>
      </c>
      <c r="N192">
        <v>0.66200000000000003</v>
      </c>
      <c r="P192" s="1">
        <f t="shared" si="9"/>
        <v>13.33611111111111</v>
      </c>
      <c r="Q192" s="3">
        <f t="shared" si="10"/>
        <v>0.49166666666666359</v>
      </c>
      <c r="R192" s="3">
        <f t="shared" si="11"/>
        <v>-0.406944444444445</v>
      </c>
      <c r="S192" s="3">
        <f t="shared" si="12"/>
        <v>-0.31227272727272765</v>
      </c>
    </row>
    <row r="193" spans="1:19" x14ac:dyDescent="0.25">
      <c r="A193" t="s">
        <v>16</v>
      </c>
      <c r="C193">
        <v>52.049104</v>
      </c>
      <c r="D193">
        <v>-0.57332590000000005</v>
      </c>
      <c r="E193">
        <v>4</v>
      </c>
      <c r="F193">
        <v>4</v>
      </c>
      <c r="G193">
        <v>2022</v>
      </c>
      <c r="H193">
        <v>13</v>
      </c>
      <c r="I193">
        <v>55</v>
      </c>
      <c r="J193">
        <v>35</v>
      </c>
      <c r="K193">
        <v>43.77</v>
      </c>
      <c r="L193">
        <v>0</v>
      </c>
      <c r="M193">
        <v>47.79</v>
      </c>
      <c r="N193">
        <v>0.68400000000000005</v>
      </c>
      <c r="P193" s="1">
        <f t="shared" si="9"/>
        <v>13.275</v>
      </c>
      <c r="Q193" s="3">
        <f t="shared" si="10"/>
        <v>-0.61111111111110006</v>
      </c>
      <c r="R193" s="3">
        <f t="shared" si="11"/>
        <v>-0.4911111111111115</v>
      </c>
      <c r="S193" s="3">
        <f t="shared" si="12"/>
        <v>-0.44709595959595982</v>
      </c>
    </row>
    <row r="194" spans="1:19" x14ac:dyDescent="0.25">
      <c r="A194" t="s">
        <v>16</v>
      </c>
      <c r="C194">
        <v>52.049115499999999</v>
      </c>
      <c r="D194">
        <v>-0.57332959999999999</v>
      </c>
      <c r="E194">
        <v>4</v>
      </c>
      <c r="F194">
        <v>4</v>
      </c>
      <c r="G194">
        <v>2022</v>
      </c>
      <c r="H194">
        <v>13</v>
      </c>
      <c r="I194">
        <v>55</v>
      </c>
      <c r="J194">
        <v>35.1</v>
      </c>
      <c r="K194">
        <v>43.84</v>
      </c>
      <c r="L194">
        <v>0</v>
      </c>
      <c r="M194">
        <v>46.706000000000003</v>
      </c>
      <c r="N194">
        <v>0.67700000000000005</v>
      </c>
      <c r="P194" s="1">
        <f t="shared" si="9"/>
        <v>12.973888888888888</v>
      </c>
      <c r="Q194" s="3">
        <f t="shared" si="10"/>
        <v>-3.01111111111112</v>
      </c>
      <c r="R194" s="3">
        <f t="shared" si="11"/>
        <v>-0.27888888888888808</v>
      </c>
      <c r="S194" s="3">
        <f t="shared" si="12"/>
        <v>-0.53707070707070725</v>
      </c>
    </row>
    <row r="195" spans="1:19" x14ac:dyDescent="0.25">
      <c r="A195" t="s">
        <v>16</v>
      </c>
      <c r="C195">
        <v>52.049126800000003</v>
      </c>
      <c r="D195">
        <v>-0.57333350000000005</v>
      </c>
      <c r="E195">
        <v>4</v>
      </c>
      <c r="F195">
        <v>4</v>
      </c>
      <c r="G195">
        <v>2022</v>
      </c>
      <c r="H195">
        <v>13</v>
      </c>
      <c r="I195">
        <v>55</v>
      </c>
      <c r="J195">
        <v>35.200000000000003</v>
      </c>
      <c r="K195">
        <v>43.91</v>
      </c>
      <c r="L195">
        <v>0</v>
      </c>
      <c r="M195">
        <v>45.744999999999997</v>
      </c>
      <c r="N195">
        <v>0.68400000000000005</v>
      </c>
      <c r="P195" s="1">
        <f t="shared" ref="P195:P258" si="13">M195*1000/3600</f>
        <v>12.706944444444444</v>
      </c>
      <c r="Q195" s="3">
        <f t="shared" si="10"/>
        <v>-2.6694444444444443</v>
      </c>
      <c r="R195" s="3">
        <f t="shared" si="11"/>
        <v>-0.35500000000000043</v>
      </c>
      <c r="S195" s="3">
        <f t="shared" si="12"/>
        <v>-0.57777777777777783</v>
      </c>
    </row>
    <row r="196" spans="1:19" x14ac:dyDescent="0.25">
      <c r="A196" t="s">
        <v>16</v>
      </c>
      <c r="C196">
        <v>52.049138800000001</v>
      </c>
      <c r="D196">
        <v>-0.5733374</v>
      </c>
      <c r="E196">
        <v>4</v>
      </c>
      <c r="F196">
        <v>4</v>
      </c>
      <c r="G196">
        <v>2022</v>
      </c>
      <c r="H196">
        <v>13</v>
      </c>
      <c r="I196">
        <v>55</v>
      </c>
      <c r="J196">
        <v>35.299999999999997</v>
      </c>
      <c r="K196">
        <v>44.08</v>
      </c>
      <c r="L196">
        <v>0</v>
      </c>
      <c r="M196">
        <v>46.162999999999997</v>
      </c>
      <c r="N196">
        <v>0.65500000000000003</v>
      </c>
      <c r="P196" s="1">
        <f t="shared" si="13"/>
        <v>12.823055555555555</v>
      </c>
      <c r="Q196" s="3">
        <f t="shared" si="10"/>
        <v>1.161111111111115</v>
      </c>
      <c r="R196" s="3">
        <f t="shared" si="11"/>
        <v>-0.823888888888888</v>
      </c>
      <c r="S196" s="3">
        <f t="shared" si="12"/>
        <v>-0.61823232323232313</v>
      </c>
    </row>
    <row r="197" spans="1:19" x14ac:dyDescent="0.25">
      <c r="A197" t="s">
        <v>16</v>
      </c>
      <c r="C197">
        <v>52.049150699999998</v>
      </c>
      <c r="D197">
        <v>-0.57334030000000002</v>
      </c>
      <c r="E197">
        <v>4</v>
      </c>
      <c r="F197">
        <v>4</v>
      </c>
      <c r="G197">
        <v>2022</v>
      </c>
      <c r="H197">
        <v>13</v>
      </c>
      <c r="I197">
        <v>55</v>
      </c>
      <c r="J197">
        <v>35.4</v>
      </c>
      <c r="K197">
        <v>44.16</v>
      </c>
      <c r="L197">
        <v>0</v>
      </c>
      <c r="M197">
        <v>46.48</v>
      </c>
      <c r="N197">
        <v>0.64400000000000002</v>
      </c>
      <c r="P197" s="1">
        <f t="shared" si="13"/>
        <v>12.911111111111111</v>
      </c>
      <c r="Q197" s="3">
        <f t="shared" ref="Q197:Q260" si="14">10*($P197-$P196)</f>
        <v>0.88055555555555998</v>
      </c>
      <c r="R197" s="3">
        <f t="shared" si="11"/>
        <v>-0.99305555555555536</v>
      </c>
      <c r="S197" s="3">
        <f t="shared" si="12"/>
        <v>-0.68505050505050491</v>
      </c>
    </row>
    <row r="198" spans="1:19" x14ac:dyDescent="0.25">
      <c r="A198" t="s">
        <v>16</v>
      </c>
      <c r="C198">
        <v>52.0491624</v>
      </c>
      <c r="D198">
        <v>-0.57334390000000002</v>
      </c>
      <c r="E198">
        <v>4</v>
      </c>
      <c r="F198">
        <v>4</v>
      </c>
      <c r="G198">
        <v>2022</v>
      </c>
      <c r="H198">
        <v>13</v>
      </c>
      <c r="I198">
        <v>55</v>
      </c>
      <c r="J198">
        <v>35.5</v>
      </c>
      <c r="K198">
        <v>44.23</v>
      </c>
      <c r="L198">
        <v>0</v>
      </c>
      <c r="M198">
        <v>46.292000000000002</v>
      </c>
      <c r="N198">
        <v>0.64100000000000001</v>
      </c>
      <c r="P198" s="1">
        <f t="shared" si="13"/>
        <v>12.858888888888888</v>
      </c>
      <c r="Q198" s="3">
        <f t="shared" si="14"/>
        <v>-0.5222222222222328</v>
      </c>
      <c r="R198" s="3">
        <f t="shared" si="11"/>
        <v>-1.036944444444444</v>
      </c>
      <c r="S198" s="3">
        <f t="shared" si="12"/>
        <v>-0.7217676767676765</v>
      </c>
    </row>
    <row r="199" spans="1:19" x14ac:dyDescent="0.25">
      <c r="A199" t="s">
        <v>16</v>
      </c>
      <c r="C199">
        <v>52.049173799999998</v>
      </c>
      <c r="D199">
        <v>-0.57334790000000002</v>
      </c>
      <c r="E199">
        <v>4</v>
      </c>
      <c r="F199">
        <v>4</v>
      </c>
      <c r="G199">
        <v>2022</v>
      </c>
      <c r="H199">
        <v>13</v>
      </c>
      <c r="I199">
        <v>55</v>
      </c>
      <c r="J199">
        <v>35.6</v>
      </c>
      <c r="K199">
        <v>44.29</v>
      </c>
      <c r="L199">
        <v>0</v>
      </c>
      <c r="M199">
        <v>46.018999999999998</v>
      </c>
      <c r="N199">
        <v>0.64800000000000002</v>
      </c>
      <c r="P199" s="1">
        <f t="shared" si="13"/>
        <v>12.783055555555556</v>
      </c>
      <c r="Q199" s="3">
        <f t="shared" si="14"/>
        <v>-0.75833333333331865</v>
      </c>
      <c r="R199" s="3">
        <f t="shared" si="11"/>
        <v>-0.71583333333333243</v>
      </c>
      <c r="S199" s="3">
        <f t="shared" si="12"/>
        <v>-0.7476767676767675</v>
      </c>
    </row>
    <row r="200" spans="1:19" x14ac:dyDescent="0.25">
      <c r="A200" t="s">
        <v>16</v>
      </c>
      <c r="C200">
        <v>52.0491849</v>
      </c>
      <c r="D200">
        <v>-0.57335199999999997</v>
      </c>
      <c r="E200">
        <v>4</v>
      </c>
      <c r="F200">
        <v>4</v>
      </c>
      <c r="G200">
        <v>2022</v>
      </c>
      <c r="H200">
        <v>13</v>
      </c>
      <c r="I200">
        <v>55</v>
      </c>
      <c r="J200">
        <v>35.700000000000003</v>
      </c>
      <c r="K200">
        <v>44.32</v>
      </c>
      <c r="L200">
        <v>0</v>
      </c>
      <c r="M200">
        <v>45.518000000000001</v>
      </c>
      <c r="N200">
        <v>0.65200000000000002</v>
      </c>
      <c r="P200" s="1">
        <f t="shared" si="13"/>
        <v>12.643888888888888</v>
      </c>
      <c r="Q200" s="3">
        <f t="shared" si="14"/>
        <v>-1.3916666666666799</v>
      </c>
      <c r="R200" s="3">
        <f t="shared" si="11"/>
        <v>-0.47888888888888914</v>
      </c>
      <c r="S200" s="3">
        <f t="shared" si="12"/>
        <v>-0.78823232323232306</v>
      </c>
    </row>
    <row r="201" spans="1:19" x14ac:dyDescent="0.25">
      <c r="A201" t="s">
        <v>16</v>
      </c>
      <c r="C201">
        <v>52.049195900000001</v>
      </c>
      <c r="D201">
        <v>-0.57335590000000003</v>
      </c>
      <c r="E201">
        <v>4</v>
      </c>
      <c r="F201">
        <v>4</v>
      </c>
      <c r="G201">
        <v>2022</v>
      </c>
      <c r="H201">
        <v>13</v>
      </c>
      <c r="I201">
        <v>55</v>
      </c>
      <c r="J201">
        <v>35.799999999999997</v>
      </c>
      <c r="K201">
        <v>44.38</v>
      </c>
      <c r="L201">
        <v>0</v>
      </c>
      <c r="M201">
        <v>44.866999999999997</v>
      </c>
      <c r="N201">
        <v>0.63700000000000001</v>
      </c>
      <c r="P201" s="1">
        <f t="shared" si="13"/>
        <v>12.463055555555556</v>
      </c>
      <c r="Q201" s="3">
        <f t="shared" si="14"/>
        <v>-1.8083333333333229</v>
      </c>
      <c r="R201" s="3">
        <f t="shared" ref="R201:R264" si="15">($P206-$P196)</f>
        <v>-0.88499999999999979</v>
      </c>
      <c r="S201" s="3">
        <f t="shared" si="12"/>
        <v>-0.80368686868686856</v>
      </c>
    </row>
    <row r="202" spans="1:19" x14ac:dyDescent="0.25">
      <c r="A202" t="s">
        <v>16</v>
      </c>
      <c r="C202">
        <v>52.049206699999999</v>
      </c>
      <c r="D202">
        <v>-0.57335919999999996</v>
      </c>
      <c r="E202">
        <v>4</v>
      </c>
      <c r="F202">
        <v>4</v>
      </c>
      <c r="G202">
        <v>2022</v>
      </c>
      <c r="H202">
        <v>13</v>
      </c>
      <c r="I202">
        <v>55</v>
      </c>
      <c r="J202">
        <v>35.9</v>
      </c>
      <c r="K202">
        <v>44.37</v>
      </c>
      <c r="L202">
        <v>0</v>
      </c>
      <c r="M202">
        <v>44.435000000000002</v>
      </c>
      <c r="N202">
        <v>0.60099999999999998</v>
      </c>
      <c r="P202" s="1">
        <f t="shared" si="13"/>
        <v>12.343055555555555</v>
      </c>
      <c r="Q202" s="3">
        <f t="shared" si="14"/>
        <v>-1.2000000000000099</v>
      </c>
      <c r="R202" s="3">
        <f t="shared" si="15"/>
        <v>-1.0700000000000003</v>
      </c>
      <c r="S202" s="3">
        <f t="shared" si="12"/>
        <v>-0.76351010101010097</v>
      </c>
    </row>
    <row r="203" spans="1:19" x14ac:dyDescent="0.25">
      <c r="A203" t="s">
        <v>16</v>
      </c>
      <c r="C203">
        <v>52.049217400000003</v>
      </c>
      <c r="D203">
        <v>-0.57336279999999995</v>
      </c>
      <c r="E203">
        <v>4</v>
      </c>
      <c r="F203">
        <v>4</v>
      </c>
      <c r="G203">
        <v>2022</v>
      </c>
      <c r="H203">
        <v>13</v>
      </c>
      <c r="I203">
        <v>55</v>
      </c>
      <c r="J203">
        <v>36</v>
      </c>
      <c r="K203">
        <v>44.42</v>
      </c>
      <c r="L203">
        <v>0</v>
      </c>
      <c r="M203">
        <v>44.057000000000002</v>
      </c>
      <c r="N203">
        <v>0.59399999999999997</v>
      </c>
      <c r="P203" s="1">
        <f t="shared" si="13"/>
        <v>12.238055555555556</v>
      </c>
      <c r="Q203" s="3">
        <f t="shared" si="14"/>
        <v>-1.0499999999999865</v>
      </c>
      <c r="R203" s="3">
        <f t="shared" si="15"/>
        <v>-0.81083333333333307</v>
      </c>
      <c r="S203" s="3">
        <f t="shared" si="12"/>
        <v>-0.71050505050505042</v>
      </c>
    </row>
    <row r="204" spans="1:19" x14ac:dyDescent="0.25">
      <c r="A204" t="s">
        <v>16</v>
      </c>
      <c r="C204">
        <v>52.049228200000002</v>
      </c>
      <c r="D204">
        <v>-0.57336589999999998</v>
      </c>
      <c r="E204">
        <v>4</v>
      </c>
      <c r="F204">
        <v>4</v>
      </c>
      <c r="G204">
        <v>2022</v>
      </c>
      <c r="H204">
        <v>13</v>
      </c>
      <c r="I204">
        <v>55</v>
      </c>
      <c r="J204">
        <v>36.1</v>
      </c>
      <c r="K204">
        <v>44.41</v>
      </c>
      <c r="L204">
        <v>0</v>
      </c>
      <c r="M204">
        <v>44.128999999999998</v>
      </c>
      <c r="N204">
        <v>0.61899999999999999</v>
      </c>
      <c r="P204" s="1">
        <f t="shared" si="13"/>
        <v>12.258055555555556</v>
      </c>
      <c r="Q204" s="3">
        <f t="shared" si="14"/>
        <v>0.19999999999999574</v>
      </c>
      <c r="R204" s="3">
        <f t="shared" si="15"/>
        <v>-0.77611111111111164</v>
      </c>
      <c r="S204" s="3">
        <f t="shared" si="12"/>
        <v>-0.65550505050505059</v>
      </c>
    </row>
    <row r="205" spans="1:19" x14ac:dyDescent="0.25">
      <c r="A205" t="s">
        <v>16</v>
      </c>
      <c r="C205">
        <v>52.049239</v>
      </c>
      <c r="D205">
        <v>-0.57336889999999996</v>
      </c>
      <c r="E205">
        <v>4</v>
      </c>
      <c r="F205">
        <v>4</v>
      </c>
      <c r="G205">
        <v>2022</v>
      </c>
      <c r="H205">
        <v>13</v>
      </c>
      <c r="I205">
        <v>55</v>
      </c>
      <c r="J205">
        <v>36.200000000000003</v>
      </c>
      <c r="K205">
        <v>44.43</v>
      </c>
      <c r="L205">
        <v>0</v>
      </c>
      <c r="M205">
        <v>44.021000000000001</v>
      </c>
      <c r="N205">
        <v>0.60799999999999998</v>
      </c>
      <c r="P205" s="1">
        <f t="shared" si="13"/>
        <v>12.228055555555555</v>
      </c>
      <c r="Q205" s="3">
        <f t="shared" si="14"/>
        <v>-0.30000000000001137</v>
      </c>
      <c r="R205" s="3">
        <f t="shared" si="15"/>
        <v>-0.72499999999999964</v>
      </c>
      <c r="S205" s="3">
        <f t="shared" si="12"/>
        <v>-0.62507575757575762</v>
      </c>
    </row>
    <row r="206" spans="1:19" x14ac:dyDescent="0.25">
      <c r="A206" t="s">
        <v>16</v>
      </c>
      <c r="C206">
        <v>52.049249500000002</v>
      </c>
      <c r="D206">
        <v>-0.57337179999999999</v>
      </c>
      <c r="E206">
        <v>4</v>
      </c>
      <c r="F206">
        <v>4</v>
      </c>
      <c r="G206">
        <v>2022</v>
      </c>
      <c r="H206">
        <v>13</v>
      </c>
      <c r="I206">
        <v>55</v>
      </c>
      <c r="J206">
        <v>36.299999999999997</v>
      </c>
      <c r="K206">
        <v>44.45</v>
      </c>
      <c r="L206">
        <v>0</v>
      </c>
      <c r="M206">
        <v>42.976999999999997</v>
      </c>
      <c r="N206">
        <v>0.56499999999999995</v>
      </c>
      <c r="P206" s="1">
        <f t="shared" si="13"/>
        <v>11.938055555555556</v>
      </c>
      <c r="Q206" s="3">
        <f t="shared" si="14"/>
        <v>-2.8999999999999915</v>
      </c>
      <c r="R206" s="3">
        <f t="shared" si="15"/>
        <v>-0.52500000000000036</v>
      </c>
      <c r="S206" s="3">
        <f t="shared" si="12"/>
        <v>-0.58035353535353551</v>
      </c>
    </row>
    <row r="207" spans="1:19" x14ac:dyDescent="0.25">
      <c r="A207" t="s">
        <v>16</v>
      </c>
      <c r="C207">
        <v>52.049259999999997</v>
      </c>
      <c r="D207">
        <v>-0.57337419999999995</v>
      </c>
      <c r="E207">
        <v>4</v>
      </c>
      <c r="F207">
        <v>4</v>
      </c>
      <c r="G207">
        <v>2022</v>
      </c>
      <c r="H207">
        <v>13</v>
      </c>
      <c r="I207">
        <v>55</v>
      </c>
      <c r="J207">
        <v>36.4</v>
      </c>
      <c r="K207">
        <v>44.45</v>
      </c>
      <c r="L207">
        <v>0</v>
      </c>
      <c r="M207">
        <v>42.628</v>
      </c>
      <c r="N207">
        <v>0.55100000000000005</v>
      </c>
      <c r="P207" s="1">
        <f t="shared" si="13"/>
        <v>11.841111111111111</v>
      </c>
      <c r="Q207" s="3">
        <f t="shared" si="14"/>
        <v>-0.969444444444445</v>
      </c>
      <c r="R207" s="3">
        <f t="shared" si="15"/>
        <v>-0.38194444444444464</v>
      </c>
      <c r="S207" s="3">
        <f t="shared" si="12"/>
        <v>-0.50290404040404058</v>
      </c>
    </row>
    <row r="208" spans="1:19" x14ac:dyDescent="0.25">
      <c r="A208" t="s">
        <v>16</v>
      </c>
      <c r="C208">
        <v>52.0492706</v>
      </c>
      <c r="D208">
        <v>-0.57337649999999996</v>
      </c>
      <c r="E208">
        <v>4</v>
      </c>
      <c r="F208">
        <v>4</v>
      </c>
      <c r="G208">
        <v>2022</v>
      </c>
      <c r="H208">
        <v>13</v>
      </c>
      <c r="I208">
        <v>55</v>
      </c>
      <c r="J208">
        <v>36.5</v>
      </c>
      <c r="K208">
        <v>44.42</v>
      </c>
      <c r="L208">
        <v>0</v>
      </c>
      <c r="M208">
        <v>43.372999999999998</v>
      </c>
      <c r="N208">
        <v>0.55100000000000005</v>
      </c>
      <c r="P208" s="1">
        <f t="shared" si="13"/>
        <v>12.048055555555555</v>
      </c>
      <c r="Q208" s="3">
        <f t="shared" si="14"/>
        <v>2.0694444444444393</v>
      </c>
      <c r="R208" s="3">
        <f t="shared" si="15"/>
        <v>-0.41000000000000014</v>
      </c>
      <c r="S208" s="3">
        <f t="shared" si="12"/>
        <v>-0.43601010101010118</v>
      </c>
    </row>
    <row r="209" spans="1:19" x14ac:dyDescent="0.25">
      <c r="A209" t="s">
        <v>16</v>
      </c>
      <c r="C209">
        <v>52.049281299999997</v>
      </c>
      <c r="D209">
        <v>-0.57337830000000001</v>
      </c>
      <c r="E209">
        <v>4</v>
      </c>
      <c r="F209">
        <v>4</v>
      </c>
      <c r="G209">
        <v>2022</v>
      </c>
      <c r="H209">
        <v>13</v>
      </c>
      <c r="I209">
        <v>55</v>
      </c>
      <c r="J209">
        <v>36.6</v>
      </c>
      <c r="K209">
        <v>44.4</v>
      </c>
      <c r="L209">
        <v>0</v>
      </c>
      <c r="M209">
        <v>43.225000000000001</v>
      </c>
      <c r="N209">
        <v>0.56899999999999995</v>
      </c>
      <c r="P209" s="1">
        <f t="shared" si="13"/>
        <v>12.006944444444445</v>
      </c>
      <c r="Q209" s="3">
        <f t="shared" si="14"/>
        <v>-0.41111111111110432</v>
      </c>
      <c r="R209" s="3">
        <f t="shared" si="15"/>
        <v>-0.43194444444444535</v>
      </c>
      <c r="S209" s="3">
        <f t="shared" si="12"/>
        <v>-0.38646464646464662</v>
      </c>
    </row>
    <row r="210" spans="1:19" x14ac:dyDescent="0.25">
      <c r="A210" t="s">
        <v>16</v>
      </c>
      <c r="C210">
        <v>52.0492919</v>
      </c>
      <c r="D210">
        <v>-0.5733798</v>
      </c>
      <c r="E210">
        <v>4</v>
      </c>
      <c r="F210">
        <v>4</v>
      </c>
      <c r="G210">
        <v>2022</v>
      </c>
      <c r="H210">
        <v>13</v>
      </c>
      <c r="I210">
        <v>55</v>
      </c>
      <c r="J210">
        <v>36.700000000000003</v>
      </c>
      <c r="K210">
        <v>44.41</v>
      </c>
      <c r="L210">
        <v>0</v>
      </c>
      <c r="M210">
        <v>42.908000000000001</v>
      </c>
      <c r="N210">
        <v>0.56499999999999995</v>
      </c>
      <c r="P210" s="1">
        <f t="shared" si="13"/>
        <v>11.918888888888889</v>
      </c>
      <c r="Q210" s="3">
        <f t="shared" si="14"/>
        <v>-0.88055555555555998</v>
      </c>
      <c r="R210" s="3">
        <f t="shared" si="15"/>
        <v>-0.38111111111111029</v>
      </c>
      <c r="S210" s="3">
        <f t="shared" si="12"/>
        <v>-0.32734848484848489</v>
      </c>
    </row>
    <row r="211" spans="1:19" x14ac:dyDescent="0.25">
      <c r="A211" t="s">
        <v>16</v>
      </c>
      <c r="C211">
        <v>52.049302400000002</v>
      </c>
      <c r="D211">
        <v>-0.57338069999999997</v>
      </c>
      <c r="E211">
        <v>4</v>
      </c>
      <c r="F211">
        <v>4</v>
      </c>
      <c r="G211">
        <v>2022</v>
      </c>
      <c r="H211">
        <v>13</v>
      </c>
      <c r="I211">
        <v>55</v>
      </c>
      <c r="J211">
        <v>36.799999999999997</v>
      </c>
      <c r="K211">
        <v>44.36</v>
      </c>
      <c r="L211">
        <v>0</v>
      </c>
      <c r="M211">
        <v>42.976999999999997</v>
      </c>
      <c r="N211">
        <v>0.57199999999999995</v>
      </c>
      <c r="P211" s="1">
        <f t="shared" si="13"/>
        <v>11.938055555555556</v>
      </c>
      <c r="Q211" s="3">
        <f t="shared" si="14"/>
        <v>0.19166666666666998</v>
      </c>
      <c r="R211" s="3">
        <f t="shared" si="15"/>
        <v>1.3055555555554932E-2</v>
      </c>
      <c r="S211" s="3">
        <f t="shared" ref="S211:S274" si="16">AVERAGE(R206:R216)</f>
        <v>-0.28727272727272746</v>
      </c>
    </row>
    <row r="212" spans="1:19" x14ac:dyDescent="0.25">
      <c r="A212" t="s">
        <v>16</v>
      </c>
      <c r="C212">
        <v>52.049313099999999</v>
      </c>
      <c r="D212">
        <v>-0.57338169999999999</v>
      </c>
      <c r="E212">
        <v>4</v>
      </c>
      <c r="F212">
        <v>4</v>
      </c>
      <c r="G212">
        <v>2022</v>
      </c>
      <c r="H212">
        <v>13</v>
      </c>
      <c r="I212">
        <v>55</v>
      </c>
      <c r="J212">
        <v>36.9</v>
      </c>
      <c r="K212">
        <v>44.35</v>
      </c>
      <c r="L212">
        <v>0</v>
      </c>
      <c r="M212">
        <v>43.06</v>
      </c>
      <c r="N212">
        <v>0.57599999999999996</v>
      </c>
      <c r="P212" s="1">
        <f t="shared" si="13"/>
        <v>11.96111111111111</v>
      </c>
      <c r="Q212" s="3">
        <f t="shared" si="14"/>
        <v>0.23055555555554719</v>
      </c>
      <c r="R212" s="3">
        <f t="shared" si="15"/>
        <v>-3.3055555555556282E-2</v>
      </c>
      <c r="S212" s="3">
        <f t="shared" si="16"/>
        <v>-0.28128787878787892</v>
      </c>
    </row>
    <row r="213" spans="1:19" x14ac:dyDescent="0.25">
      <c r="A213" t="s">
        <v>16</v>
      </c>
      <c r="C213">
        <v>52.049323700000002</v>
      </c>
      <c r="D213">
        <v>-0.57338230000000001</v>
      </c>
      <c r="E213">
        <v>4</v>
      </c>
      <c r="F213">
        <v>4</v>
      </c>
      <c r="G213">
        <v>2022</v>
      </c>
      <c r="H213">
        <v>13</v>
      </c>
      <c r="I213">
        <v>55</v>
      </c>
      <c r="J213">
        <v>37</v>
      </c>
      <c r="K213">
        <v>44.37</v>
      </c>
      <c r="L213">
        <v>0</v>
      </c>
      <c r="M213">
        <v>42.581000000000003</v>
      </c>
      <c r="N213">
        <v>0.58299999999999996</v>
      </c>
      <c r="P213" s="1">
        <f t="shared" si="13"/>
        <v>11.828055555555556</v>
      </c>
      <c r="Q213" s="3">
        <f t="shared" si="14"/>
        <v>-1.3305555555555415</v>
      </c>
      <c r="R213" s="3">
        <f t="shared" si="15"/>
        <v>-0.3341666666666665</v>
      </c>
      <c r="S213" s="3">
        <f t="shared" si="16"/>
        <v>-0.29484848484848508</v>
      </c>
    </row>
    <row r="214" spans="1:19" x14ac:dyDescent="0.25">
      <c r="A214" t="s">
        <v>16</v>
      </c>
      <c r="C214">
        <v>52.049334199999997</v>
      </c>
      <c r="D214">
        <v>-0.57338250000000002</v>
      </c>
      <c r="E214">
        <v>4</v>
      </c>
      <c r="F214">
        <v>4</v>
      </c>
      <c r="G214">
        <v>2022</v>
      </c>
      <c r="H214">
        <v>13</v>
      </c>
      <c r="I214">
        <v>55</v>
      </c>
      <c r="J214">
        <v>37.1</v>
      </c>
      <c r="K214">
        <v>44.34</v>
      </c>
      <c r="L214">
        <v>0</v>
      </c>
      <c r="M214">
        <v>42.573999999999998</v>
      </c>
      <c r="N214">
        <v>0.58699999999999997</v>
      </c>
      <c r="P214" s="1">
        <f t="shared" si="13"/>
        <v>11.826111111111111</v>
      </c>
      <c r="Q214" s="3">
        <f t="shared" si="14"/>
        <v>-1.9444444444456366E-2</v>
      </c>
      <c r="R214" s="3">
        <f t="shared" si="15"/>
        <v>-0.26583333333333314</v>
      </c>
      <c r="S214" s="3">
        <f t="shared" si="16"/>
        <v>-0.3064898989898992</v>
      </c>
    </row>
    <row r="215" spans="1:19" x14ac:dyDescent="0.25">
      <c r="A215" t="s">
        <v>16</v>
      </c>
      <c r="C215">
        <v>52.0493448</v>
      </c>
      <c r="D215">
        <v>-0.57338210000000001</v>
      </c>
      <c r="E215">
        <v>4</v>
      </c>
      <c r="F215">
        <v>4</v>
      </c>
      <c r="G215">
        <v>2022</v>
      </c>
      <c r="H215">
        <v>13</v>
      </c>
      <c r="I215">
        <v>55</v>
      </c>
      <c r="J215">
        <v>37.200000000000003</v>
      </c>
      <c r="K215">
        <v>44.33</v>
      </c>
      <c r="L215">
        <v>0</v>
      </c>
      <c r="M215">
        <v>42.649000000000001</v>
      </c>
      <c r="N215">
        <v>0.59799999999999998</v>
      </c>
      <c r="P215" s="1">
        <f t="shared" si="13"/>
        <v>11.846944444444444</v>
      </c>
      <c r="Q215" s="3">
        <f t="shared" si="14"/>
        <v>0.20833333333333925</v>
      </c>
      <c r="R215" s="3">
        <f t="shared" si="15"/>
        <v>-0.12583333333333258</v>
      </c>
      <c r="S215" s="3">
        <f t="shared" si="16"/>
        <v>-0.33121212121212129</v>
      </c>
    </row>
    <row r="216" spans="1:19" x14ac:dyDescent="0.25">
      <c r="A216" t="s">
        <v>16</v>
      </c>
      <c r="C216">
        <v>52.049355599999998</v>
      </c>
      <c r="D216">
        <v>-0.57338140000000004</v>
      </c>
      <c r="E216">
        <v>4</v>
      </c>
      <c r="F216">
        <v>4</v>
      </c>
      <c r="G216">
        <v>2022</v>
      </c>
      <c r="H216">
        <v>13</v>
      </c>
      <c r="I216">
        <v>55</v>
      </c>
      <c r="J216">
        <v>37.299999999999997</v>
      </c>
      <c r="K216">
        <v>44.32</v>
      </c>
      <c r="L216">
        <v>0</v>
      </c>
      <c r="M216">
        <v>43.024000000000001</v>
      </c>
      <c r="N216">
        <v>0.61599999999999999</v>
      </c>
      <c r="P216" s="1">
        <f t="shared" si="13"/>
        <v>11.951111111111111</v>
      </c>
      <c r="Q216" s="3">
        <f t="shared" si="14"/>
        <v>1.0416666666666607</v>
      </c>
      <c r="R216" s="3">
        <f t="shared" si="15"/>
        <v>-0.28416666666666757</v>
      </c>
      <c r="S216" s="3">
        <f t="shared" si="16"/>
        <v>-0.37366161616161636</v>
      </c>
    </row>
    <row r="217" spans="1:19" x14ac:dyDescent="0.25">
      <c r="A217" t="s">
        <v>16</v>
      </c>
      <c r="C217">
        <v>52.049365899999998</v>
      </c>
      <c r="D217">
        <v>-0.57338040000000001</v>
      </c>
      <c r="E217">
        <v>4</v>
      </c>
      <c r="F217">
        <v>4</v>
      </c>
      <c r="G217">
        <v>2022</v>
      </c>
      <c r="H217">
        <v>13</v>
      </c>
      <c r="I217">
        <v>55</v>
      </c>
      <c r="J217">
        <v>37.4</v>
      </c>
      <c r="K217">
        <v>44.26</v>
      </c>
      <c r="L217">
        <v>0</v>
      </c>
      <c r="M217">
        <v>42.509</v>
      </c>
      <c r="N217">
        <v>0.63700000000000001</v>
      </c>
      <c r="P217" s="1">
        <f t="shared" si="13"/>
        <v>11.808055555555555</v>
      </c>
      <c r="Q217" s="3">
        <f t="shared" si="14"/>
        <v>-1.4305555555555571</v>
      </c>
      <c r="R217" s="3">
        <f t="shared" si="15"/>
        <v>-0.4591666666666665</v>
      </c>
      <c r="S217" s="3">
        <f t="shared" si="16"/>
        <v>-0.42404040404040411</v>
      </c>
    </row>
    <row r="218" spans="1:19" x14ac:dyDescent="0.25">
      <c r="A218" t="s">
        <v>16</v>
      </c>
      <c r="C218">
        <v>52.049376199999998</v>
      </c>
      <c r="D218">
        <v>-0.57337879999999997</v>
      </c>
      <c r="E218">
        <v>4</v>
      </c>
      <c r="F218">
        <v>4</v>
      </c>
      <c r="G218">
        <v>2022</v>
      </c>
      <c r="H218">
        <v>13</v>
      </c>
      <c r="I218">
        <v>55</v>
      </c>
      <c r="J218">
        <v>37.5</v>
      </c>
      <c r="K218">
        <v>44.24</v>
      </c>
      <c r="L218">
        <v>0</v>
      </c>
      <c r="M218">
        <v>42.17</v>
      </c>
      <c r="N218">
        <v>0.63400000000000001</v>
      </c>
      <c r="P218" s="1">
        <f t="shared" si="13"/>
        <v>11.713888888888889</v>
      </c>
      <c r="Q218" s="3">
        <f t="shared" si="14"/>
        <v>-0.94166666666666288</v>
      </c>
      <c r="R218" s="3">
        <f t="shared" si="15"/>
        <v>-0.53111111111111242</v>
      </c>
      <c r="S218" s="3">
        <f t="shared" si="16"/>
        <v>-0.46830808080808078</v>
      </c>
    </row>
    <row r="219" spans="1:19" x14ac:dyDescent="0.25">
      <c r="A219" t="s">
        <v>16</v>
      </c>
      <c r="C219">
        <v>52.049386599999998</v>
      </c>
      <c r="D219">
        <v>-0.57337709999999997</v>
      </c>
      <c r="E219">
        <v>4</v>
      </c>
      <c r="F219">
        <v>4</v>
      </c>
      <c r="G219">
        <v>2022</v>
      </c>
      <c r="H219">
        <v>13</v>
      </c>
      <c r="I219">
        <v>55</v>
      </c>
      <c r="J219">
        <v>37.6</v>
      </c>
      <c r="K219">
        <v>44.2</v>
      </c>
      <c r="L219">
        <v>0</v>
      </c>
      <c r="M219">
        <v>42.268000000000001</v>
      </c>
      <c r="N219">
        <v>0.61599999999999999</v>
      </c>
      <c r="P219" s="1">
        <f t="shared" si="13"/>
        <v>11.741111111111111</v>
      </c>
      <c r="Q219" s="3">
        <f t="shared" si="14"/>
        <v>0.27222222222222925</v>
      </c>
      <c r="R219" s="3">
        <f t="shared" si="15"/>
        <v>-0.53805555555555529</v>
      </c>
      <c r="S219" s="3">
        <f t="shared" si="16"/>
        <v>-0.49638888888888888</v>
      </c>
    </row>
    <row r="220" spans="1:19" x14ac:dyDescent="0.25">
      <c r="A220" t="s">
        <v>16</v>
      </c>
      <c r="C220">
        <v>52.049396899999998</v>
      </c>
      <c r="D220">
        <v>-0.57337490000000002</v>
      </c>
      <c r="E220">
        <v>4</v>
      </c>
      <c r="F220">
        <v>4</v>
      </c>
      <c r="G220">
        <v>2022</v>
      </c>
      <c r="H220">
        <v>13</v>
      </c>
      <c r="I220">
        <v>55</v>
      </c>
      <c r="J220">
        <v>37.700000000000003</v>
      </c>
      <c r="K220">
        <v>44.12</v>
      </c>
      <c r="L220">
        <v>0</v>
      </c>
      <c r="M220">
        <v>42.454999999999998</v>
      </c>
      <c r="N220">
        <v>0.623</v>
      </c>
      <c r="P220" s="1">
        <f t="shared" si="13"/>
        <v>11.793055555555556</v>
      </c>
      <c r="Q220" s="3">
        <f t="shared" si="14"/>
        <v>0.51944444444444571</v>
      </c>
      <c r="R220" s="3">
        <f t="shared" si="15"/>
        <v>-0.70388888888888879</v>
      </c>
      <c r="S220" s="3">
        <f t="shared" si="16"/>
        <v>-0.54012626262626273</v>
      </c>
    </row>
    <row r="221" spans="1:19" x14ac:dyDescent="0.25">
      <c r="A221" t="s">
        <v>16</v>
      </c>
      <c r="C221">
        <v>52.049407199999997</v>
      </c>
      <c r="D221">
        <v>-0.57337260000000001</v>
      </c>
      <c r="E221">
        <v>4</v>
      </c>
      <c r="F221">
        <v>4</v>
      </c>
      <c r="G221">
        <v>2022</v>
      </c>
      <c r="H221">
        <v>13</v>
      </c>
      <c r="I221">
        <v>55</v>
      </c>
      <c r="J221">
        <v>37.799999999999997</v>
      </c>
      <c r="K221">
        <v>44.1</v>
      </c>
      <c r="L221">
        <v>0</v>
      </c>
      <c r="M221">
        <v>41.954000000000001</v>
      </c>
      <c r="N221">
        <v>0.60799999999999998</v>
      </c>
      <c r="P221" s="1">
        <f t="shared" si="13"/>
        <v>11.653888888888888</v>
      </c>
      <c r="Q221" s="3">
        <f t="shared" si="14"/>
        <v>-1.3916666666666799</v>
      </c>
      <c r="R221" s="3">
        <f t="shared" si="15"/>
        <v>-0.84805555555555578</v>
      </c>
      <c r="S221" s="3">
        <f t="shared" si="16"/>
        <v>-0.59848484848484851</v>
      </c>
    </row>
    <row r="222" spans="1:19" x14ac:dyDescent="0.25">
      <c r="A222" t="s">
        <v>16</v>
      </c>
      <c r="C222">
        <v>52.049417300000002</v>
      </c>
      <c r="D222">
        <v>-0.57337009999999999</v>
      </c>
      <c r="E222">
        <v>4</v>
      </c>
      <c r="F222">
        <v>4</v>
      </c>
      <c r="G222">
        <v>2022</v>
      </c>
      <c r="H222">
        <v>13</v>
      </c>
      <c r="I222">
        <v>55</v>
      </c>
      <c r="J222">
        <v>37.9</v>
      </c>
      <c r="K222">
        <v>44.1</v>
      </c>
      <c r="L222">
        <v>0</v>
      </c>
      <c r="M222">
        <v>41.406999999999996</v>
      </c>
      <c r="N222">
        <v>0.58699999999999997</v>
      </c>
      <c r="P222" s="1">
        <f t="shared" si="13"/>
        <v>11.501944444444444</v>
      </c>
      <c r="Q222" s="3">
        <f t="shared" si="14"/>
        <v>-1.5194444444444422</v>
      </c>
      <c r="R222" s="3">
        <f t="shared" si="15"/>
        <v>-0.54111111111111043</v>
      </c>
      <c r="S222" s="3">
        <f t="shared" si="16"/>
        <v>-0.6357323232323232</v>
      </c>
    </row>
    <row r="223" spans="1:19" x14ac:dyDescent="0.25">
      <c r="A223" t="s">
        <v>16</v>
      </c>
      <c r="C223">
        <v>52.049427199999997</v>
      </c>
      <c r="D223">
        <v>-0.57336690000000001</v>
      </c>
      <c r="E223">
        <v>4</v>
      </c>
      <c r="F223">
        <v>4</v>
      </c>
      <c r="G223">
        <v>2022</v>
      </c>
      <c r="H223">
        <v>13</v>
      </c>
      <c r="I223">
        <v>55</v>
      </c>
      <c r="J223">
        <v>38</v>
      </c>
      <c r="K223">
        <v>44.11</v>
      </c>
      <c r="L223">
        <v>0</v>
      </c>
      <c r="M223">
        <v>40.668999999999997</v>
      </c>
      <c r="N223">
        <v>0.57999999999999996</v>
      </c>
      <c r="P223" s="1">
        <f t="shared" si="13"/>
        <v>11.296944444444444</v>
      </c>
      <c r="Q223" s="3">
        <f t="shared" si="14"/>
        <v>-2.0500000000000007</v>
      </c>
      <c r="R223" s="3">
        <f t="shared" si="15"/>
        <v>-0.51999999999999957</v>
      </c>
      <c r="S223" s="3">
        <f t="shared" si="16"/>
        <v>-0.64280303030303021</v>
      </c>
    </row>
    <row r="224" spans="1:19" x14ac:dyDescent="0.25">
      <c r="A224" t="s">
        <v>16</v>
      </c>
      <c r="C224">
        <v>52.0494372</v>
      </c>
      <c r="D224">
        <v>-0.57336319999999996</v>
      </c>
      <c r="E224">
        <v>4</v>
      </c>
      <c r="F224">
        <v>4</v>
      </c>
      <c r="G224">
        <v>2022</v>
      </c>
      <c r="H224">
        <v>13</v>
      </c>
      <c r="I224">
        <v>55</v>
      </c>
      <c r="J224">
        <v>38.1</v>
      </c>
      <c r="K224">
        <v>44.15</v>
      </c>
      <c r="L224">
        <v>0</v>
      </c>
      <c r="M224">
        <v>40.637</v>
      </c>
      <c r="N224">
        <v>0.60499999999999998</v>
      </c>
      <c r="P224" s="1">
        <f t="shared" si="13"/>
        <v>11.288055555555555</v>
      </c>
      <c r="Q224" s="3">
        <f t="shared" si="14"/>
        <v>-8.888888888888502E-2</v>
      </c>
      <c r="R224" s="3">
        <f t="shared" si="15"/>
        <v>-0.64305555555555571</v>
      </c>
      <c r="S224" s="3">
        <f t="shared" si="16"/>
        <v>-0.65861111111111093</v>
      </c>
    </row>
    <row r="225" spans="1:19" x14ac:dyDescent="0.25">
      <c r="A225" t="s">
        <v>16</v>
      </c>
      <c r="C225">
        <v>52.0494469</v>
      </c>
      <c r="D225">
        <v>-0.57335930000000002</v>
      </c>
      <c r="E225">
        <v>4</v>
      </c>
      <c r="F225">
        <v>4</v>
      </c>
      <c r="G225">
        <v>2022</v>
      </c>
      <c r="H225">
        <v>13</v>
      </c>
      <c r="I225">
        <v>55</v>
      </c>
      <c r="J225">
        <v>38.200000000000003</v>
      </c>
      <c r="K225">
        <v>44.15</v>
      </c>
      <c r="L225">
        <v>0</v>
      </c>
      <c r="M225">
        <v>40.115000000000002</v>
      </c>
      <c r="N225">
        <v>0.60499999999999998</v>
      </c>
      <c r="P225" s="1">
        <f t="shared" si="13"/>
        <v>11.143055555555556</v>
      </c>
      <c r="Q225" s="3">
        <f t="shared" si="14"/>
        <v>-1.4499999999999957</v>
      </c>
      <c r="R225" s="3">
        <f t="shared" si="15"/>
        <v>-0.74694444444444485</v>
      </c>
      <c r="S225" s="3">
        <f t="shared" si="16"/>
        <v>-0.66169191919191905</v>
      </c>
    </row>
    <row r="226" spans="1:19" x14ac:dyDescent="0.25">
      <c r="A226" t="s">
        <v>16</v>
      </c>
      <c r="C226">
        <v>52.049456900000003</v>
      </c>
      <c r="D226">
        <v>-0.5733549</v>
      </c>
      <c r="E226">
        <v>4</v>
      </c>
      <c r="F226">
        <v>4</v>
      </c>
      <c r="G226">
        <v>2022</v>
      </c>
      <c r="H226">
        <v>13</v>
      </c>
      <c r="I226">
        <v>55</v>
      </c>
      <c r="J226">
        <v>38.299999999999997</v>
      </c>
      <c r="K226">
        <v>44.24</v>
      </c>
      <c r="L226">
        <v>0</v>
      </c>
      <c r="M226">
        <v>39.970999999999997</v>
      </c>
      <c r="N226">
        <v>0.60099999999999998</v>
      </c>
      <c r="P226" s="1">
        <f t="shared" si="13"/>
        <v>11.103055555555555</v>
      </c>
      <c r="Q226" s="3">
        <f t="shared" si="14"/>
        <v>-0.40000000000000924</v>
      </c>
      <c r="R226" s="3">
        <f t="shared" si="15"/>
        <v>-0.767777777777777</v>
      </c>
      <c r="S226" s="3">
        <f t="shared" si="16"/>
        <v>-0.64398989898989878</v>
      </c>
    </row>
    <row r="227" spans="1:19" x14ac:dyDescent="0.25">
      <c r="A227" t="s">
        <v>16</v>
      </c>
      <c r="C227">
        <v>52.0494664</v>
      </c>
      <c r="D227">
        <v>-0.573349</v>
      </c>
      <c r="E227">
        <v>4</v>
      </c>
      <c r="F227">
        <v>4</v>
      </c>
      <c r="G227">
        <v>2022</v>
      </c>
      <c r="H227">
        <v>13</v>
      </c>
      <c r="I227">
        <v>55</v>
      </c>
      <c r="J227">
        <v>38.4</v>
      </c>
      <c r="K227">
        <v>44.23</v>
      </c>
      <c r="L227">
        <v>0</v>
      </c>
      <c r="M227">
        <v>40.561</v>
      </c>
      <c r="N227">
        <v>0.59399999999999997</v>
      </c>
      <c r="P227" s="1">
        <f t="shared" si="13"/>
        <v>11.266944444444444</v>
      </c>
      <c r="Q227" s="3">
        <f t="shared" si="14"/>
        <v>1.6388888888888964</v>
      </c>
      <c r="R227" s="3">
        <f t="shared" si="15"/>
        <v>-0.693888888888889</v>
      </c>
      <c r="S227" s="3">
        <f t="shared" si="16"/>
        <v>-0.64343434343434314</v>
      </c>
    </row>
    <row r="228" spans="1:19" x14ac:dyDescent="0.25">
      <c r="A228" t="s">
        <v>16</v>
      </c>
      <c r="C228">
        <v>52.049475800000003</v>
      </c>
      <c r="D228">
        <v>-0.57334339999999995</v>
      </c>
      <c r="E228">
        <v>4</v>
      </c>
      <c r="F228">
        <v>4</v>
      </c>
      <c r="G228">
        <v>2022</v>
      </c>
      <c r="H228">
        <v>13</v>
      </c>
      <c r="I228">
        <v>55</v>
      </c>
      <c r="J228">
        <v>38.5</v>
      </c>
      <c r="K228">
        <v>44.22</v>
      </c>
      <c r="L228">
        <v>0</v>
      </c>
      <c r="M228">
        <v>40.298000000000002</v>
      </c>
      <c r="N228">
        <v>0.60499999999999998</v>
      </c>
      <c r="P228" s="1">
        <f t="shared" si="13"/>
        <v>11.193888888888889</v>
      </c>
      <c r="Q228" s="3">
        <f t="shared" si="14"/>
        <v>-0.73055555555555429</v>
      </c>
      <c r="R228" s="3">
        <f t="shared" si="15"/>
        <v>-0.536944444444444</v>
      </c>
      <c r="S228" s="3">
        <f t="shared" si="16"/>
        <v>-0.65260101010100979</v>
      </c>
    </row>
    <row r="229" spans="1:19" x14ac:dyDescent="0.25">
      <c r="A229" t="s">
        <v>16</v>
      </c>
      <c r="C229">
        <v>52.049484999999997</v>
      </c>
      <c r="D229">
        <v>-0.57333780000000001</v>
      </c>
      <c r="E229">
        <v>4</v>
      </c>
      <c r="F229">
        <v>4</v>
      </c>
      <c r="G229">
        <v>2022</v>
      </c>
      <c r="H229">
        <v>13</v>
      </c>
      <c r="I229">
        <v>55</v>
      </c>
      <c r="J229">
        <v>38.6</v>
      </c>
      <c r="K229">
        <v>44.21</v>
      </c>
      <c r="L229">
        <v>0</v>
      </c>
      <c r="M229">
        <v>39.953000000000003</v>
      </c>
      <c r="N229">
        <v>0.60799999999999998</v>
      </c>
      <c r="P229" s="1">
        <f t="shared" si="13"/>
        <v>11.098055555555556</v>
      </c>
      <c r="Q229" s="3">
        <f t="shared" si="14"/>
        <v>-0.95833333333333215</v>
      </c>
      <c r="R229" s="3">
        <f t="shared" si="15"/>
        <v>-0.70500000000000007</v>
      </c>
      <c r="S229" s="3">
        <f t="shared" si="16"/>
        <v>-0.65525252525252498</v>
      </c>
    </row>
    <row r="230" spans="1:19" x14ac:dyDescent="0.25">
      <c r="A230" t="s">
        <v>16</v>
      </c>
      <c r="C230">
        <v>52.049494199999998</v>
      </c>
      <c r="D230">
        <v>-0.57333149999999999</v>
      </c>
      <c r="E230">
        <v>4</v>
      </c>
      <c r="F230">
        <v>4</v>
      </c>
      <c r="G230">
        <v>2022</v>
      </c>
      <c r="H230">
        <v>13</v>
      </c>
      <c r="I230">
        <v>55</v>
      </c>
      <c r="J230">
        <v>38.700000000000003</v>
      </c>
      <c r="K230">
        <v>44.23</v>
      </c>
      <c r="L230">
        <v>0</v>
      </c>
      <c r="M230">
        <v>39.765999999999998</v>
      </c>
      <c r="N230">
        <v>0.59</v>
      </c>
      <c r="P230" s="1">
        <f t="shared" si="13"/>
        <v>11.046111111111111</v>
      </c>
      <c r="Q230" s="3">
        <f t="shared" si="14"/>
        <v>-0.51944444444444571</v>
      </c>
      <c r="R230" s="3">
        <f t="shared" si="15"/>
        <v>-0.57194444444444414</v>
      </c>
      <c r="S230" s="3">
        <f t="shared" si="16"/>
        <v>-0.64881313131313112</v>
      </c>
    </row>
    <row r="231" spans="1:19" x14ac:dyDescent="0.25">
      <c r="A231" t="s">
        <v>16</v>
      </c>
      <c r="C231">
        <v>52.049502799999999</v>
      </c>
      <c r="D231">
        <v>-0.57332479999999997</v>
      </c>
      <c r="E231">
        <v>4</v>
      </c>
      <c r="F231">
        <v>4</v>
      </c>
      <c r="G231">
        <v>2022</v>
      </c>
      <c r="H231">
        <v>13</v>
      </c>
      <c r="I231">
        <v>55</v>
      </c>
      <c r="J231">
        <v>38.799999999999997</v>
      </c>
      <c r="K231">
        <v>44.18</v>
      </c>
      <c r="L231">
        <v>0</v>
      </c>
      <c r="M231">
        <v>39.19</v>
      </c>
      <c r="N231">
        <v>0.57199999999999995</v>
      </c>
      <c r="P231" s="1">
        <f t="shared" si="13"/>
        <v>10.886111111111111</v>
      </c>
      <c r="Q231" s="3">
        <f t="shared" si="14"/>
        <v>-1.6000000000000014</v>
      </c>
      <c r="R231" s="3">
        <f t="shared" si="15"/>
        <v>-0.50916666666666544</v>
      </c>
      <c r="S231" s="3">
        <f t="shared" si="16"/>
        <v>-0.61845959595959565</v>
      </c>
    </row>
    <row r="232" spans="1:19" x14ac:dyDescent="0.25">
      <c r="A232" t="s">
        <v>16</v>
      </c>
      <c r="C232">
        <v>52.049511699999996</v>
      </c>
      <c r="D232">
        <v>-0.57331799999999999</v>
      </c>
      <c r="E232">
        <v>4</v>
      </c>
      <c r="F232">
        <v>4</v>
      </c>
      <c r="G232">
        <v>2022</v>
      </c>
      <c r="H232">
        <v>13</v>
      </c>
      <c r="I232">
        <v>55</v>
      </c>
      <c r="J232">
        <v>38.9</v>
      </c>
      <c r="K232">
        <v>44.2</v>
      </c>
      <c r="L232">
        <v>0</v>
      </c>
      <c r="M232">
        <v>38.908999999999999</v>
      </c>
      <c r="N232">
        <v>0.56899999999999995</v>
      </c>
      <c r="P232" s="1">
        <f t="shared" si="13"/>
        <v>10.808055555555555</v>
      </c>
      <c r="Q232" s="3">
        <f t="shared" si="14"/>
        <v>-0.78055555555556211</v>
      </c>
      <c r="R232" s="3">
        <f t="shared" si="15"/>
        <v>-0.84194444444444372</v>
      </c>
      <c r="S232" s="3">
        <f t="shared" si="16"/>
        <v>-0.58729797979797949</v>
      </c>
    </row>
    <row r="233" spans="1:19" x14ac:dyDescent="0.25">
      <c r="A233" t="s">
        <v>16</v>
      </c>
      <c r="C233">
        <v>52.049520100000002</v>
      </c>
      <c r="D233">
        <v>-0.5733104</v>
      </c>
      <c r="E233">
        <v>4</v>
      </c>
      <c r="F233">
        <v>4</v>
      </c>
      <c r="G233">
        <v>2022</v>
      </c>
      <c r="H233">
        <v>13</v>
      </c>
      <c r="I233">
        <v>55</v>
      </c>
      <c r="J233">
        <v>39</v>
      </c>
      <c r="K233">
        <v>44.2</v>
      </c>
      <c r="L233">
        <v>0</v>
      </c>
      <c r="M233">
        <v>38.735999999999997</v>
      </c>
      <c r="N233">
        <v>0.57599999999999996</v>
      </c>
      <c r="P233" s="1">
        <f t="shared" si="13"/>
        <v>10.76</v>
      </c>
      <c r="Q233" s="3">
        <f t="shared" si="14"/>
        <v>-0.48055555555555074</v>
      </c>
      <c r="R233" s="3">
        <f t="shared" si="15"/>
        <v>-0.64194444444444443</v>
      </c>
      <c r="S233" s="3">
        <f t="shared" si="16"/>
        <v>-0.56704545454545408</v>
      </c>
    </row>
    <row r="234" spans="1:19" x14ac:dyDescent="0.25">
      <c r="A234" t="s">
        <v>16</v>
      </c>
      <c r="C234">
        <v>52.049528299999999</v>
      </c>
      <c r="D234">
        <v>-0.57330270000000005</v>
      </c>
      <c r="E234">
        <v>4</v>
      </c>
      <c r="F234">
        <v>4</v>
      </c>
      <c r="G234">
        <v>2022</v>
      </c>
      <c r="H234">
        <v>13</v>
      </c>
      <c r="I234">
        <v>55</v>
      </c>
      <c r="J234">
        <v>39.1</v>
      </c>
      <c r="K234">
        <v>44.2</v>
      </c>
      <c r="L234">
        <v>0</v>
      </c>
      <c r="M234">
        <v>38.098999999999997</v>
      </c>
      <c r="N234">
        <v>0.57599999999999996</v>
      </c>
      <c r="P234" s="1">
        <f t="shared" si="13"/>
        <v>10.583055555555555</v>
      </c>
      <c r="Q234" s="3">
        <f t="shared" si="14"/>
        <v>-1.7694444444444457</v>
      </c>
      <c r="R234" s="3">
        <f t="shared" si="15"/>
        <v>-0.54916666666666636</v>
      </c>
      <c r="S234" s="3">
        <f t="shared" si="16"/>
        <v>-0.53196969696969665</v>
      </c>
    </row>
    <row r="235" spans="1:19" x14ac:dyDescent="0.25">
      <c r="A235" t="s">
        <v>16</v>
      </c>
      <c r="C235">
        <v>52.049536400000001</v>
      </c>
      <c r="D235">
        <v>-0.57329450000000004</v>
      </c>
      <c r="E235">
        <v>4</v>
      </c>
      <c r="F235">
        <v>4</v>
      </c>
      <c r="G235">
        <v>2022</v>
      </c>
      <c r="H235">
        <v>13</v>
      </c>
      <c r="I235">
        <v>55</v>
      </c>
      <c r="J235">
        <v>39.200000000000003</v>
      </c>
      <c r="K235">
        <v>44.2</v>
      </c>
      <c r="L235">
        <v>0</v>
      </c>
      <c r="M235">
        <v>38.055999999999997</v>
      </c>
      <c r="N235">
        <v>0.57599999999999996</v>
      </c>
      <c r="P235" s="1">
        <f t="shared" si="13"/>
        <v>10.571111111111112</v>
      </c>
      <c r="Q235" s="3">
        <f t="shared" si="14"/>
        <v>-0.11944444444443647</v>
      </c>
      <c r="R235" s="3">
        <f t="shared" si="15"/>
        <v>-0.57222222222222285</v>
      </c>
      <c r="S235" s="3">
        <f t="shared" si="16"/>
        <v>-0.49242424242424204</v>
      </c>
    </row>
    <row r="236" spans="1:19" x14ac:dyDescent="0.25">
      <c r="A236" t="s">
        <v>16</v>
      </c>
      <c r="C236">
        <v>52.049544099999999</v>
      </c>
      <c r="D236">
        <v>-0.57328559999999995</v>
      </c>
      <c r="E236">
        <v>4</v>
      </c>
      <c r="F236">
        <v>4</v>
      </c>
      <c r="G236">
        <v>2022</v>
      </c>
      <c r="H236">
        <v>13</v>
      </c>
      <c r="I236">
        <v>55</v>
      </c>
      <c r="J236">
        <v>39.299999999999997</v>
      </c>
      <c r="K236">
        <v>44.18</v>
      </c>
      <c r="L236">
        <v>0</v>
      </c>
      <c r="M236">
        <v>38.137999999999998</v>
      </c>
      <c r="N236">
        <v>0.59399999999999997</v>
      </c>
      <c r="P236" s="1">
        <f t="shared" si="13"/>
        <v>10.593888888888889</v>
      </c>
      <c r="Q236" s="3">
        <f t="shared" si="14"/>
        <v>0.22777777777777786</v>
      </c>
      <c r="R236" s="3">
        <f t="shared" si="15"/>
        <v>-0.41305555555555529</v>
      </c>
      <c r="S236" s="3">
        <f t="shared" si="16"/>
        <v>-0.46522727272727238</v>
      </c>
    </row>
    <row r="237" spans="1:19" x14ac:dyDescent="0.25">
      <c r="A237" t="s">
        <v>16</v>
      </c>
      <c r="C237">
        <v>52.049551700000002</v>
      </c>
      <c r="D237">
        <v>-0.57327660000000003</v>
      </c>
      <c r="E237">
        <v>4</v>
      </c>
      <c r="F237">
        <v>4</v>
      </c>
      <c r="G237">
        <v>2022</v>
      </c>
      <c r="H237">
        <v>13</v>
      </c>
      <c r="I237">
        <v>55</v>
      </c>
      <c r="J237">
        <v>39.4</v>
      </c>
      <c r="K237">
        <v>44.2</v>
      </c>
      <c r="L237">
        <v>0</v>
      </c>
      <c r="M237">
        <v>37.53</v>
      </c>
      <c r="N237">
        <v>0.57599999999999996</v>
      </c>
      <c r="P237" s="1">
        <f t="shared" si="13"/>
        <v>10.425000000000001</v>
      </c>
      <c r="Q237" s="3">
        <f t="shared" si="14"/>
        <v>-1.6888888888888864</v>
      </c>
      <c r="R237" s="3">
        <f t="shared" si="15"/>
        <v>-0.42499999999999893</v>
      </c>
      <c r="S237" s="3">
        <f t="shared" si="16"/>
        <v>-0.42648989898989886</v>
      </c>
    </row>
    <row r="238" spans="1:19" x14ac:dyDescent="0.25">
      <c r="A238" t="s">
        <v>16</v>
      </c>
      <c r="C238">
        <v>52.049559100000003</v>
      </c>
      <c r="D238">
        <v>-0.57326699999999997</v>
      </c>
      <c r="E238">
        <v>4</v>
      </c>
      <c r="F238">
        <v>4</v>
      </c>
      <c r="G238">
        <v>2022</v>
      </c>
      <c r="H238">
        <v>13</v>
      </c>
      <c r="I238">
        <v>55</v>
      </c>
      <c r="J238">
        <v>39.5</v>
      </c>
      <c r="K238">
        <v>44.17</v>
      </c>
      <c r="L238">
        <v>0</v>
      </c>
      <c r="M238">
        <v>37.987000000000002</v>
      </c>
      <c r="N238">
        <v>0.57199999999999995</v>
      </c>
      <c r="P238" s="1">
        <f t="shared" si="13"/>
        <v>10.551944444444445</v>
      </c>
      <c r="Q238" s="3">
        <f t="shared" si="14"/>
        <v>1.2694444444444386</v>
      </c>
      <c r="R238" s="3">
        <f t="shared" si="15"/>
        <v>-0.47111111111111015</v>
      </c>
      <c r="S238" s="3">
        <f t="shared" si="16"/>
        <v>-0.38085858585858579</v>
      </c>
    </row>
    <row r="239" spans="1:19" x14ac:dyDescent="0.25">
      <c r="A239" t="s">
        <v>16</v>
      </c>
      <c r="C239">
        <v>52.049566200000001</v>
      </c>
      <c r="D239">
        <v>-0.57325669999999995</v>
      </c>
      <c r="E239">
        <v>4</v>
      </c>
      <c r="F239">
        <v>4</v>
      </c>
      <c r="G239">
        <v>2022</v>
      </c>
      <c r="H239">
        <v>13</v>
      </c>
      <c r="I239">
        <v>55</v>
      </c>
      <c r="J239">
        <v>39.6</v>
      </c>
      <c r="K239">
        <v>44.17</v>
      </c>
      <c r="L239">
        <v>0</v>
      </c>
      <c r="M239">
        <v>37.975999999999999</v>
      </c>
      <c r="N239">
        <v>0.57199999999999995</v>
      </c>
      <c r="P239" s="1">
        <f t="shared" si="13"/>
        <v>10.548888888888889</v>
      </c>
      <c r="Q239" s="3">
        <f t="shared" si="14"/>
        <v>-3.055555555555145E-2</v>
      </c>
      <c r="R239" s="3">
        <f t="shared" si="15"/>
        <v>-0.15111111111111164</v>
      </c>
      <c r="S239" s="3">
        <f t="shared" si="16"/>
        <v>-0.3470454545454546</v>
      </c>
    </row>
    <row r="240" spans="1:19" x14ac:dyDescent="0.25">
      <c r="A240" t="s">
        <v>16</v>
      </c>
      <c r="C240">
        <v>52.049572900000001</v>
      </c>
      <c r="D240">
        <v>-0.57324620000000004</v>
      </c>
      <c r="E240">
        <v>4</v>
      </c>
      <c r="F240">
        <v>4</v>
      </c>
      <c r="G240">
        <v>2022</v>
      </c>
      <c r="H240">
        <v>13</v>
      </c>
      <c r="I240">
        <v>55</v>
      </c>
      <c r="J240">
        <v>39.700000000000003</v>
      </c>
      <c r="K240">
        <v>44.15</v>
      </c>
      <c r="L240">
        <v>0</v>
      </c>
      <c r="M240">
        <v>37.706000000000003</v>
      </c>
      <c r="N240">
        <v>0.59</v>
      </c>
      <c r="P240" s="1">
        <f t="shared" si="13"/>
        <v>10.473888888888888</v>
      </c>
      <c r="Q240" s="3">
        <f t="shared" si="14"/>
        <v>-0.75000000000001066</v>
      </c>
      <c r="R240" s="3">
        <f t="shared" si="15"/>
        <v>-0.26999999999999957</v>
      </c>
      <c r="S240" s="3">
        <f t="shared" si="16"/>
        <v>-0.31820707070707077</v>
      </c>
    </row>
    <row r="241" spans="1:19" x14ac:dyDescent="0.25">
      <c r="A241" t="s">
        <v>16</v>
      </c>
      <c r="C241">
        <v>52.0495795</v>
      </c>
      <c r="D241">
        <v>-0.5732353</v>
      </c>
      <c r="E241">
        <v>4</v>
      </c>
      <c r="F241">
        <v>4</v>
      </c>
      <c r="G241">
        <v>2022</v>
      </c>
      <c r="H241">
        <v>13</v>
      </c>
      <c r="I241">
        <v>55</v>
      </c>
      <c r="J241">
        <v>39.799999999999997</v>
      </c>
      <c r="K241">
        <v>44.16</v>
      </c>
      <c r="L241">
        <v>0</v>
      </c>
      <c r="M241">
        <v>37.703000000000003</v>
      </c>
      <c r="N241">
        <v>0.59799999999999998</v>
      </c>
      <c r="P241" s="1">
        <f t="shared" si="13"/>
        <v>10.473055555555556</v>
      </c>
      <c r="Q241" s="3">
        <f t="shared" si="14"/>
        <v>-8.3333333333257542E-3</v>
      </c>
      <c r="R241" s="3">
        <f t="shared" si="15"/>
        <v>-0.27277777777777779</v>
      </c>
      <c r="S241" s="3">
        <f t="shared" si="16"/>
        <v>-0.29636363636363633</v>
      </c>
    </row>
    <row r="242" spans="1:19" x14ac:dyDescent="0.25">
      <c r="A242" t="s">
        <v>16</v>
      </c>
      <c r="C242">
        <v>52.0495856</v>
      </c>
      <c r="D242">
        <v>-0.57322410000000001</v>
      </c>
      <c r="E242">
        <v>4</v>
      </c>
      <c r="F242">
        <v>4</v>
      </c>
      <c r="G242">
        <v>2022</v>
      </c>
      <c r="H242">
        <v>13</v>
      </c>
      <c r="I242">
        <v>55</v>
      </c>
      <c r="J242">
        <v>39.9</v>
      </c>
      <c r="K242">
        <v>44.15</v>
      </c>
      <c r="L242">
        <v>0</v>
      </c>
      <c r="M242">
        <v>37.378999999999998</v>
      </c>
      <c r="N242">
        <v>0.57199999999999995</v>
      </c>
      <c r="P242" s="1">
        <f t="shared" si="13"/>
        <v>10.383055555555556</v>
      </c>
      <c r="Q242" s="3">
        <f t="shared" si="14"/>
        <v>-0.89999999999999858</v>
      </c>
      <c r="R242" s="3">
        <f t="shared" si="15"/>
        <v>-8.3055555555556992E-2</v>
      </c>
      <c r="S242" s="3">
        <f t="shared" si="16"/>
        <v>-0.28199494949494958</v>
      </c>
    </row>
    <row r="243" spans="1:19" x14ac:dyDescent="0.25">
      <c r="A243" t="s">
        <v>16</v>
      </c>
      <c r="C243">
        <v>52.049591399999997</v>
      </c>
      <c r="D243">
        <v>-0.57321279999999997</v>
      </c>
      <c r="E243">
        <v>4</v>
      </c>
      <c r="F243">
        <v>4</v>
      </c>
      <c r="G243">
        <v>2022</v>
      </c>
      <c r="H243">
        <v>13</v>
      </c>
      <c r="I243">
        <v>55</v>
      </c>
      <c r="J243">
        <v>40</v>
      </c>
      <c r="K243">
        <v>44.12</v>
      </c>
      <c r="L243">
        <v>0</v>
      </c>
      <c r="M243">
        <v>37.04</v>
      </c>
      <c r="N243">
        <v>0.56200000000000006</v>
      </c>
      <c r="P243" s="1">
        <f t="shared" si="13"/>
        <v>10.28888888888889</v>
      </c>
      <c r="Q243" s="3">
        <f t="shared" si="14"/>
        <v>-0.94166666666666288</v>
      </c>
      <c r="R243" s="3">
        <f t="shared" si="15"/>
        <v>-0.33999999999999986</v>
      </c>
      <c r="S243" s="3">
        <f t="shared" si="16"/>
        <v>-0.26262626262626282</v>
      </c>
    </row>
    <row r="244" spans="1:19" x14ac:dyDescent="0.25">
      <c r="A244" t="s">
        <v>16</v>
      </c>
      <c r="C244">
        <v>52.049597300000002</v>
      </c>
      <c r="D244">
        <v>-0.57320090000000001</v>
      </c>
      <c r="E244">
        <v>4</v>
      </c>
      <c r="F244">
        <v>4</v>
      </c>
      <c r="G244">
        <v>2022</v>
      </c>
      <c r="H244">
        <v>13</v>
      </c>
      <c r="I244">
        <v>55</v>
      </c>
      <c r="J244">
        <v>40.1</v>
      </c>
      <c r="K244">
        <v>44.12</v>
      </c>
      <c r="L244">
        <v>0</v>
      </c>
      <c r="M244">
        <v>37.555</v>
      </c>
      <c r="N244">
        <v>0.58299999999999996</v>
      </c>
      <c r="P244" s="1">
        <f t="shared" si="13"/>
        <v>10.431944444444444</v>
      </c>
      <c r="Q244" s="3">
        <f t="shared" si="14"/>
        <v>1.4305555555555394</v>
      </c>
      <c r="R244" s="3">
        <f t="shared" si="15"/>
        <v>-0.27000000000000135</v>
      </c>
      <c r="S244" s="3">
        <f t="shared" si="16"/>
        <v>-0.26924242424242451</v>
      </c>
    </row>
    <row r="245" spans="1:19" x14ac:dyDescent="0.25">
      <c r="A245" t="s">
        <v>16</v>
      </c>
      <c r="C245">
        <v>52.0496026</v>
      </c>
      <c r="D245">
        <v>-0.57318880000000005</v>
      </c>
      <c r="E245">
        <v>4</v>
      </c>
      <c r="F245">
        <v>4</v>
      </c>
      <c r="G245">
        <v>2022</v>
      </c>
      <c r="H245">
        <v>13</v>
      </c>
      <c r="I245">
        <v>55</v>
      </c>
      <c r="J245">
        <v>40.200000000000003</v>
      </c>
      <c r="K245">
        <v>44.11</v>
      </c>
      <c r="L245">
        <v>0</v>
      </c>
      <c r="M245">
        <v>37.084000000000003</v>
      </c>
      <c r="N245">
        <v>0.57599999999999996</v>
      </c>
      <c r="P245" s="1">
        <f t="shared" si="13"/>
        <v>10.301111111111112</v>
      </c>
      <c r="Q245" s="3">
        <f t="shared" si="14"/>
        <v>-1.3083333333333158</v>
      </c>
      <c r="R245" s="3">
        <f t="shared" si="15"/>
        <v>-0.23194444444444429</v>
      </c>
      <c r="S245" s="3">
        <f t="shared" si="16"/>
        <v>-0.28452020202020234</v>
      </c>
    </row>
    <row r="246" spans="1:19" x14ac:dyDescent="0.25">
      <c r="A246" t="s">
        <v>16</v>
      </c>
      <c r="C246">
        <v>52.049607600000002</v>
      </c>
      <c r="D246">
        <v>-0.57317629999999997</v>
      </c>
      <c r="E246">
        <v>4</v>
      </c>
      <c r="F246">
        <v>4</v>
      </c>
      <c r="G246">
        <v>2022</v>
      </c>
      <c r="H246">
        <v>13</v>
      </c>
      <c r="I246">
        <v>55</v>
      </c>
      <c r="J246">
        <v>40.299999999999997</v>
      </c>
      <c r="K246">
        <v>44.09</v>
      </c>
      <c r="L246">
        <v>0</v>
      </c>
      <c r="M246">
        <v>37.155999999999999</v>
      </c>
      <c r="N246">
        <v>0.58699999999999997</v>
      </c>
      <c r="P246" s="1">
        <f t="shared" si="13"/>
        <v>10.321111111111112</v>
      </c>
      <c r="Q246" s="3">
        <f t="shared" si="14"/>
        <v>0.19999999999999574</v>
      </c>
      <c r="R246" s="3">
        <f t="shared" si="15"/>
        <v>-0.33194444444444393</v>
      </c>
      <c r="S246" s="3">
        <f t="shared" si="16"/>
        <v>-0.32542929292929335</v>
      </c>
    </row>
    <row r="247" spans="1:19" x14ac:dyDescent="0.25">
      <c r="A247" t="s">
        <v>16</v>
      </c>
      <c r="C247">
        <v>52.049612000000003</v>
      </c>
      <c r="D247">
        <v>-0.57316350000000005</v>
      </c>
      <c r="E247">
        <v>4</v>
      </c>
      <c r="F247">
        <v>4</v>
      </c>
      <c r="G247">
        <v>2022</v>
      </c>
      <c r="H247">
        <v>13</v>
      </c>
      <c r="I247">
        <v>55</v>
      </c>
      <c r="J247">
        <v>40.4</v>
      </c>
      <c r="K247">
        <v>43.98</v>
      </c>
      <c r="L247">
        <v>0</v>
      </c>
      <c r="M247">
        <v>37.231000000000002</v>
      </c>
      <c r="N247">
        <v>0.58299999999999996</v>
      </c>
      <c r="P247" s="1">
        <f t="shared" si="13"/>
        <v>10.341944444444444</v>
      </c>
      <c r="Q247" s="3">
        <f t="shared" si="14"/>
        <v>0.20833333333332149</v>
      </c>
      <c r="R247" s="3">
        <f t="shared" si="15"/>
        <v>-0.25500000000000078</v>
      </c>
      <c r="S247" s="3">
        <f t="shared" si="16"/>
        <v>-0.37252525252525276</v>
      </c>
    </row>
    <row r="248" spans="1:19" x14ac:dyDescent="0.25">
      <c r="A248" t="s">
        <v>16</v>
      </c>
      <c r="C248">
        <v>52.049616700000001</v>
      </c>
      <c r="D248">
        <v>-0.57315090000000002</v>
      </c>
      <c r="E248">
        <v>4</v>
      </c>
      <c r="F248">
        <v>4</v>
      </c>
      <c r="G248">
        <v>2022</v>
      </c>
      <c r="H248">
        <v>13</v>
      </c>
      <c r="I248">
        <v>55</v>
      </c>
      <c r="J248">
        <v>40.5</v>
      </c>
      <c r="K248">
        <v>43.97</v>
      </c>
      <c r="L248">
        <v>0</v>
      </c>
      <c r="M248">
        <v>36.762999999999998</v>
      </c>
      <c r="N248">
        <v>0.57999999999999996</v>
      </c>
      <c r="P248" s="1">
        <f t="shared" si="13"/>
        <v>10.211944444444445</v>
      </c>
      <c r="Q248" s="3">
        <f t="shared" si="14"/>
        <v>-1.2999999999999901</v>
      </c>
      <c r="R248" s="3">
        <f t="shared" si="15"/>
        <v>-0.21194444444444471</v>
      </c>
      <c r="S248" s="3">
        <f t="shared" si="16"/>
        <v>-0.43441919191919209</v>
      </c>
    </row>
    <row r="249" spans="1:19" x14ac:dyDescent="0.25">
      <c r="A249" t="s">
        <v>16</v>
      </c>
      <c r="C249">
        <v>52.049620900000001</v>
      </c>
      <c r="D249">
        <v>-0.57313780000000003</v>
      </c>
      <c r="E249">
        <v>4</v>
      </c>
      <c r="F249">
        <v>4</v>
      </c>
      <c r="G249">
        <v>2022</v>
      </c>
      <c r="H249">
        <v>13</v>
      </c>
      <c r="I249">
        <v>55</v>
      </c>
      <c r="J249">
        <v>40.6</v>
      </c>
      <c r="K249">
        <v>43.92</v>
      </c>
      <c r="L249">
        <v>0</v>
      </c>
      <c r="M249">
        <v>37.003999999999998</v>
      </c>
      <c r="N249">
        <v>0.53300000000000003</v>
      </c>
      <c r="P249" s="1">
        <f t="shared" si="13"/>
        <v>10.278888888888888</v>
      </c>
      <c r="Q249" s="3">
        <f t="shared" si="14"/>
        <v>0.66944444444443363</v>
      </c>
      <c r="R249" s="3">
        <f t="shared" si="15"/>
        <v>-0.54388888888888864</v>
      </c>
      <c r="S249" s="3">
        <f t="shared" si="16"/>
        <v>-0.45732323232323241</v>
      </c>
    </row>
    <row r="250" spans="1:19" x14ac:dyDescent="0.25">
      <c r="A250" t="s">
        <v>16</v>
      </c>
      <c r="C250">
        <v>52.049624899999998</v>
      </c>
      <c r="D250">
        <v>-0.57312459999999998</v>
      </c>
      <c r="E250">
        <v>4</v>
      </c>
      <c r="F250">
        <v>4</v>
      </c>
      <c r="G250">
        <v>2022</v>
      </c>
      <c r="H250">
        <v>13</v>
      </c>
      <c r="I250">
        <v>55</v>
      </c>
      <c r="J250">
        <v>40.700000000000003</v>
      </c>
      <c r="K250">
        <v>43.84</v>
      </c>
      <c r="L250">
        <v>0</v>
      </c>
      <c r="M250">
        <v>36.871000000000002</v>
      </c>
      <c r="N250">
        <v>0.53300000000000003</v>
      </c>
      <c r="P250" s="1">
        <f t="shared" si="13"/>
        <v>10.241944444444444</v>
      </c>
      <c r="Q250" s="3">
        <f t="shared" si="14"/>
        <v>-0.36944444444444002</v>
      </c>
      <c r="R250" s="3">
        <f t="shared" si="15"/>
        <v>-0.31916666666666771</v>
      </c>
      <c r="S250" s="3">
        <f t="shared" si="16"/>
        <v>-0.50785353535353539</v>
      </c>
    </row>
    <row r="251" spans="1:19" x14ac:dyDescent="0.25">
      <c r="A251" t="s">
        <v>16</v>
      </c>
      <c r="C251">
        <v>52.0496287</v>
      </c>
      <c r="D251">
        <v>-0.57311140000000005</v>
      </c>
      <c r="E251">
        <v>4</v>
      </c>
      <c r="F251">
        <v>4</v>
      </c>
      <c r="G251">
        <v>2022</v>
      </c>
      <c r="H251">
        <v>13</v>
      </c>
      <c r="I251">
        <v>55</v>
      </c>
      <c r="J251">
        <v>40.799999999999997</v>
      </c>
      <c r="K251">
        <v>43.8</v>
      </c>
      <c r="L251">
        <v>0</v>
      </c>
      <c r="M251">
        <v>36.508000000000003</v>
      </c>
      <c r="N251">
        <v>0.52600000000000002</v>
      </c>
      <c r="P251" s="1">
        <f t="shared" si="13"/>
        <v>10.141111111111112</v>
      </c>
      <c r="Q251" s="3">
        <f t="shared" si="14"/>
        <v>-1.0083333333333222</v>
      </c>
      <c r="R251" s="3">
        <f t="shared" si="15"/>
        <v>-0.72000000000000064</v>
      </c>
      <c r="S251" s="3">
        <f t="shared" si="16"/>
        <v>-0.54977272727272741</v>
      </c>
    </row>
    <row r="252" spans="1:19" x14ac:dyDescent="0.25">
      <c r="A252" t="s">
        <v>16</v>
      </c>
      <c r="C252">
        <v>52.049631900000001</v>
      </c>
      <c r="D252">
        <v>-0.57309779999999999</v>
      </c>
      <c r="E252">
        <v>4</v>
      </c>
      <c r="F252">
        <v>4</v>
      </c>
      <c r="G252">
        <v>2022</v>
      </c>
      <c r="H252">
        <v>13</v>
      </c>
      <c r="I252">
        <v>55</v>
      </c>
      <c r="J252">
        <v>40.9</v>
      </c>
      <c r="K252">
        <v>43.75</v>
      </c>
      <c r="L252">
        <v>0</v>
      </c>
      <c r="M252">
        <v>36.460999999999999</v>
      </c>
      <c r="N252">
        <v>0.52200000000000002</v>
      </c>
      <c r="P252" s="1">
        <f t="shared" si="13"/>
        <v>10.128055555555555</v>
      </c>
      <c r="Q252" s="3">
        <f t="shared" si="14"/>
        <v>-0.13055555555556708</v>
      </c>
      <c r="R252" s="3">
        <f t="shared" si="15"/>
        <v>-0.79083333333333172</v>
      </c>
      <c r="S252" s="3">
        <f t="shared" si="16"/>
        <v>-0.59032828282828298</v>
      </c>
    </row>
    <row r="253" spans="1:19" x14ac:dyDescent="0.25">
      <c r="A253" t="s">
        <v>16</v>
      </c>
      <c r="C253">
        <v>52.049635100000003</v>
      </c>
      <c r="D253">
        <v>-0.57308429999999999</v>
      </c>
      <c r="E253">
        <v>4</v>
      </c>
      <c r="F253">
        <v>4</v>
      </c>
      <c r="G253">
        <v>2022</v>
      </c>
      <c r="H253">
        <v>13</v>
      </c>
      <c r="I253">
        <v>55</v>
      </c>
      <c r="J253">
        <v>41</v>
      </c>
      <c r="K253">
        <v>43.74</v>
      </c>
      <c r="L253">
        <v>0</v>
      </c>
      <c r="M253">
        <v>36.277000000000001</v>
      </c>
      <c r="N253">
        <v>0.51500000000000001</v>
      </c>
      <c r="P253" s="1">
        <f t="shared" si="13"/>
        <v>10.076944444444445</v>
      </c>
      <c r="Q253" s="3">
        <f t="shared" si="14"/>
        <v>-0.51111111111110219</v>
      </c>
      <c r="R253" s="3">
        <f t="shared" si="15"/>
        <v>-0.76388888888888928</v>
      </c>
      <c r="S253" s="3">
        <f t="shared" si="16"/>
        <v>-0.65060606060606074</v>
      </c>
    </row>
    <row r="254" spans="1:19" x14ac:dyDescent="0.25">
      <c r="A254" t="s">
        <v>16</v>
      </c>
      <c r="C254">
        <v>52.049638100000003</v>
      </c>
      <c r="D254">
        <v>-0.57307090000000005</v>
      </c>
      <c r="E254">
        <v>4</v>
      </c>
      <c r="F254">
        <v>4</v>
      </c>
      <c r="G254">
        <v>2022</v>
      </c>
      <c r="H254">
        <v>13</v>
      </c>
      <c r="I254">
        <v>55</v>
      </c>
      <c r="J254">
        <v>41.1</v>
      </c>
      <c r="K254">
        <v>43.75</v>
      </c>
      <c r="L254">
        <v>0</v>
      </c>
      <c r="M254">
        <v>35.597000000000001</v>
      </c>
      <c r="N254">
        <v>0.51100000000000001</v>
      </c>
      <c r="P254" s="1">
        <f t="shared" si="13"/>
        <v>9.8880555555555549</v>
      </c>
      <c r="Q254" s="3">
        <f t="shared" si="14"/>
        <v>-1.8888888888888999</v>
      </c>
      <c r="R254" s="3">
        <f t="shared" si="15"/>
        <v>-0.59194444444444372</v>
      </c>
      <c r="S254" s="3">
        <f t="shared" si="16"/>
        <v>-0.70724747474747474</v>
      </c>
    </row>
    <row r="255" spans="1:19" x14ac:dyDescent="0.25">
      <c r="A255" t="s">
        <v>16</v>
      </c>
      <c r="C255">
        <v>52.049641000000001</v>
      </c>
      <c r="D255">
        <v>-0.57305709999999999</v>
      </c>
      <c r="E255">
        <v>4</v>
      </c>
      <c r="F255">
        <v>4</v>
      </c>
      <c r="G255">
        <v>2022</v>
      </c>
      <c r="H255">
        <v>13</v>
      </c>
      <c r="I255">
        <v>55</v>
      </c>
      <c r="J255">
        <v>41.2</v>
      </c>
      <c r="K255">
        <v>43.75</v>
      </c>
      <c r="L255">
        <v>0</v>
      </c>
      <c r="M255">
        <v>35.935000000000002</v>
      </c>
      <c r="N255">
        <v>0.504</v>
      </c>
      <c r="P255" s="1">
        <f t="shared" si="13"/>
        <v>9.9819444444444443</v>
      </c>
      <c r="Q255" s="3">
        <f t="shared" si="14"/>
        <v>0.93888888888889355</v>
      </c>
      <c r="R255" s="3">
        <f t="shared" si="15"/>
        <v>-0.82583333333333364</v>
      </c>
      <c r="S255" s="3">
        <f t="shared" si="16"/>
        <v>-0.71787878787878789</v>
      </c>
    </row>
    <row r="256" spans="1:19" x14ac:dyDescent="0.25">
      <c r="A256" t="s">
        <v>16</v>
      </c>
      <c r="C256">
        <v>52.049643600000003</v>
      </c>
      <c r="D256">
        <v>-0.57304409999999995</v>
      </c>
      <c r="E256">
        <v>4</v>
      </c>
      <c r="F256">
        <v>4</v>
      </c>
      <c r="G256">
        <v>2022</v>
      </c>
      <c r="H256">
        <v>13</v>
      </c>
      <c r="I256">
        <v>55</v>
      </c>
      <c r="J256">
        <v>41.3</v>
      </c>
      <c r="K256">
        <v>43.77</v>
      </c>
      <c r="L256">
        <v>0</v>
      </c>
      <c r="M256">
        <v>34.564</v>
      </c>
      <c r="N256">
        <v>0.49</v>
      </c>
      <c r="P256" s="1">
        <f t="shared" si="13"/>
        <v>9.6011111111111109</v>
      </c>
      <c r="Q256" s="3">
        <f t="shared" si="14"/>
        <v>-3.8083333333333336</v>
      </c>
      <c r="R256" s="3">
        <f t="shared" si="15"/>
        <v>-0.69305555555555642</v>
      </c>
      <c r="S256" s="3">
        <f t="shared" si="16"/>
        <v>-0.75641414141414132</v>
      </c>
    </row>
    <row r="257" spans="1:19" x14ac:dyDescent="0.25">
      <c r="A257" t="s">
        <v>16</v>
      </c>
      <c r="C257">
        <v>52.049645699999999</v>
      </c>
      <c r="D257">
        <v>-0.5730307</v>
      </c>
      <c r="E257">
        <v>4</v>
      </c>
      <c r="F257">
        <v>4</v>
      </c>
      <c r="G257">
        <v>2022</v>
      </c>
      <c r="H257">
        <v>13</v>
      </c>
      <c r="I257">
        <v>55</v>
      </c>
      <c r="J257">
        <v>41.4</v>
      </c>
      <c r="K257">
        <v>43.75</v>
      </c>
      <c r="L257">
        <v>0</v>
      </c>
      <c r="M257">
        <v>34.384</v>
      </c>
      <c r="N257">
        <v>0.5</v>
      </c>
      <c r="P257" s="1">
        <f t="shared" si="13"/>
        <v>9.551111111111112</v>
      </c>
      <c r="Q257" s="3">
        <f t="shared" si="14"/>
        <v>-0.49999999999998934</v>
      </c>
      <c r="R257" s="3">
        <f t="shared" si="15"/>
        <v>-0.7780555555555555</v>
      </c>
      <c r="S257" s="3">
        <f t="shared" si="16"/>
        <v>-0.7556060606060605</v>
      </c>
    </row>
    <row r="258" spans="1:19" x14ac:dyDescent="0.25">
      <c r="A258" t="s">
        <v>16</v>
      </c>
      <c r="C258">
        <v>52.049647700000001</v>
      </c>
      <c r="D258">
        <v>-0.57301740000000001</v>
      </c>
      <c r="E258">
        <v>4</v>
      </c>
      <c r="F258">
        <v>4</v>
      </c>
      <c r="G258">
        <v>2022</v>
      </c>
      <c r="H258">
        <v>13</v>
      </c>
      <c r="I258">
        <v>55</v>
      </c>
      <c r="J258">
        <v>41.5</v>
      </c>
      <c r="K258">
        <v>43.76</v>
      </c>
      <c r="L258">
        <v>0</v>
      </c>
      <c r="M258">
        <v>34.012999999999998</v>
      </c>
      <c r="N258">
        <v>0.504</v>
      </c>
      <c r="P258" s="1">
        <f t="shared" si="13"/>
        <v>9.4480555555555554</v>
      </c>
      <c r="Q258" s="3">
        <f t="shared" si="14"/>
        <v>-1.0305555555555657</v>
      </c>
      <c r="R258" s="3">
        <f t="shared" si="15"/>
        <v>-0.91805555555555607</v>
      </c>
      <c r="S258" s="3">
        <f t="shared" si="16"/>
        <v>-0.71570707070707063</v>
      </c>
    </row>
    <row r="259" spans="1:19" x14ac:dyDescent="0.25">
      <c r="A259" t="s">
        <v>16</v>
      </c>
      <c r="C259">
        <v>52.049649600000002</v>
      </c>
      <c r="D259">
        <v>-0.57300359999999995</v>
      </c>
      <c r="E259">
        <v>4</v>
      </c>
      <c r="F259">
        <v>4</v>
      </c>
      <c r="G259">
        <v>2022</v>
      </c>
      <c r="H259">
        <v>13</v>
      </c>
      <c r="I259">
        <v>55</v>
      </c>
      <c r="J259">
        <v>41.6</v>
      </c>
      <c r="K259">
        <v>43.77</v>
      </c>
      <c r="L259">
        <v>0</v>
      </c>
      <c r="M259">
        <v>34.872999999999998</v>
      </c>
      <c r="N259">
        <v>0.50800000000000001</v>
      </c>
      <c r="P259" s="1">
        <f t="shared" ref="P259" si="17">M259*1000/3600</f>
        <v>9.6869444444444444</v>
      </c>
      <c r="Q259" s="3">
        <f t="shared" si="14"/>
        <v>2.3888888888888893</v>
      </c>
      <c r="R259" s="3">
        <f t="shared" si="15"/>
        <v>-0.83499999999999908</v>
      </c>
      <c r="S259" s="3">
        <f t="shared" si="16"/>
        <v>-0.69217171717171722</v>
      </c>
    </row>
    <row r="260" spans="1:19" x14ac:dyDescent="0.25">
      <c r="A260" t="s">
        <v>16</v>
      </c>
      <c r="C260">
        <v>52.049650999999997</v>
      </c>
      <c r="D260">
        <v>-0.57299020000000001</v>
      </c>
      <c r="E260">
        <v>4</v>
      </c>
      <c r="F260">
        <v>4</v>
      </c>
      <c r="G260">
        <v>2022</v>
      </c>
      <c r="H260">
        <v>13</v>
      </c>
      <c r="I260">
        <v>55</v>
      </c>
      <c r="J260">
        <v>41.7</v>
      </c>
      <c r="K260">
        <v>43.81</v>
      </c>
      <c r="L260">
        <v>0</v>
      </c>
      <c r="M260">
        <v>33.898000000000003</v>
      </c>
      <c r="N260">
        <v>0.504</v>
      </c>
      <c r="P260" s="1">
        <f t="shared" ref="P260:P270" si="18">M260*1000/3600</f>
        <v>9.4161111111111104</v>
      </c>
      <c r="Q260" s="3">
        <f t="shared" si="14"/>
        <v>-2.7083333333333393</v>
      </c>
      <c r="R260" s="3">
        <f t="shared" si="15"/>
        <v>-0.66083333333333272</v>
      </c>
      <c r="S260" s="3">
        <f t="shared" si="16"/>
        <v>-0.67800505050505044</v>
      </c>
    </row>
    <row r="261" spans="1:19" x14ac:dyDescent="0.25">
      <c r="A261" t="s">
        <v>16</v>
      </c>
      <c r="C261">
        <v>52.049652199999997</v>
      </c>
      <c r="D261">
        <v>-0.57297659999999995</v>
      </c>
      <c r="E261">
        <v>4</v>
      </c>
      <c r="F261">
        <v>4</v>
      </c>
      <c r="G261">
        <v>2022</v>
      </c>
      <c r="H261">
        <v>13</v>
      </c>
      <c r="I261">
        <v>55</v>
      </c>
      <c r="J261">
        <v>41.8</v>
      </c>
      <c r="K261">
        <v>43.81</v>
      </c>
      <c r="L261">
        <v>0</v>
      </c>
      <c r="M261">
        <v>34.012999999999998</v>
      </c>
      <c r="N261">
        <v>0.51100000000000001</v>
      </c>
      <c r="P261" s="1">
        <f t="shared" si="18"/>
        <v>9.4480555555555554</v>
      </c>
      <c r="Q261" s="3">
        <f t="shared" ref="Q261:Q324" si="19">10*($P261-$P260)</f>
        <v>0.31944444444444997</v>
      </c>
      <c r="R261" s="3">
        <f t="shared" si="15"/>
        <v>-0.74305555555555536</v>
      </c>
      <c r="S261" s="3">
        <f t="shared" si="16"/>
        <v>-0.68065656565656563</v>
      </c>
    </row>
    <row r="262" spans="1:19" x14ac:dyDescent="0.25">
      <c r="A262" t="s">
        <v>16</v>
      </c>
      <c r="C262">
        <v>52.049652999999999</v>
      </c>
      <c r="D262">
        <v>-0.57296309999999995</v>
      </c>
      <c r="E262">
        <v>4</v>
      </c>
      <c r="F262">
        <v>4</v>
      </c>
      <c r="G262">
        <v>2022</v>
      </c>
      <c r="H262">
        <v>13</v>
      </c>
      <c r="I262">
        <v>55</v>
      </c>
      <c r="J262">
        <v>41.9</v>
      </c>
      <c r="K262">
        <v>43.83</v>
      </c>
      <c r="L262">
        <v>0</v>
      </c>
      <c r="M262">
        <v>33.659999999999997</v>
      </c>
      <c r="N262">
        <v>0.51100000000000001</v>
      </c>
      <c r="P262" s="1">
        <f t="shared" si="18"/>
        <v>9.35</v>
      </c>
      <c r="Q262" s="3">
        <f t="shared" si="19"/>
        <v>-0.98055555555555785</v>
      </c>
      <c r="R262" s="3">
        <f t="shared" si="15"/>
        <v>-0.71111111111111214</v>
      </c>
      <c r="S262" s="3">
        <f t="shared" si="16"/>
        <v>-0.73320707070707059</v>
      </c>
    </row>
    <row r="263" spans="1:19" x14ac:dyDescent="0.25">
      <c r="A263" t="s">
        <v>16</v>
      </c>
      <c r="C263">
        <v>52.049653900000003</v>
      </c>
      <c r="D263">
        <v>-0.57294999999999996</v>
      </c>
      <c r="E263">
        <v>4</v>
      </c>
      <c r="F263">
        <v>4</v>
      </c>
      <c r="G263">
        <v>2022</v>
      </c>
      <c r="H263">
        <v>13</v>
      </c>
      <c r="I263">
        <v>55</v>
      </c>
      <c r="J263">
        <v>42</v>
      </c>
      <c r="K263">
        <v>43.86</v>
      </c>
      <c r="L263">
        <v>0</v>
      </c>
      <c r="M263">
        <v>32.972000000000001</v>
      </c>
      <c r="N263">
        <v>0.53300000000000003</v>
      </c>
      <c r="P263" s="1">
        <f t="shared" si="18"/>
        <v>9.1588888888888889</v>
      </c>
      <c r="Q263" s="3">
        <f t="shared" si="19"/>
        <v>-1.9111111111111079</v>
      </c>
      <c r="R263" s="3">
        <f t="shared" si="15"/>
        <v>-0.3519444444444435</v>
      </c>
      <c r="S263" s="3">
        <f t="shared" si="16"/>
        <v>-0.6584595959595958</v>
      </c>
    </row>
    <row r="264" spans="1:19" x14ac:dyDescent="0.25">
      <c r="A264" t="s">
        <v>16</v>
      </c>
      <c r="C264">
        <v>52.049654699999998</v>
      </c>
      <c r="D264">
        <v>-0.57293689999999997</v>
      </c>
      <c r="E264">
        <v>4</v>
      </c>
      <c r="F264">
        <v>4</v>
      </c>
      <c r="G264">
        <v>2022</v>
      </c>
      <c r="H264">
        <v>13</v>
      </c>
      <c r="I264">
        <v>55</v>
      </c>
      <c r="J264">
        <v>42.1</v>
      </c>
      <c r="K264">
        <v>43.85</v>
      </c>
      <c r="L264">
        <v>0</v>
      </c>
      <c r="M264">
        <v>32.591000000000001</v>
      </c>
      <c r="N264">
        <v>0.55800000000000005</v>
      </c>
      <c r="P264" s="1">
        <f t="shared" si="18"/>
        <v>9.0530555555555559</v>
      </c>
      <c r="Q264" s="3">
        <f t="shared" si="19"/>
        <v>-1.05833333333333</v>
      </c>
      <c r="R264" s="3">
        <f t="shared" si="15"/>
        <v>-0.50500000000000078</v>
      </c>
      <c r="S264" s="3">
        <f t="shared" si="16"/>
        <v>-0.56128787878787856</v>
      </c>
    </row>
    <row r="265" spans="1:19" x14ac:dyDescent="0.25">
      <c r="A265" t="s">
        <v>16</v>
      </c>
      <c r="C265">
        <v>52.0496549</v>
      </c>
      <c r="D265">
        <v>-0.57292319999999997</v>
      </c>
      <c r="E265">
        <v>4</v>
      </c>
      <c r="F265">
        <v>4</v>
      </c>
      <c r="G265">
        <v>2022</v>
      </c>
      <c r="H265">
        <v>13</v>
      </c>
      <c r="I265">
        <v>55</v>
      </c>
      <c r="J265">
        <v>42.2</v>
      </c>
      <c r="K265">
        <v>43.78</v>
      </c>
      <c r="L265">
        <v>0</v>
      </c>
      <c r="M265">
        <v>33.555999999999997</v>
      </c>
      <c r="N265">
        <v>0.53300000000000003</v>
      </c>
      <c r="P265" s="1">
        <f t="shared" si="18"/>
        <v>9.3211111111111116</v>
      </c>
      <c r="Q265" s="3">
        <f t="shared" si="19"/>
        <v>2.6805555555555571</v>
      </c>
      <c r="R265" s="3">
        <f t="shared" ref="R265:R328" si="20">($P270-$P260)</f>
        <v>-0.43611111111111001</v>
      </c>
      <c r="S265" s="3">
        <f t="shared" si="16"/>
        <v>-0.49512626262626258</v>
      </c>
    </row>
    <row r="266" spans="1:19" x14ac:dyDescent="0.25">
      <c r="A266" t="s">
        <v>16</v>
      </c>
      <c r="C266">
        <v>52.049654500000003</v>
      </c>
      <c r="D266">
        <v>-0.57291069999999999</v>
      </c>
      <c r="E266">
        <v>4</v>
      </c>
      <c r="F266">
        <v>4</v>
      </c>
      <c r="G266">
        <v>2022</v>
      </c>
      <c r="H266">
        <v>13</v>
      </c>
      <c r="I266">
        <v>55</v>
      </c>
      <c r="J266">
        <v>42.3</v>
      </c>
      <c r="K266">
        <v>43.85</v>
      </c>
      <c r="L266">
        <v>0</v>
      </c>
      <c r="M266">
        <v>31.888999999999999</v>
      </c>
      <c r="N266">
        <v>0.50800000000000001</v>
      </c>
      <c r="P266" s="1">
        <f t="shared" si="18"/>
        <v>8.8580555555555556</v>
      </c>
      <c r="Q266" s="3">
        <f t="shared" si="19"/>
        <v>-4.63055555555556</v>
      </c>
      <c r="R266" s="3">
        <f t="shared" si="20"/>
        <v>-0.85500000000000043</v>
      </c>
      <c r="S266" s="3">
        <f t="shared" si="16"/>
        <v>-0.45151515151515154</v>
      </c>
    </row>
    <row r="267" spans="1:19" x14ac:dyDescent="0.25">
      <c r="A267" t="s">
        <v>16</v>
      </c>
      <c r="C267">
        <v>52.049653800000002</v>
      </c>
      <c r="D267">
        <v>-0.57289800000000002</v>
      </c>
      <c r="E267">
        <v>4</v>
      </c>
      <c r="F267">
        <v>4</v>
      </c>
      <c r="G267">
        <v>2022</v>
      </c>
      <c r="H267">
        <v>13</v>
      </c>
      <c r="I267">
        <v>55</v>
      </c>
      <c r="J267">
        <v>42.4</v>
      </c>
      <c r="K267">
        <v>43.87</v>
      </c>
      <c r="L267">
        <v>0</v>
      </c>
      <c r="M267">
        <v>31.824000000000002</v>
      </c>
      <c r="N267">
        <v>0.50800000000000001</v>
      </c>
      <c r="P267" s="1">
        <f t="shared" si="18"/>
        <v>8.84</v>
      </c>
      <c r="Q267" s="3">
        <f t="shared" si="19"/>
        <v>-0.18055555555555713</v>
      </c>
      <c r="R267" s="3">
        <f t="shared" si="20"/>
        <v>-1.2711111111111109</v>
      </c>
      <c r="S267" s="3">
        <f t="shared" si="16"/>
        <v>-0.41159090909090906</v>
      </c>
    </row>
    <row r="268" spans="1:19" x14ac:dyDescent="0.25">
      <c r="A268" t="s">
        <v>16</v>
      </c>
      <c r="C268">
        <v>52.049652600000002</v>
      </c>
      <c r="D268">
        <v>-0.57288479999999997</v>
      </c>
      <c r="E268">
        <v>4</v>
      </c>
      <c r="F268">
        <v>4</v>
      </c>
      <c r="G268">
        <v>2022</v>
      </c>
      <c r="H268">
        <v>13</v>
      </c>
      <c r="I268">
        <v>55</v>
      </c>
      <c r="J268">
        <v>42.5</v>
      </c>
      <c r="K268">
        <v>43.86</v>
      </c>
      <c r="L268">
        <v>0</v>
      </c>
      <c r="M268">
        <v>32.746000000000002</v>
      </c>
      <c r="N268">
        <v>0.49299999999999999</v>
      </c>
      <c r="P268" s="1">
        <f t="shared" si="18"/>
        <v>9.0961111111111119</v>
      </c>
      <c r="Q268" s="3">
        <f t="shared" si="19"/>
        <v>2.5611111111111207</v>
      </c>
      <c r="R268" s="3">
        <f t="shared" si="20"/>
        <v>4.4166666666667354E-2</v>
      </c>
      <c r="S268" s="3">
        <f t="shared" si="16"/>
        <v>-0.39714646464646464</v>
      </c>
    </row>
    <row r="269" spans="1:19" x14ac:dyDescent="0.25">
      <c r="A269" t="s">
        <v>16</v>
      </c>
      <c r="C269">
        <v>52.049651099999998</v>
      </c>
      <c r="D269">
        <v>-0.57287160000000004</v>
      </c>
      <c r="E269">
        <v>4</v>
      </c>
      <c r="F269">
        <v>4</v>
      </c>
      <c r="G269">
        <v>2022</v>
      </c>
      <c r="H269">
        <v>13</v>
      </c>
      <c r="I269">
        <v>55</v>
      </c>
      <c r="J269">
        <v>42.6</v>
      </c>
      <c r="K269">
        <v>43.88</v>
      </c>
      <c r="L269">
        <v>0</v>
      </c>
      <c r="M269">
        <v>33.055</v>
      </c>
      <c r="N269">
        <v>0.50800000000000001</v>
      </c>
      <c r="P269" s="1">
        <f t="shared" si="18"/>
        <v>9.1819444444444436</v>
      </c>
      <c r="Q269" s="3">
        <f t="shared" si="19"/>
        <v>0.85833333333331652</v>
      </c>
      <c r="R269" s="3">
        <f t="shared" si="20"/>
        <v>0.15083333333333293</v>
      </c>
      <c r="S269" s="3">
        <f t="shared" si="16"/>
        <v>-0.40361111111111114</v>
      </c>
    </row>
    <row r="270" spans="1:19" x14ac:dyDescent="0.25">
      <c r="A270" t="s">
        <v>16</v>
      </c>
      <c r="C270">
        <v>52.049649299999999</v>
      </c>
      <c r="D270">
        <v>-0.57285909999999995</v>
      </c>
      <c r="E270">
        <v>4</v>
      </c>
      <c r="F270">
        <v>4</v>
      </c>
      <c r="G270">
        <v>2022</v>
      </c>
      <c r="H270">
        <v>13</v>
      </c>
      <c r="I270">
        <v>55</v>
      </c>
      <c r="J270">
        <v>42.7</v>
      </c>
      <c r="K270">
        <v>43.89</v>
      </c>
      <c r="L270">
        <v>0</v>
      </c>
      <c r="M270">
        <v>32.328000000000003</v>
      </c>
      <c r="N270">
        <v>0.51500000000000001</v>
      </c>
      <c r="P270" s="1">
        <f t="shared" si="18"/>
        <v>8.98</v>
      </c>
      <c r="Q270" s="3">
        <f t="shared" si="19"/>
        <v>-2.0194444444444315</v>
      </c>
      <c r="R270" s="3">
        <f t="shared" si="20"/>
        <v>-0.107222222222223</v>
      </c>
      <c r="S270" s="3">
        <f t="shared" si="16"/>
        <v>-0.36234848484848486</v>
      </c>
    </row>
    <row r="271" spans="1:19" x14ac:dyDescent="0.25">
      <c r="A271" t="s">
        <v>16</v>
      </c>
      <c r="C271">
        <v>52.049647100000001</v>
      </c>
      <c r="D271">
        <v>-0.5728472</v>
      </c>
      <c r="E271">
        <v>4</v>
      </c>
      <c r="F271">
        <v>4</v>
      </c>
      <c r="G271">
        <v>2022</v>
      </c>
      <c r="H271">
        <v>13</v>
      </c>
      <c r="I271">
        <v>55</v>
      </c>
      <c r="J271">
        <v>42.8</v>
      </c>
      <c r="K271">
        <v>43.83</v>
      </c>
      <c r="L271">
        <v>0</v>
      </c>
      <c r="M271">
        <v>30.934999999999999</v>
      </c>
      <c r="N271">
        <v>0.51800000000000002</v>
      </c>
      <c r="P271" s="1">
        <f>M271*1000/3600</f>
        <v>8.593055555555555</v>
      </c>
      <c r="Q271" s="3">
        <f t="shared" si="19"/>
        <v>-3.8694444444444542</v>
      </c>
      <c r="R271" s="3">
        <f t="shared" si="20"/>
        <v>-0.181111111111111</v>
      </c>
      <c r="S271" s="3">
        <f t="shared" si="16"/>
        <v>-0.30325757575757595</v>
      </c>
    </row>
    <row r="272" spans="1:19" x14ac:dyDescent="0.25">
      <c r="A272" t="s">
        <v>16</v>
      </c>
      <c r="C272">
        <v>52.049644899999997</v>
      </c>
      <c r="D272">
        <v>-0.57283640000000002</v>
      </c>
      <c r="E272">
        <v>4</v>
      </c>
      <c r="F272">
        <v>4</v>
      </c>
      <c r="G272">
        <v>2022</v>
      </c>
      <c r="H272">
        <v>13</v>
      </c>
      <c r="I272">
        <v>55</v>
      </c>
      <c r="J272">
        <v>42.9</v>
      </c>
      <c r="K272">
        <v>43.82</v>
      </c>
      <c r="L272">
        <v>0</v>
      </c>
      <c r="M272">
        <v>29.084</v>
      </c>
      <c r="N272">
        <v>0.54700000000000004</v>
      </c>
      <c r="P272" s="1">
        <f>M272*1000/3600</f>
        <v>8.0788888888888888</v>
      </c>
      <c r="Q272" s="3">
        <f t="shared" si="19"/>
        <v>-5.1416666666666622</v>
      </c>
      <c r="R272" s="3">
        <f t="shared" si="20"/>
        <v>-0.30388888888888843</v>
      </c>
      <c r="S272" s="3">
        <f t="shared" si="16"/>
        <v>-0.17032828282828288</v>
      </c>
    </row>
    <row r="273" spans="1:19" x14ac:dyDescent="0.25">
      <c r="A273" t="s">
        <v>16</v>
      </c>
      <c r="C273">
        <v>52.049642499999997</v>
      </c>
      <c r="D273">
        <v>-0.57282319999999998</v>
      </c>
      <c r="E273">
        <v>4</v>
      </c>
      <c r="F273">
        <v>4</v>
      </c>
      <c r="G273">
        <v>2022</v>
      </c>
      <c r="H273">
        <v>13</v>
      </c>
      <c r="I273">
        <v>55</v>
      </c>
      <c r="J273">
        <v>43</v>
      </c>
      <c r="K273">
        <v>43.94</v>
      </c>
      <c r="L273">
        <v>0</v>
      </c>
      <c r="M273">
        <v>33.131</v>
      </c>
      <c r="N273">
        <v>0.60099999999999998</v>
      </c>
      <c r="P273" s="1">
        <f>M273*1000/3600</f>
        <v>9.2030555555555562</v>
      </c>
      <c r="Q273" s="3">
        <f t="shared" si="19"/>
        <v>11.241666666666674</v>
      </c>
      <c r="R273" s="3">
        <f t="shared" si="20"/>
        <v>-0.55222222222222328</v>
      </c>
      <c r="S273" s="3">
        <f t="shared" si="16"/>
        <v>-8.5328282828283003E-2</v>
      </c>
    </row>
    <row r="274" spans="1:19" x14ac:dyDescent="0.25">
      <c r="A274" t="s">
        <v>16</v>
      </c>
      <c r="C274">
        <v>52.049640199999999</v>
      </c>
      <c r="D274">
        <v>-0.57281029999999999</v>
      </c>
      <c r="E274">
        <v>4</v>
      </c>
      <c r="F274">
        <v>4</v>
      </c>
      <c r="G274">
        <v>2022</v>
      </c>
      <c r="H274">
        <v>13</v>
      </c>
      <c r="I274">
        <v>55</v>
      </c>
      <c r="J274">
        <v>43.1</v>
      </c>
      <c r="K274">
        <v>43.96</v>
      </c>
      <c r="L274">
        <v>0</v>
      </c>
      <c r="M274">
        <v>33.134</v>
      </c>
      <c r="N274">
        <v>0.54700000000000004</v>
      </c>
      <c r="P274" s="1">
        <f t="shared" ref="P274:P337" si="21">M274*1000/3600</f>
        <v>9.2038888888888888</v>
      </c>
      <c r="Q274" s="3">
        <f t="shared" si="19"/>
        <v>8.3333333333257542E-3</v>
      </c>
      <c r="R274" s="3">
        <f t="shared" si="20"/>
        <v>-0.42305555555555507</v>
      </c>
      <c r="S274" s="3">
        <f t="shared" si="16"/>
        <v>-0.11169191919191929</v>
      </c>
    </row>
    <row r="275" spans="1:19" x14ac:dyDescent="0.25">
      <c r="A275" t="s">
        <v>16</v>
      </c>
      <c r="C275">
        <v>52.049637300000001</v>
      </c>
      <c r="D275">
        <v>-0.57279789999999997</v>
      </c>
      <c r="E275">
        <v>4</v>
      </c>
      <c r="F275">
        <v>4</v>
      </c>
      <c r="G275">
        <v>2022</v>
      </c>
      <c r="H275">
        <v>13</v>
      </c>
      <c r="I275">
        <v>55</v>
      </c>
      <c r="J275">
        <v>43.2</v>
      </c>
      <c r="K275">
        <v>44</v>
      </c>
      <c r="L275">
        <v>0</v>
      </c>
      <c r="M275">
        <v>33.17</v>
      </c>
      <c r="N275">
        <v>0.53600000000000003</v>
      </c>
      <c r="P275" s="1">
        <f t="shared" si="21"/>
        <v>9.2138888888888886</v>
      </c>
      <c r="Q275" s="3">
        <f t="shared" si="19"/>
        <v>9.9999999999997868E-2</v>
      </c>
      <c r="R275" s="3">
        <f t="shared" si="20"/>
        <v>-5.1111111111111995E-2</v>
      </c>
      <c r="S275" s="3">
        <f t="shared" ref="S275:S338" si="22">AVERAGE(R270:R280)</f>
        <v>-0.13858585858585845</v>
      </c>
    </row>
    <row r="276" spans="1:19" x14ac:dyDescent="0.25">
      <c r="A276" t="s">
        <v>16</v>
      </c>
      <c r="C276">
        <v>52.049633999999998</v>
      </c>
      <c r="D276">
        <v>-0.57278669999999998</v>
      </c>
      <c r="E276">
        <v>4</v>
      </c>
      <c r="F276">
        <v>4</v>
      </c>
      <c r="G276">
        <v>2022</v>
      </c>
      <c r="H276">
        <v>13</v>
      </c>
      <c r="I276">
        <v>55</v>
      </c>
      <c r="J276">
        <v>43.3</v>
      </c>
      <c r="K276">
        <v>43.96</v>
      </c>
      <c r="L276">
        <v>0</v>
      </c>
      <c r="M276">
        <v>31.236999999999998</v>
      </c>
      <c r="N276">
        <v>0.55100000000000005</v>
      </c>
      <c r="P276" s="1">
        <f t="shared" si="21"/>
        <v>8.6769444444444446</v>
      </c>
      <c r="Q276" s="3">
        <f t="shared" si="19"/>
        <v>-5.36944444444444</v>
      </c>
      <c r="R276" s="3">
        <f t="shared" si="20"/>
        <v>0.21388888888888857</v>
      </c>
      <c r="S276" s="3">
        <f t="shared" si="22"/>
        <v>-0.11729797979797964</v>
      </c>
    </row>
    <row r="277" spans="1:19" x14ac:dyDescent="0.25">
      <c r="A277" t="s">
        <v>16</v>
      </c>
      <c r="C277">
        <v>52.049630399999998</v>
      </c>
      <c r="D277">
        <v>-0.57277549999999999</v>
      </c>
      <c r="E277">
        <v>4</v>
      </c>
      <c r="F277">
        <v>4</v>
      </c>
      <c r="G277">
        <v>2022</v>
      </c>
      <c r="H277">
        <v>13</v>
      </c>
      <c r="I277">
        <v>55</v>
      </c>
      <c r="J277">
        <v>43.4</v>
      </c>
      <c r="K277">
        <v>43.88</v>
      </c>
      <c r="L277">
        <v>0</v>
      </c>
      <c r="M277">
        <v>30.73</v>
      </c>
      <c r="N277">
        <v>0.55800000000000005</v>
      </c>
      <c r="P277" s="1">
        <f t="shared" si="21"/>
        <v>8.5361111111111114</v>
      </c>
      <c r="Q277" s="3">
        <f t="shared" si="19"/>
        <v>-1.4083333333333314</v>
      </c>
      <c r="R277" s="3">
        <f t="shared" si="20"/>
        <v>0.607222222222223</v>
      </c>
      <c r="S277" s="3">
        <f t="shared" si="22"/>
        <v>-6.7020202020201841E-2</v>
      </c>
    </row>
    <row r="278" spans="1:19" x14ac:dyDescent="0.25">
      <c r="A278" t="s">
        <v>16</v>
      </c>
      <c r="C278">
        <v>52.0496269</v>
      </c>
      <c r="D278">
        <v>-0.5727641</v>
      </c>
      <c r="E278">
        <v>4</v>
      </c>
      <c r="F278">
        <v>4</v>
      </c>
      <c r="G278">
        <v>2022</v>
      </c>
      <c r="H278">
        <v>13</v>
      </c>
      <c r="I278">
        <v>55</v>
      </c>
      <c r="J278">
        <v>43.5</v>
      </c>
      <c r="K278">
        <v>43.77</v>
      </c>
      <c r="L278">
        <v>0</v>
      </c>
      <c r="M278">
        <v>30.757999999999999</v>
      </c>
      <c r="N278">
        <v>0.56899999999999995</v>
      </c>
      <c r="P278" s="1">
        <f t="shared" si="21"/>
        <v>8.5438888888888886</v>
      </c>
      <c r="Q278" s="3">
        <f t="shared" si="19"/>
        <v>7.7777777777772172E-2</v>
      </c>
      <c r="R278" s="3">
        <f t="shared" si="20"/>
        <v>-0.33611111111111214</v>
      </c>
      <c r="S278" s="3">
        <f t="shared" si="22"/>
        <v>-1.4646464646464514E-2</v>
      </c>
    </row>
    <row r="279" spans="1:19" x14ac:dyDescent="0.25">
      <c r="A279" t="s">
        <v>16</v>
      </c>
      <c r="C279">
        <v>52.0496227</v>
      </c>
      <c r="D279">
        <v>-0.5727527</v>
      </c>
      <c r="E279">
        <v>4</v>
      </c>
      <c r="F279">
        <v>4</v>
      </c>
      <c r="G279">
        <v>2022</v>
      </c>
      <c r="H279">
        <v>13</v>
      </c>
      <c r="I279">
        <v>55</v>
      </c>
      <c r="J279">
        <v>43.6</v>
      </c>
      <c r="K279">
        <v>43.63</v>
      </c>
      <c r="L279">
        <v>0</v>
      </c>
      <c r="M279">
        <v>31.532</v>
      </c>
      <c r="N279">
        <v>0.61599999999999999</v>
      </c>
      <c r="P279" s="1">
        <f t="shared" si="21"/>
        <v>8.7588888888888885</v>
      </c>
      <c r="Q279" s="3">
        <f t="shared" si="19"/>
        <v>2.1499999999999986</v>
      </c>
      <c r="R279" s="3">
        <f t="shared" si="20"/>
        <v>-0.24583333333333179</v>
      </c>
      <c r="S279" s="3">
        <f t="shared" si="22"/>
        <v>1.4747474747474953E-2</v>
      </c>
    </row>
    <row r="280" spans="1:19" x14ac:dyDescent="0.25">
      <c r="A280" t="s">
        <v>16</v>
      </c>
      <c r="C280">
        <v>52.049617599999998</v>
      </c>
      <c r="D280">
        <v>-0.57274210000000003</v>
      </c>
      <c r="E280">
        <v>4</v>
      </c>
      <c r="F280">
        <v>4</v>
      </c>
      <c r="G280">
        <v>2022</v>
      </c>
      <c r="H280">
        <v>13</v>
      </c>
      <c r="I280">
        <v>55</v>
      </c>
      <c r="J280">
        <v>43.7</v>
      </c>
      <c r="K280">
        <v>43.56</v>
      </c>
      <c r="L280">
        <v>0</v>
      </c>
      <c r="M280">
        <v>32.143999999999998</v>
      </c>
      <c r="N280">
        <v>0.50800000000000001</v>
      </c>
      <c r="P280" s="1">
        <f t="shared" si="21"/>
        <v>8.9288888888888884</v>
      </c>
      <c r="Q280" s="3">
        <f t="shared" si="19"/>
        <v>1.6999999999999993</v>
      </c>
      <c r="R280" s="3">
        <f t="shared" si="20"/>
        <v>-0.1449999999999978</v>
      </c>
      <c r="S280" s="3">
        <f t="shared" si="22"/>
        <v>3.030303030305119E-4</v>
      </c>
    </row>
    <row r="281" spans="1:19" x14ac:dyDescent="0.25">
      <c r="A281" t="s">
        <v>16</v>
      </c>
      <c r="C281">
        <v>52.049612699999997</v>
      </c>
      <c r="D281">
        <v>-0.57273160000000001</v>
      </c>
      <c r="E281">
        <v>4</v>
      </c>
      <c r="F281">
        <v>4</v>
      </c>
      <c r="G281">
        <v>2022</v>
      </c>
      <c r="H281">
        <v>13</v>
      </c>
      <c r="I281">
        <v>55</v>
      </c>
      <c r="J281">
        <v>43.8</v>
      </c>
      <c r="K281">
        <v>43.46</v>
      </c>
      <c r="L281">
        <v>0</v>
      </c>
      <c r="M281">
        <v>31.704999999999998</v>
      </c>
      <c r="N281">
        <v>0.50800000000000001</v>
      </c>
      <c r="P281" s="1">
        <f t="shared" si="21"/>
        <v>8.8069444444444436</v>
      </c>
      <c r="Q281" s="3">
        <f t="shared" si="19"/>
        <v>-1.2194444444444485</v>
      </c>
      <c r="R281" s="3">
        <f t="shared" si="20"/>
        <v>0.12694444444444386</v>
      </c>
      <c r="S281" s="3">
        <f t="shared" si="22"/>
        <v>-3.5404040404039966E-2</v>
      </c>
    </row>
    <row r="282" spans="1:19" x14ac:dyDescent="0.25">
      <c r="A282" t="s">
        <v>16</v>
      </c>
      <c r="C282">
        <v>52.049607799999997</v>
      </c>
      <c r="D282">
        <v>-0.57272199999999995</v>
      </c>
      <c r="E282">
        <v>4</v>
      </c>
      <c r="F282">
        <v>4</v>
      </c>
      <c r="G282">
        <v>2022</v>
      </c>
      <c r="H282">
        <v>13</v>
      </c>
      <c r="I282">
        <v>55</v>
      </c>
      <c r="J282">
        <v>43.9</v>
      </c>
      <c r="K282">
        <v>43.48</v>
      </c>
      <c r="L282">
        <v>0</v>
      </c>
      <c r="M282">
        <v>31.27</v>
      </c>
      <c r="N282">
        <v>0.51800000000000002</v>
      </c>
      <c r="P282" s="1">
        <f t="shared" si="21"/>
        <v>8.6861111111111118</v>
      </c>
      <c r="Q282" s="3">
        <f t="shared" si="19"/>
        <v>-1.2083333333333179</v>
      </c>
      <c r="R282" s="3">
        <f t="shared" si="20"/>
        <v>0.37194444444444485</v>
      </c>
      <c r="S282" s="3">
        <f t="shared" si="22"/>
        <v>-9.2777777777777418E-2</v>
      </c>
    </row>
    <row r="283" spans="1:19" x14ac:dyDescent="0.25">
      <c r="A283" t="s">
        <v>16</v>
      </c>
      <c r="C283">
        <v>52.049602499999999</v>
      </c>
      <c r="D283">
        <v>-0.57271249999999996</v>
      </c>
      <c r="E283">
        <v>4</v>
      </c>
      <c r="F283">
        <v>4</v>
      </c>
      <c r="G283">
        <v>2022</v>
      </c>
      <c r="H283">
        <v>13</v>
      </c>
      <c r="I283">
        <v>55</v>
      </c>
      <c r="J283">
        <v>44</v>
      </c>
      <c r="K283">
        <v>43.51</v>
      </c>
      <c r="L283">
        <v>0</v>
      </c>
      <c r="M283">
        <v>31.920999999999999</v>
      </c>
      <c r="N283">
        <v>0.52200000000000002</v>
      </c>
      <c r="P283" s="1">
        <f t="shared" si="21"/>
        <v>8.8669444444444441</v>
      </c>
      <c r="Q283" s="3">
        <f t="shared" si="19"/>
        <v>1.8083333333333229</v>
      </c>
      <c r="R283" s="3">
        <f t="shared" si="20"/>
        <v>0.27222222222222214</v>
      </c>
      <c r="S283" s="3">
        <f t="shared" si="22"/>
        <v>-0.20742424242424207</v>
      </c>
    </row>
    <row r="284" spans="1:19" x14ac:dyDescent="0.25">
      <c r="A284" t="s">
        <v>16</v>
      </c>
      <c r="C284">
        <v>52.0495971</v>
      </c>
      <c r="D284">
        <v>-0.57270310000000002</v>
      </c>
      <c r="E284">
        <v>4</v>
      </c>
      <c r="F284">
        <v>4</v>
      </c>
      <c r="G284">
        <v>2022</v>
      </c>
      <c r="H284">
        <v>13</v>
      </c>
      <c r="I284">
        <v>55</v>
      </c>
      <c r="J284">
        <v>44.1</v>
      </c>
      <c r="K284">
        <v>43.58</v>
      </c>
      <c r="L284">
        <v>0</v>
      </c>
      <c r="M284">
        <v>32.249000000000002</v>
      </c>
      <c r="N284">
        <v>0.54</v>
      </c>
      <c r="P284" s="1">
        <f t="shared" si="21"/>
        <v>8.958055555555557</v>
      </c>
      <c r="Q284" s="3">
        <f t="shared" si="19"/>
        <v>0.91111111111112919</v>
      </c>
      <c r="R284" s="3">
        <f t="shared" si="20"/>
        <v>-0.22888888888888914</v>
      </c>
      <c r="S284" s="3">
        <f t="shared" si="22"/>
        <v>-0.23169191919191884</v>
      </c>
    </row>
    <row r="285" spans="1:19" x14ac:dyDescent="0.25">
      <c r="A285" t="s">
        <v>16</v>
      </c>
      <c r="C285">
        <v>52.049591399999997</v>
      </c>
      <c r="D285">
        <v>-0.57269380000000003</v>
      </c>
      <c r="E285">
        <v>4</v>
      </c>
      <c r="F285">
        <v>4</v>
      </c>
      <c r="G285">
        <v>2022</v>
      </c>
      <c r="H285">
        <v>13</v>
      </c>
      <c r="I285">
        <v>55</v>
      </c>
      <c r="J285">
        <v>44.2</v>
      </c>
      <c r="K285">
        <v>43.63</v>
      </c>
      <c r="L285">
        <v>0</v>
      </c>
      <c r="M285">
        <v>32.648000000000003</v>
      </c>
      <c r="N285">
        <v>0.52600000000000002</v>
      </c>
      <c r="P285" s="1">
        <f t="shared" si="21"/>
        <v>9.0688888888888908</v>
      </c>
      <c r="Q285" s="3">
        <f t="shared" si="19"/>
        <v>1.1083333333333378</v>
      </c>
      <c r="R285" s="3">
        <f t="shared" si="20"/>
        <v>-0.58194444444444393</v>
      </c>
      <c r="S285" s="3">
        <f t="shared" si="22"/>
        <v>-0.27088383838383834</v>
      </c>
    </row>
    <row r="286" spans="1:19" x14ac:dyDescent="0.25">
      <c r="A286" t="s">
        <v>16</v>
      </c>
      <c r="C286">
        <v>52.049585899999997</v>
      </c>
      <c r="D286">
        <v>-0.57268520000000001</v>
      </c>
      <c r="E286">
        <v>4</v>
      </c>
      <c r="F286">
        <v>4</v>
      </c>
      <c r="G286">
        <v>2022</v>
      </c>
      <c r="H286">
        <v>13</v>
      </c>
      <c r="I286">
        <v>55</v>
      </c>
      <c r="J286">
        <v>44.3</v>
      </c>
      <c r="K286">
        <v>43.69</v>
      </c>
      <c r="L286">
        <v>0</v>
      </c>
      <c r="M286">
        <v>31.693999999999999</v>
      </c>
      <c r="N286">
        <v>0.46800000000000003</v>
      </c>
      <c r="P286" s="1">
        <f t="shared" si="21"/>
        <v>8.8038888888888884</v>
      </c>
      <c r="Q286" s="3">
        <f t="shared" si="19"/>
        <v>-2.6500000000000234</v>
      </c>
      <c r="R286" s="3">
        <f t="shared" si="20"/>
        <v>-0.44388888888888722</v>
      </c>
      <c r="S286" s="3">
        <f t="shared" si="22"/>
        <v>-0.29361111111111121</v>
      </c>
    </row>
    <row r="287" spans="1:19" x14ac:dyDescent="0.25">
      <c r="A287" t="s">
        <v>16</v>
      </c>
      <c r="C287">
        <v>52.0495801</v>
      </c>
      <c r="D287">
        <v>-0.57267659999999998</v>
      </c>
      <c r="E287">
        <v>4</v>
      </c>
      <c r="F287">
        <v>4</v>
      </c>
      <c r="G287">
        <v>2022</v>
      </c>
      <c r="H287">
        <v>13</v>
      </c>
      <c r="I287">
        <v>55</v>
      </c>
      <c r="J287">
        <v>44.4</v>
      </c>
      <c r="K287">
        <v>43.77</v>
      </c>
      <c r="L287">
        <v>0</v>
      </c>
      <c r="M287">
        <v>32.069000000000003</v>
      </c>
      <c r="N287">
        <v>0.48599999999999999</v>
      </c>
      <c r="P287" s="1">
        <f t="shared" si="21"/>
        <v>8.9080555555555563</v>
      </c>
      <c r="Q287" s="3">
        <f t="shared" si="19"/>
        <v>1.0416666666666785</v>
      </c>
      <c r="R287" s="3">
        <f t="shared" si="20"/>
        <v>-0.41722222222222349</v>
      </c>
      <c r="S287" s="3">
        <f t="shared" si="22"/>
        <v>-0.33189393939393952</v>
      </c>
    </row>
    <row r="288" spans="1:19" x14ac:dyDescent="0.25">
      <c r="A288" t="s">
        <v>16</v>
      </c>
      <c r="C288">
        <v>52.049574800000002</v>
      </c>
      <c r="D288">
        <v>-0.57266760000000005</v>
      </c>
      <c r="E288">
        <v>4</v>
      </c>
      <c r="F288">
        <v>4</v>
      </c>
      <c r="G288">
        <v>2022</v>
      </c>
      <c r="H288">
        <v>13</v>
      </c>
      <c r="I288">
        <v>55</v>
      </c>
      <c r="J288">
        <v>44.5</v>
      </c>
      <c r="K288">
        <v>43.86</v>
      </c>
      <c r="L288">
        <v>0</v>
      </c>
      <c r="M288">
        <v>31.738</v>
      </c>
      <c r="N288">
        <v>0.49</v>
      </c>
      <c r="P288" s="1">
        <f t="shared" si="21"/>
        <v>8.8161111111111108</v>
      </c>
      <c r="Q288" s="3">
        <f t="shared" si="19"/>
        <v>-0.91944444444445494</v>
      </c>
      <c r="R288" s="3">
        <f t="shared" si="20"/>
        <v>-0.65388888888888808</v>
      </c>
      <c r="S288" s="3">
        <f t="shared" si="22"/>
        <v>-0.32926767676767699</v>
      </c>
    </row>
    <row r="289" spans="1:19" x14ac:dyDescent="0.25">
      <c r="A289" t="s">
        <v>16</v>
      </c>
      <c r="C289">
        <v>52.049569400000003</v>
      </c>
      <c r="D289">
        <v>-0.57265900000000003</v>
      </c>
      <c r="E289">
        <v>4</v>
      </c>
      <c r="F289">
        <v>4</v>
      </c>
      <c r="G289">
        <v>2022</v>
      </c>
      <c r="H289">
        <v>13</v>
      </c>
      <c r="I289">
        <v>55</v>
      </c>
      <c r="J289">
        <v>44.6</v>
      </c>
      <c r="K289">
        <v>43.88</v>
      </c>
      <c r="L289">
        <v>0</v>
      </c>
      <c r="M289">
        <v>30.707999999999998</v>
      </c>
      <c r="N289">
        <v>0.49299999999999999</v>
      </c>
      <c r="P289" s="1">
        <f t="shared" si="21"/>
        <v>8.5299999999999994</v>
      </c>
      <c r="Q289" s="3">
        <f t="shared" si="19"/>
        <v>-2.8611111111111143</v>
      </c>
      <c r="R289" s="3">
        <f t="shared" si="20"/>
        <v>-0.60305555555555657</v>
      </c>
      <c r="S289" s="3">
        <f t="shared" si="22"/>
        <v>-0.30184343434343447</v>
      </c>
    </row>
    <row r="290" spans="1:19" x14ac:dyDescent="0.25">
      <c r="A290" t="s">
        <v>16</v>
      </c>
      <c r="C290">
        <v>52.049563999999997</v>
      </c>
      <c r="D290">
        <v>-0.57265069999999996</v>
      </c>
      <c r="E290">
        <v>4</v>
      </c>
      <c r="F290">
        <v>4</v>
      </c>
      <c r="G290">
        <v>2022</v>
      </c>
      <c r="H290">
        <v>13</v>
      </c>
      <c r="I290">
        <v>55</v>
      </c>
      <c r="J290">
        <v>44.7</v>
      </c>
      <c r="K290">
        <v>43.88</v>
      </c>
      <c r="L290">
        <v>0</v>
      </c>
      <c r="M290">
        <v>30.048999999999999</v>
      </c>
      <c r="N290">
        <v>0.49299999999999999</v>
      </c>
      <c r="P290" s="1">
        <f t="shared" si="21"/>
        <v>8.3469444444444445</v>
      </c>
      <c r="Q290" s="3">
        <f t="shared" si="19"/>
        <v>-1.8305555555555486</v>
      </c>
      <c r="R290" s="3">
        <f t="shared" si="20"/>
        <v>-0.67694444444444635</v>
      </c>
      <c r="S290" s="3">
        <f t="shared" si="22"/>
        <v>-0.25138888888888905</v>
      </c>
    </row>
    <row r="291" spans="1:19" x14ac:dyDescent="0.25">
      <c r="A291" t="s">
        <v>16</v>
      </c>
      <c r="C291">
        <v>52.049558300000001</v>
      </c>
      <c r="D291">
        <v>-0.5726424</v>
      </c>
      <c r="E291">
        <v>4</v>
      </c>
      <c r="F291">
        <v>4</v>
      </c>
      <c r="G291">
        <v>2022</v>
      </c>
      <c r="H291">
        <v>13</v>
      </c>
      <c r="I291">
        <v>55</v>
      </c>
      <c r="J291">
        <v>44.8</v>
      </c>
      <c r="K291">
        <v>43.86</v>
      </c>
      <c r="L291">
        <v>0</v>
      </c>
      <c r="M291">
        <v>30.106999999999999</v>
      </c>
      <c r="N291">
        <v>0.5</v>
      </c>
      <c r="P291" s="1">
        <f t="shared" si="21"/>
        <v>8.3630555555555564</v>
      </c>
      <c r="Q291" s="3">
        <f t="shared" si="19"/>
        <v>0.16111111111111853</v>
      </c>
      <c r="R291" s="3">
        <f t="shared" si="20"/>
        <v>-0.39499999999999957</v>
      </c>
      <c r="S291" s="3">
        <f t="shared" si="22"/>
        <v>-0.15931818181818211</v>
      </c>
    </row>
    <row r="292" spans="1:19" x14ac:dyDescent="0.25">
      <c r="A292" t="s">
        <v>16</v>
      </c>
      <c r="C292">
        <v>52.0495527</v>
      </c>
      <c r="D292">
        <v>-0.57263419999999998</v>
      </c>
      <c r="E292">
        <v>4</v>
      </c>
      <c r="F292">
        <v>4</v>
      </c>
      <c r="G292">
        <v>2022</v>
      </c>
      <c r="H292">
        <v>13</v>
      </c>
      <c r="I292">
        <v>55</v>
      </c>
      <c r="J292">
        <v>44.9</v>
      </c>
      <c r="K292">
        <v>43.84</v>
      </c>
      <c r="L292">
        <v>0</v>
      </c>
      <c r="M292">
        <v>29.768000000000001</v>
      </c>
      <c r="N292">
        <v>0.49</v>
      </c>
      <c r="P292" s="1">
        <f t="shared" si="21"/>
        <v>8.2688888888888883</v>
      </c>
      <c r="Q292" s="3">
        <f t="shared" si="19"/>
        <v>-0.94166666666668064</v>
      </c>
      <c r="R292" s="3">
        <f t="shared" si="20"/>
        <v>-0.29416666666666735</v>
      </c>
      <c r="S292" s="3">
        <f t="shared" si="22"/>
        <v>-5.148989898989953E-2</v>
      </c>
    </row>
    <row r="293" spans="1:19" x14ac:dyDescent="0.25">
      <c r="A293" t="s">
        <v>16</v>
      </c>
      <c r="C293">
        <v>52.049547199999999</v>
      </c>
      <c r="D293">
        <v>-0.57262599999999997</v>
      </c>
      <c r="E293">
        <v>4</v>
      </c>
      <c r="F293">
        <v>4</v>
      </c>
      <c r="G293">
        <v>2022</v>
      </c>
      <c r="H293">
        <v>13</v>
      </c>
      <c r="I293">
        <v>55</v>
      </c>
      <c r="J293">
        <v>45</v>
      </c>
      <c r="K293">
        <v>43.8</v>
      </c>
      <c r="L293">
        <v>0</v>
      </c>
      <c r="M293">
        <v>29.567</v>
      </c>
      <c r="N293">
        <v>0.49299999999999999</v>
      </c>
      <c r="P293" s="1">
        <f t="shared" si="21"/>
        <v>8.213055555555556</v>
      </c>
      <c r="Q293" s="3">
        <f t="shared" si="19"/>
        <v>-0.55833333333332291</v>
      </c>
      <c r="R293" s="3">
        <f t="shared" si="20"/>
        <v>0.40083333333333293</v>
      </c>
      <c r="S293" s="3">
        <f t="shared" si="22"/>
        <v>6.5151515151514516E-2</v>
      </c>
    </row>
    <row r="294" spans="1:19" x14ac:dyDescent="0.25">
      <c r="A294" t="s">
        <v>16</v>
      </c>
      <c r="C294">
        <v>52.049541400000003</v>
      </c>
      <c r="D294">
        <v>-0.57261810000000002</v>
      </c>
      <c r="E294">
        <v>4</v>
      </c>
      <c r="F294">
        <v>4</v>
      </c>
      <c r="G294">
        <v>2022</v>
      </c>
      <c r="H294">
        <v>13</v>
      </c>
      <c r="I294">
        <v>55</v>
      </c>
      <c r="J294">
        <v>45.1</v>
      </c>
      <c r="K294">
        <v>43.8</v>
      </c>
      <c r="L294">
        <v>0</v>
      </c>
      <c r="M294">
        <v>30.077999999999999</v>
      </c>
      <c r="N294">
        <v>0.49299999999999999</v>
      </c>
      <c r="P294" s="1">
        <f t="shared" si="21"/>
        <v>8.3550000000000004</v>
      </c>
      <c r="Q294" s="3">
        <f t="shared" si="19"/>
        <v>1.4194444444444443</v>
      </c>
      <c r="R294" s="3">
        <f t="shared" si="20"/>
        <v>0.57388888888888978</v>
      </c>
      <c r="S294" s="3">
        <f t="shared" si="22"/>
        <v>0.20696969696969622</v>
      </c>
    </row>
    <row r="295" spans="1:19" x14ac:dyDescent="0.25">
      <c r="A295" t="s">
        <v>16</v>
      </c>
      <c r="C295">
        <v>52.049535599999999</v>
      </c>
      <c r="D295">
        <v>-0.57261030000000002</v>
      </c>
      <c r="E295">
        <v>4</v>
      </c>
      <c r="F295">
        <v>4</v>
      </c>
      <c r="G295">
        <v>2022</v>
      </c>
      <c r="H295">
        <v>13</v>
      </c>
      <c r="I295">
        <v>55</v>
      </c>
      <c r="J295">
        <v>45.2</v>
      </c>
      <c r="K295">
        <v>43.81</v>
      </c>
      <c r="L295">
        <v>0</v>
      </c>
      <c r="M295">
        <v>30.210999999999999</v>
      </c>
      <c r="N295">
        <v>0.50800000000000001</v>
      </c>
      <c r="P295" s="1">
        <f t="shared" si="21"/>
        <v>8.3919444444444444</v>
      </c>
      <c r="Q295" s="3">
        <f t="shared" si="19"/>
        <v>0.36944444444444002</v>
      </c>
      <c r="R295" s="3">
        <f t="shared" si="20"/>
        <v>0.32611111111111057</v>
      </c>
      <c r="S295" s="3">
        <f t="shared" si="22"/>
        <v>0.35070707070706997</v>
      </c>
    </row>
    <row r="296" spans="1:19" x14ac:dyDescent="0.25">
      <c r="A296" t="s">
        <v>16</v>
      </c>
      <c r="C296">
        <v>52.0495296</v>
      </c>
      <c r="D296">
        <v>-0.57260310000000003</v>
      </c>
      <c r="E296">
        <v>4</v>
      </c>
      <c r="F296">
        <v>4</v>
      </c>
      <c r="G296">
        <v>2022</v>
      </c>
      <c r="H296">
        <v>13</v>
      </c>
      <c r="I296">
        <v>55</v>
      </c>
      <c r="J296">
        <v>45.3</v>
      </c>
      <c r="K296">
        <v>43.85</v>
      </c>
      <c r="L296">
        <v>0</v>
      </c>
      <c r="M296">
        <v>30.271999999999998</v>
      </c>
      <c r="N296">
        <v>0.51100000000000001</v>
      </c>
      <c r="P296" s="1">
        <f t="shared" si="21"/>
        <v>8.4088888888888889</v>
      </c>
      <c r="Q296" s="3">
        <f t="shared" si="19"/>
        <v>0.16944444444444429</v>
      </c>
      <c r="R296" s="3">
        <f t="shared" si="20"/>
        <v>0.43083333333333229</v>
      </c>
      <c r="S296" s="3">
        <f t="shared" si="22"/>
        <v>0.50063131313131248</v>
      </c>
    </row>
    <row r="297" spans="1:19" x14ac:dyDescent="0.25">
      <c r="A297" t="s">
        <v>16</v>
      </c>
      <c r="C297">
        <v>52.049523600000001</v>
      </c>
      <c r="D297">
        <v>-0.57259550000000004</v>
      </c>
      <c r="E297">
        <v>4</v>
      </c>
      <c r="F297">
        <v>4</v>
      </c>
      <c r="G297">
        <v>2022</v>
      </c>
      <c r="H297">
        <v>13</v>
      </c>
      <c r="I297">
        <v>55</v>
      </c>
      <c r="J297">
        <v>45.4</v>
      </c>
      <c r="K297">
        <v>43.93</v>
      </c>
      <c r="L297">
        <v>0</v>
      </c>
      <c r="M297">
        <v>31.01</v>
      </c>
      <c r="N297">
        <v>0.51800000000000002</v>
      </c>
      <c r="P297" s="1">
        <f t="shared" si="21"/>
        <v>8.6138888888888889</v>
      </c>
      <c r="Q297" s="3">
        <f t="shared" si="19"/>
        <v>2.0500000000000007</v>
      </c>
      <c r="R297" s="3">
        <f t="shared" si="20"/>
        <v>0.74222222222222101</v>
      </c>
      <c r="S297" s="3">
        <f t="shared" si="22"/>
        <v>0.619646464646464</v>
      </c>
    </row>
    <row r="298" spans="1:19" x14ac:dyDescent="0.25">
      <c r="A298" t="s">
        <v>16</v>
      </c>
      <c r="C298">
        <v>52.0495169</v>
      </c>
      <c r="D298">
        <v>-0.57258750000000003</v>
      </c>
      <c r="E298">
        <v>4</v>
      </c>
      <c r="F298">
        <v>4</v>
      </c>
      <c r="G298">
        <v>2022</v>
      </c>
      <c r="H298">
        <v>13</v>
      </c>
      <c r="I298">
        <v>55</v>
      </c>
      <c r="J298">
        <v>45.5</v>
      </c>
      <c r="K298">
        <v>44</v>
      </c>
      <c r="L298">
        <v>0</v>
      </c>
      <c r="M298">
        <v>33.180999999999997</v>
      </c>
      <c r="N298">
        <v>0.51800000000000002</v>
      </c>
      <c r="P298" s="1">
        <f t="shared" si="21"/>
        <v>9.2169444444444437</v>
      </c>
      <c r="Q298" s="3">
        <f t="shared" si="19"/>
        <v>6.0305555555555479</v>
      </c>
      <c r="R298" s="3">
        <f t="shared" si="20"/>
        <v>0.86583333333333101</v>
      </c>
      <c r="S298" s="3">
        <f t="shared" si="22"/>
        <v>0.69111111111111068</v>
      </c>
    </row>
    <row r="299" spans="1:19" x14ac:dyDescent="0.25">
      <c r="A299" t="s">
        <v>16</v>
      </c>
      <c r="C299">
        <v>52.049509899999997</v>
      </c>
      <c r="D299">
        <v>-0.57258010000000004</v>
      </c>
      <c r="E299">
        <v>4</v>
      </c>
      <c r="F299">
        <v>4</v>
      </c>
      <c r="G299">
        <v>2022</v>
      </c>
      <c r="H299">
        <v>13</v>
      </c>
      <c r="I299">
        <v>55</v>
      </c>
      <c r="J299">
        <v>45.6</v>
      </c>
      <c r="K299">
        <v>43.95</v>
      </c>
      <c r="L299">
        <v>0</v>
      </c>
      <c r="M299">
        <v>32.774000000000001</v>
      </c>
      <c r="N299">
        <v>0.50800000000000001</v>
      </c>
      <c r="P299" s="1">
        <f t="shared" si="21"/>
        <v>9.1038888888888891</v>
      </c>
      <c r="Q299" s="3">
        <f t="shared" si="19"/>
        <v>-1.1305555555555458</v>
      </c>
      <c r="R299" s="3">
        <f t="shared" si="20"/>
        <v>0.90611111111111065</v>
      </c>
      <c r="S299" s="3">
        <f t="shared" si="22"/>
        <v>0.70005050505050448</v>
      </c>
    </row>
    <row r="300" spans="1:19" x14ac:dyDescent="0.25">
      <c r="A300" t="s">
        <v>16</v>
      </c>
      <c r="C300">
        <v>52.0495035</v>
      </c>
      <c r="D300">
        <v>-0.57257290000000005</v>
      </c>
      <c r="E300">
        <v>4</v>
      </c>
      <c r="F300">
        <v>4</v>
      </c>
      <c r="G300">
        <v>2022</v>
      </c>
      <c r="H300">
        <v>13</v>
      </c>
      <c r="I300">
        <v>55</v>
      </c>
      <c r="J300">
        <v>45.7</v>
      </c>
      <c r="K300">
        <v>43.88</v>
      </c>
      <c r="L300">
        <v>0</v>
      </c>
      <c r="M300">
        <v>31.222999999999999</v>
      </c>
      <c r="N300">
        <v>0.53300000000000003</v>
      </c>
      <c r="P300" s="1">
        <f t="shared" si="21"/>
        <v>8.6730555555555551</v>
      </c>
      <c r="Q300" s="3">
        <f t="shared" si="19"/>
        <v>-4.3083333333333407</v>
      </c>
      <c r="R300" s="3">
        <f t="shared" si="20"/>
        <v>0.97805555555555479</v>
      </c>
      <c r="S300" s="3">
        <f t="shared" si="22"/>
        <v>0.70833333333333282</v>
      </c>
    </row>
    <row r="301" spans="1:19" x14ac:dyDescent="0.25">
      <c r="A301" t="s">
        <v>16</v>
      </c>
      <c r="C301">
        <v>52.049496900000001</v>
      </c>
      <c r="D301">
        <v>-0.5725654</v>
      </c>
      <c r="E301">
        <v>4</v>
      </c>
      <c r="F301">
        <v>4</v>
      </c>
      <c r="G301">
        <v>2022</v>
      </c>
      <c r="H301">
        <v>13</v>
      </c>
      <c r="I301">
        <v>55</v>
      </c>
      <c r="J301">
        <v>45.8</v>
      </c>
      <c r="K301">
        <v>43.86</v>
      </c>
      <c r="L301">
        <v>0</v>
      </c>
      <c r="M301">
        <v>31.658000000000001</v>
      </c>
      <c r="N301">
        <v>0.53600000000000003</v>
      </c>
      <c r="P301" s="1">
        <f t="shared" si="21"/>
        <v>8.7938888888888886</v>
      </c>
      <c r="Q301" s="3">
        <f t="shared" si="19"/>
        <v>1.2083333333333357</v>
      </c>
      <c r="R301" s="3">
        <f t="shared" si="20"/>
        <v>0.97222222222222143</v>
      </c>
      <c r="S301" s="3">
        <f t="shared" si="22"/>
        <v>0.75787878787878737</v>
      </c>
    </row>
    <row r="302" spans="1:19" x14ac:dyDescent="0.25">
      <c r="A302" t="s">
        <v>16</v>
      </c>
      <c r="C302">
        <v>52.049489800000003</v>
      </c>
      <c r="D302">
        <v>-0.57255809999999996</v>
      </c>
      <c r="E302">
        <v>4</v>
      </c>
      <c r="F302">
        <v>4</v>
      </c>
      <c r="G302">
        <v>2022</v>
      </c>
      <c r="H302">
        <v>13</v>
      </c>
      <c r="I302">
        <v>55</v>
      </c>
      <c r="J302">
        <v>45.9</v>
      </c>
      <c r="K302">
        <v>43.77</v>
      </c>
      <c r="L302">
        <v>0</v>
      </c>
      <c r="M302">
        <v>32.44</v>
      </c>
      <c r="N302">
        <v>0.51500000000000001</v>
      </c>
      <c r="P302" s="1">
        <f t="shared" si="21"/>
        <v>9.0111111111111093</v>
      </c>
      <c r="Q302" s="3">
        <f t="shared" si="19"/>
        <v>2.1722222222222065</v>
      </c>
      <c r="R302" s="3">
        <f t="shared" si="20"/>
        <v>0.91416666666666657</v>
      </c>
      <c r="S302" s="3">
        <f t="shared" si="22"/>
        <v>0.79787878787878763</v>
      </c>
    </row>
    <row r="303" spans="1:19" x14ac:dyDescent="0.25">
      <c r="A303" t="s">
        <v>16</v>
      </c>
      <c r="C303">
        <v>52.049482599999997</v>
      </c>
      <c r="D303">
        <v>-0.57255129999999999</v>
      </c>
      <c r="E303">
        <v>4</v>
      </c>
      <c r="F303">
        <v>4</v>
      </c>
      <c r="G303">
        <v>2022</v>
      </c>
      <c r="H303">
        <v>13</v>
      </c>
      <c r="I303">
        <v>55</v>
      </c>
      <c r="J303">
        <v>46</v>
      </c>
      <c r="K303">
        <v>43.75</v>
      </c>
      <c r="L303">
        <v>0</v>
      </c>
      <c r="M303">
        <v>32.683999999999997</v>
      </c>
      <c r="N303">
        <v>0.53600000000000003</v>
      </c>
      <c r="P303" s="1">
        <f t="shared" si="21"/>
        <v>9.078888888888887</v>
      </c>
      <c r="Q303" s="3">
        <f t="shared" si="19"/>
        <v>0.67777777777777715</v>
      </c>
      <c r="R303" s="3">
        <f t="shared" si="20"/>
        <v>0.49194444444444585</v>
      </c>
      <c r="S303" s="3">
        <f t="shared" si="22"/>
        <v>0.81078282828282833</v>
      </c>
    </row>
    <row r="304" spans="1:19" x14ac:dyDescent="0.25">
      <c r="A304" t="s">
        <v>16</v>
      </c>
      <c r="C304">
        <v>52.049475299999997</v>
      </c>
      <c r="D304">
        <v>-0.57254450000000001</v>
      </c>
      <c r="E304">
        <v>4</v>
      </c>
      <c r="F304">
        <v>4</v>
      </c>
      <c r="G304">
        <v>2022</v>
      </c>
      <c r="H304">
        <v>13</v>
      </c>
      <c r="I304">
        <v>55</v>
      </c>
      <c r="J304">
        <v>46.1</v>
      </c>
      <c r="K304">
        <v>43.73</v>
      </c>
      <c r="L304">
        <v>0</v>
      </c>
      <c r="M304">
        <v>33.340000000000003</v>
      </c>
      <c r="N304">
        <v>0.53600000000000003</v>
      </c>
      <c r="P304" s="1">
        <f t="shared" si="21"/>
        <v>9.2611111111111111</v>
      </c>
      <c r="Q304" s="3">
        <f t="shared" si="19"/>
        <v>1.8222222222222406</v>
      </c>
      <c r="R304" s="3">
        <f t="shared" si="20"/>
        <v>0.49916666666666565</v>
      </c>
      <c r="S304" s="3">
        <f t="shared" si="22"/>
        <v>0.81133838383838419</v>
      </c>
    </row>
    <row r="305" spans="1:19" x14ac:dyDescent="0.25">
      <c r="A305" t="s">
        <v>16</v>
      </c>
      <c r="C305">
        <v>52.049467700000001</v>
      </c>
      <c r="D305">
        <v>-0.57253790000000004</v>
      </c>
      <c r="E305">
        <v>4</v>
      </c>
      <c r="F305">
        <v>4</v>
      </c>
      <c r="G305">
        <v>2022</v>
      </c>
      <c r="H305">
        <v>13</v>
      </c>
      <c r="I305">
        <v>55</v>
      </c>
      <c r="J305">
        <v>46.2</v>
      </c>
      <c r="K305">
        <v>43.7</v>
      </c>
      <c r="L305">
        <v>0</v>
      </c>
      <c r="M305">
        <v>33.731999999999999</v>
      </c>
      <c r="N305">
        <v>0.54400000000000004</v>
      </c>
      <c r="P305" s="1">
        <f t="shared" si="21"/>
        <v>9.3699999999999992</v>
      </c>
      <c r="Q305" s="3">
        <f t="shared" si="19"/>
        <v>1.0888888888888815</v>
      </c>
      <c r="R305" s="3">
        <f t="shared" si="20"/>
        <v>0.66500000000000092</v>
      </c>
      <c r="S305" s="3">
        <f t="shared" si="22"/>
        <v>0.80696969696969734</v>
      </c>
    </row>
    <row r="306" spans="1:19" x14ac:dyDescent="0.25">
      <c r="A306" t="s">
        <v>16</v>
      </c>
      <c r="C306">
        <v>52.049460099999997</v>
      </c>
      <c r="D306">
        <v>-0.57253189999999998</v>
      </c>
      <c r="E306">
        <v>4</v>
      </c>
      <c r="F306">
        <v>4</v>
      </c>
      <c r="G306">
        <v>2022</v>
      </c>
      <c r="H306">
        <v>13</v>
      </c>
      <c r="I306">
        <v>55</v>
      </c>
      <c r="J306">
        <v>46.3</v>
      </c>
      <c r="K306">
        <v>43.7</v>
      </c>
      <c r="L306">
        <v>0</v>
      </c>
      <c r="M306">
        <v>33.771999999999998</v>
      </c>
      <c r="N306">
        <v>0.55100000000000005</v>
      </c>
      <c r="P306" s="1">
        <f t="shared" si="21"/>
        <v>9.3811111111111103</v>
      </c>
      <c r="Q306" s="3">
        <f t="shared" si="19"/>
        <v>0.11111111111111072</v>
      </c>
      <c r="R306" s="3">
        <f t="shared" si="20"/>
        <v>0.8711111111111105</v>
      </c>
      <c r="S306" s="3">
        <f t="shared" si="22"/>
        <v>0.81487373737373792</v>
      </c>
    </row>
    <row r="307" spans="1:19" x14ac:dyDescent="0.25">
      <c r="A307" t="s">
        <v>16</v>
      </c>
      <c r="C307">
        <v>52.049452299999999</v>
      </c>
      <c r="D307">
        <v>-0.57252590000000003</v>
      </c>
      <c r="E307">
        <v>4</v>
      </c>
      <c r="F307">
        <v>4</v>
      </c>
      <c r="G307">
        <v>2022</v>
      </c>
      <c r="H307">
        <v>13</v>
      </c>
      <c r="I307">
        <v>55</v>
      </c>
      <c r="J307">
        <v>46.4</v>
      </c>
      <c r="K307">
        <v>43.69</v>
      </c>
      <c r="L307">
        <v>0</v>
      </c>
      <c r="M307">
        <v>34.301000000000002</v>
      </c>
      <c r="N307">
        <v>0.54</v>
      </c>
      <c r="P307" s="1">
        <f t="shared" si="21"/>
        <v>9.5280555555555555</v>
      </c>
      <c r="Q307" s="3">
        <f t="shared" si="19"/>
        <v>1.4694444444444521</v>
      </c>
      <c r="R307" s="3">
        <f t="shared" si="20"/>
        <v>0.87083333333333535</v>
      </c>
      <c r="S307" s="3">
        <f t="shared" si="22"/>
        <v>0.84974747474747536</v>
      </c>
    </row>
    <row r="308" spans="1:19" x14ac:dyDescent="0.25">
      <c r="A308" t="s">
        <v>16</v>
      </c>
      <c r="C308">
        <v>52.049444100000002</v>
      </c>
      <c r="D308">
        <v>-0.57251969999999996</v>
      </c>
      <c r="E308">
        <v>4</v>
      </c>
      <c r="F308">
        <v>4</v>
      </c>
      <c r="G308">
        <v>2022</v>
      </c>
      <c r="H308">
        <v>13</v>
      </c>
      <c r="I308">
        <v>55</v>
      </c>
      <c r="J308">
        <v>46.5</v>
      </c>
      <c r="K308">
        <v>43.64</v>
      </c>
      <c r="L308">
        <v>0</v>
      </c>
      <c r="M308">
        <v>34.951999999999998</v>
      </c>
      <c r="N308">
        <v>0.53600000000000003</v>
      </c>
      <c r="P308" s="1">
        <f t="shared" si="21"/>
        <v>9.7088888888888896</v>
      </c>
      <c r="Q308" s="3">
        <f t="shared" si="19"/>
        <v>1.8083333333333407</v>
      </c>
      <c r="R308" s="3">
        <f t="shared" si="20"/>
        <v>0.88416666666666899</v>
      </c>
      <c r="S308" s="3">
        <f t="shared" si="22"/>
        <v>0.87292929292929344</v>
      </c>
    </row>
    <row r="309" spans="1:19" x14ac:dyDescent="0.25">
      <c r="A309" t="s">
        <v>16</v>
      </c>
      <c r="C309">
        <v>52.049436399999998</v>
      </c>
      <c r="D309">
        <v>-0.57251359999999996</v>
      </c>
      <c r="E309">
        <v>4</v>
      </c>
      <c r="F309">
        <v>4</v>
      </c>
      <c r="G309">
        <v>2022</v>
      </c>
      <c r="H309">
        <v>13</v>
      </c>
      <c r="I309">
        <v>55</v>
      </c>
      <c r="J309">
        <v>46.6</v>
      </c>
      <c r="K309">
        <v>43.62</v>
      </c>
      <c r="L309">
        <v>0</v>
      </c>
      <c r="M309">
        <v>34.570999999999998</v>
      </c>
      <c r="N309">
        <v>0.52200000000000002</v>
      </c>
      <c r="P309" s="1">
        <f t="shared" si="21"/>
        <v>9.6030555555555548</v>
      </c>
      <c r="Q309" s="3">
        <f t="shared" si="19"/>
        <v>-1.0583333333333478</v>
      </c>
      <c r="R309" s="3">
        <f t="shared" si="20"/>
        <v>0.87194444444444485</v>
      </c>
      <c r="S309" s="3">
        <f t="shared" si="22"/>
        <v>0.92429292929292972</v>
      </c>
    </row>
    <row r="310" spans="1:19" x14ac:dyDescent="0.25">
      <c r="A310" t="s">
        <v>16</v>
      </c>
      <c r="C310">
        <v>52.049428499999998</v>
      </c>
      <c r="D310">
        <v>-0.57250809999999996</v>
      </c>
      <c r="E310">
        <v>4</v>
      </c>
      <c r="F310">
        <v>4</v>
      </c>
      <c r="G310">
        <v>2022</v>
      </c>
      <c r="H310">
        <v>13</v>
      </c>
      <c r="I310">
        <v>55</v>
      </c>
      <c r="J310">
        <v>46.7</v>
      </c>
      <c r="K310">
        <v>43.54</v>
      </c>
      <c r="L310">
        <v>0</v>
      </c>
      <c r="M310">
        <v>33.616999999999997</v>
      </c>
      <c r="N310">
        <v>0.504</v>
      </c>
      <c r="P310" s="1">
        <f t="shared" si="21"/>
        <v>9.338055555555556</v>
      </c>
      <c r="Q310" s="3">
        <f t="shared" si="19"/>
        <v>-2.6499999999999879</v>
      </c>
      <c r="R310" s="3">
        <f t="shared" si="20"/>
        <v>0.85805555555555557</v>
      </c>
      <c r="S310" s="3">
        <f t="shared" si="22"/>
        <v>0.98199494949495003</v>
      </c>
    </row>
    <row r="311" spans="1:19" x14ac:dyDescent="0.25">
      <c r="A311" t="s">
        <v>16</v>
      </c>
      <c r="C311">
        <v>52.049420300000001</v>
      </c>
      <c r="D311">
        <v>-0.57250230000000002</v>
      </c>
      <c r="E311">
        <v>4</v>
      </c>
      <c r="F311">
        <v>4</v>
      </c>
      <c r="G311">
        <v>2022</v>
      </c>
      <c r="H311">
        <v>13</v>
      </c>
      <c r="I311">
        <v>55</v>
      </c>
      <c r="J311">
        <v>46.8</v>
      </c>
      <c r="K311">
        <v>43.47</v>
      </c>
      <c r="L311">
        <v>0</v>
      </c>
      <c r="M311">
        <v>34.793999999999997</v>
      </c>
      <c r="N311">
        <v>0.47899999999999998</v>
      </c>
      <c r="P311" s="1">
        <f t="shared" si="21"/>
        <v>9.6649999999999991</v>
      </c>
      <c r="Q311" s="3">
        <f t="shared" si="19"/>
        <v>3.2694444444444315</v>
      </c>
      <c r="R311" s="3">
        <f t="shared" si="20"/>
        <v>1.0650000000000013</v>
      </c>
      <c r="S311" s="3">
        <f t="shared" si="22"/>
        <v>0.98762626262626307</v>
      </c>
    </row>
    <row r="312" spans="1:19" x14ac:dyDescent="0.25">
      <c r="A312" t="s">
        <v>16</v>
      </c>
      <c r="C312">
        <v>52.049412099999998</v>
      </c>
      <c r="D312">
        <v>-0.57249620000000001</v>
      </c>
      <c r="E312">
        <v>4</v>
      </c>
      <c r="F312">
        <v>4</v>
      </c>
      <c r="G312">
        <v>2022</v>
      </c>
      <c r="H312">
        <v>13</v>
      </c>
      <c r="I312">
        <v>55</v>
      </c>
      <c r="J312">
        <v>46.9</v>
      </c>
      <c r="K312">
        <v>43.45</v>
      </c>
      <c r="L312">
        <v>0</v>
      </c>
      <c r="M312">
        <v>35.575000000000003</v>
      </c>
      <c r="N312">
        <v>0.48199999999999998</v>
      </c>
      <c r="P312" s="1">
        <f t="shared" si="21"/>
        <v>9.8819444444444446</v>
      </c>
      <c r="Q312" s="3">
        <f t="shared" si="19"/>
        <v>2.1694444444444549</v>
      </c>
      <c r="R312" s="3">
        <f t="shared" si="20"/>
        <v>1.355833333333333</v>
      </c>
      <c r="S312" s="3">
        <f t="shared" si="22"/>
        <v>0.94598484848484898</v>
      </c>
    </row>
    <row r="313" spans="1:19" x14ac:dyDescent="0.25">
      <c r="A313" t="s">
        <v>16</v>
      </c>
      <c r="C313">
        <v>52.0494038</v>
      </c>
      <c r="D313">
        <v>-0.57249030000000001</v>
      </c>
      <c r="E313">
        <v>4</v>
      </c>
      <c r="F313">
        <v>4</v>
      </c>
      <c r="G313">
        <v>2022</v>
      </c>
      <c r="H313">
        <v>13</v>
      </c>
      <c r="I313">
        <v>55</v>
      </c>
      <c r="J313">
        <v>47</v>
      </c>
      <c r="K313">
        <v>43.4</v>
      </c>
      <c r="L313">
        <v>0</v>
      </c>
      <c r="M313">
        <v>35.866999999999997</v>
      </c>
      <c r="N313">
        <v>0.47899999999999998</v>
      </c>
      <c r="P313" s="1">
        <f t="shared" si="21"/>
        <v>9.963055555555556</v>
      </c>
      <c r="Q313" s="3">
        <f t="shared" si="19"/>
        <v>0.81111111111111356</v>
      </c>
      <c r="R313" s="3">
        <f t="shared" si="20"/>
        <v>1.1691666666666656</v>
      </c>
      <c r="S313" s="3">
        <f t="shared" si="22"/>
        <v>0.89772727272727304</v>
      </c>
    </row>
    <row r="314" spans="1:19" x14ac:dyDescent="0.25">
      <c r="A314" t="s">
        <v>16</v>
      </c>
      <c r="C314">
        <v>52.049395400000002</v>
      </c>
      <c r="D314">
        <v>-0.57248469999999996</v>
      </c>
      <c r="E314">
        <v>4</v>
      </c>
      <c r="F314">
        <v>4</v>
      </c>
      <c r="G314">
        <v>2022</v>
      </c>
      <c r="H314">
        <v>13</v>
      </c>
      <c r="I314">
        <v>55</v>
      </c>
      <c r="J314">
        <v>47.1</v>
      </c>
      <c r="K314">
        <v>43.42</v>
      </c>
      <c r="L314">
        <v>0</v>
      </c>
      <c r="M314">
        <v>36.478999999999999</v>
      </c>
      <c r="N314">
        <v>0.48599999999999999</v>
      </c>
      <c r="P314" s="1">
        <f t="shared" si="21"/>
        <v>10.133055555555556</v>
      </c>
      <c r="Q314" s="3">
        <f t="shared" si="19"/>
        <v>1.6999999999999993</v>
      </c>
      <c r="R314" s="3">
        <f t="shared" si="20"/>
        <v>1.0569444444444454</v>
      </c>
      <c r="S314" s="3">
        <f t="shared" si="22"/>
        <v>0.82497474747474753</v>
      </c>
    </row>
    <row r="315" spans="1:19" x14ac:dyDescent="0.25">
      <c r="A315" t="s">
        <v>16</v>
      </c>
      <c r="C315">
        <v>52.049386900000002</v>
      </c>
      <c r="D315">
        <v>-0.57247930000000002</v>
      </c>
      <c r="E315">
        <v>4</v>
      </c>
      <c r="F315">
        <v>4</v>
      </c>
      <c r="G315">
        <v>2022</v>
      </c>
      <c r="H315">
        <v>13</v>
      </c>
      <c r="I315">
        <v>55</v>
      </c>
      <c r="J315">
        <v>47.2</v>
      </c>
      <c r="K315">
        <v>43.43</v>
      </c>
      <c r="L315">
        <v>0</v>
      </c>
      <c r="M315">
        <v>36.820999999999998</v>
      </c>
      <c r="N315">
        <v>0.49299999999999999</v>
      </c>
      <c r="P315" s="1">
        <f t="shared" si="21"/>
        <v>10.228055555555555</v>
      </c>
      <c r="Q315" s="3">
        <f t="shared" si="19"/>
        <v>0.94999999999998863</v>
      </c>
      <c r="R315" s="3">
        <f t="shared" si="20"/>
        <v>1.1338888888888885</v>
      </c>
      <c r="S315" s="3">
        <f t="shared" si="22"/>
        <v>0.75487373737373742</v>
      </c>
    </row>
    <row r="316" spans="1:19" x14ac:dyDescent="0.25">
      <c r="A316" t="s">
        <v>16</v>
      </c>
      <c r="C316">
        <v>52.049378300000001</v>
      </c>
      <c r="D316">
        <v>-0.57247429999999999</v>
      </c>
      <c r="E316">
        <v>4</v>
      </c>
      <c r="F316">
        <v>4</v>
      </c>
      <c r="G316">
        <v>2022</v>
      </c>
      <c r="H316">
        <v>13</v>
      </c>
      <c r="I316">
        <v>55</v>
      </c>
      <c r="J316">
        <v>47.3</v>
      </c>
      <c r="K316">
        <v>43.51</v>
      </c>
      <c r="L316">
        <v>0</v>
      </c>
      <c r="M316">
        <v>37.606000000000002</v>
      </c>
      <c r="N316">
        <v>0.48599999999999999</v>
      </c>
      <c r="P316" s="1">
        <f t="shared" si="21"/>
        <v>10.446111111111112</v>
      </c>
      <c r="Q316" s="3">
        <f t="shared" si="19"/>
        <v>2.1805555555555678</v>
      </c>
      <c r="R316" s="3">
        <f t="shared" si="20"/>
        <v>0.72694444444444528</v>
      </c>
      <c r="S316" s="3">
        <f t="shared" si="22"/>
        <v>0.68904040404040401</v>
      </c>
    </row>
    <row r="317" spans="1:19" x14ac:dyDescent="0.25">
      <c r="A317" t="s">
        <v>16</v>
      </c>
      <c r="C317">
        <v>52.049369499999997</v>
      </c>
      <c r="D317">
        <v>-0.57246850000000005</v>
      </c>
      <c r="E317">
        <v>4</v>
      </c>
      <c r="F317">
        <v>4</v>
      </c>
      <c r="G317">
        <v>2022</v>
      </c>
      <c r="H317">
        <v>13</v>
      </c>
      <c r="I317">
        <v>55</v>
      </c>
      <c r="J317">
        <v>47.4</v>
      </c>
      <c r="K317">
        <v>43.62</v>
      </c>
      <c r="L317">
        <v>0</v>
      </c>
      <c r="M317">
        <v>39.182000000000002</v>
      </c>
      <c r="N317">
        <v>0.49</v>
      </c>
      <c r="P317" s="1">
        <f t="shared" si="21"/>
        <v>10.883888888888889</v>
      </c>
      <c r="Q317" s="3">
        <f t="shared" si="19"/>
        <v>4.3777777777777693</v>
      </c>
      <c r="R317" s="3">
        <f t="shared" si="20"/>
        <v>0.41305555555555529</v>
      </c>
      <c r="S317" s="3">
        <f t="shared" si="22"/>
        <v>0.57287878787878777</v>
      </c>
    </row>
    <row r="318" spans="1:19" x14ac:dyDescent="0.25">
      <c r="A318" t="s">
        <v>16</v>
      </c>
      <c r="C318">
        <v>52.0493606</v>
      </c>
      <c r="D318">
        <v>-0.57246269999999999</v>
      </c>
      <c r="E318">
        <v>4</v>
      </c>
      <c r="F318">
        <v>4</v>
      </c>
      <c r="G318">
        <v>2022</v>
      </c>
      <c r="H318">
        <v>13</v>
      </c>
      <c r="I318">
        <v>55</v>
      </c>
      <c r="J318">
        <v>47.5</v>
      </c>
      <c r="K318">
        <v>43.65</v>
      </c>
      <c r="L318">
        <v>0</v>
      </c>
      <c r="M318">
        <v>39.161000000000001</v>
      </c>
      <c r="N318">
        <v>0.51800000000000002</v>
      </c>
      <c r="P318" s="1">
        <f t="shared" si="21"/>
        <v>10.878055555555555</v>
      </c>
      <c r="Q318" s="3">
        <f t="shared" si="19"/>
        <v>-5.833333333333357E-2</v>
      </c>
      <c r="R318" s="3">
        <f t="shared" si="20"/>
        <v>0.33999999999999986</v>
      </c>
      <c r="S318" s="3">
        <f t="shared" si="22"/>
        <v>0.44371212121212122</v>
      </c>
    </row>
    <row r="319" spans="1:19" x14ac:dyDescent="0.25">
      <c r="A319" t="s">
        <v>16</v>
      </c>
      <c r="C319">
        <v>52.049351799999997</v>
      </c>
      <c r="D319">
        <v>-0.57245690000000005</v>
      </c>
      <c r="E319">
        <v>4</v>
      </c>
      <c r="F319">
        <v>4</v>
      </c>
      <c r="G319">
        <v>2022</v>
      </c>
      <c r="H319">
        <v>13</v>
      </c>
      <c r="I319">
        <v>55</v>
      </c>
      <c r="J319">
        <v>47.6</v>
      </c>
      <c r="K319">
        <v>43.65</v>
      </c>
      <c r="L319">
        <v>0</v>
      </c>
      <c r="M319">
        <v>38.375999999999998</v>
      </c>
      <c r="N319">
        <v>0.52200000000000002</v>
      </c>
      <c r="P319" s="1">
        <f t="shared" si="21"/>
        <v>10.66</v>
      </c>
      <c r="Q319" s="3">
        <f t="shared" si="19"/>
        <v>-2.18055555555555</v>
      </c>
      <c r="R319" s="3">
        <f t="shared" si="20"/>
        <v>8.3888888888887791E-2</v>
      </c>
      <c r="S319" s="3">
        <f t="shared" si="22"/>
        <v>0.35651515151515151</v>
      </c>
    </row>
    <row r="320" spans="1:19" x14ac:dyDescent="0.25">
      <c r="A320" t="s">
        <v>16</v>
      </c>
      <c r="C320">
        <v>52.049343200000003</v>
      </c>
      <c r="D320">
        <v>-0.57245120000000005</v>
      </c>
      <c r="E320">
        <v>4</v>
      </c>
      <c r="F320">
        <v>4</v>
      </c>
      <c r="G320">
        <v>2022</v>
      </c>
      <c r="H320">
        <v>13</v>
      </c>
      <c r="I320">
        <v>55</v>
      </c>
      <c r="J320">
        <v>47.7</v>
      </c>
      <c r="K320">
        <v>43.66</v>
      </c>
      <c r="L320">
        <v>0</v>
      </c>
      <c r="M320">
        <v>37.698999999999998</v>
      </c>
      <c r="N320">
        <v>0.52200000000000002</v>
      </c>
      <c r="P320" s="1">
        <f t="shared" si="21"/>
        <v>10.471944444444444</v>
      </c>
      <c r="Q320" s="3">
        <f t="shared" si="19"/>
        <v>-1.8805555555555564</v>
      </c>
      <c r="R320" s="3">
        <f t="shared" si="20"/>
        <v>0.100833333333334</v>
      </c>
      <c r="S320" s="3">
        <f t="shared" si="22"/>
        <v>0.2859848484848484</v>
      </c>
    </row>
    <row r="321" spans="1:19" x14ac:dyDescent="0.25">
      <c r="A321" t="s">
        <v>16</v>
      </c>
      <c r="C321">
        <v>52.049334500000001</v>
      </c>
      <c r="D321">
        <v>-0.57244550000000005</v>
      </c>
      <c r="E321">
        <v>4</v>
      </c>
      <c r="F321">
        <v>4</v>
      </c>
      <c r="G321">
        <v>2022</v>
      </c>
      <c r="H321">
        <v>13</v>
      </c>
      <c r="I321">
        <v>55</v>
      </c>
      <c r="J321">
        <v>47.8</v>
      </c>
      <c r="K321">
        <v>43.63</v>
      </c>
      <c r="L321">
        <v>0</v>
      </c>
      <c r="M321">
        <v>37.411000000000001</v>
      </c>
      <c r="N321">
        <v>0.52200000000000002</v>
      </c>
      <c r="P321" s="1">
        <f t="shared" si="21"/>
        <v>10.391944444444444</v>
      </c>
      <c r="Q321" s="3">
        <f t="shared" si="19"/>
        <v>-0.80000000000000071</v>
      </c>
      <c r="R321" s="3">
        <f t="shared" si="20"/>
        <v>0.1338888888888885</v>
      </c>
      <c r="S321" s="3">
        <f t="shared" si="22"/>
        <v>0.21419191919191907</v>
      </c>
    </row>
    <row r="322" spans="1:19" x14ac:dyDescent="0.25">
      <c r="A322" t="s">
        <v>16</v>
      </c>
      <c r="C322">
        <v>52.049325799999998</v>
      </c>
      <c r="D322">
        <v>-0.5724397</v>
      </c>
      <c r="E322">
        <v>4</v>
      </c>
      <c r="F322">
        <v>4</v>
      </c>
      <c r="G322">
        <v>2022</v>
      </c>
      <c r="H322">
        <v>13</v>
      </c>
      <c r="I322">
        <v>55</v>
      </c>
      <c r="J322">
        <v>47.9</v>
      </c>
      <c r="K322">
        <v>43.59</v>
      </c>
      <c r="L322">
        <v>0</v>
      </c>
      <c r="M322">
        <v>37.061999999999998</v>
      </c>
      <c r="N322">
        <v>0.51800000000000002</v>
      </c>
      <c r="P322" s="1">
        <f t="shared" si="21"/>
        <v>10.295</v>
      </c>
      <c r="Q322" s="3">
        <f t="shared" si="19"/>
        <v>-0.969444444444445</v>
      </c>
      <c r="R322" s="3">
        <f t="shared" si="20"/>
        <v>-0.21277777777777729</v>
      </c>
      <c r="S322" s="3">
        <f t="shared" si="22"/>
        <v>0.21436868686868671</v>
      </c>
    </row>
    <row r="323" spans="1:19" x14ac:dyDescent="0.25">
      <c r="A323" t="s">
        <v>16</v>
      </c>
      <c r="C323">
        <v>52.049317100000003</v>
      </c>
      <c r="D323">
        <v>-0.5724342</v>
      </c>
      <c r="E323">
        <v>4</v>
      </c>
      <c r="F323">
        <v>4</v>
      </c>
      <c r="G323">
        <v>2022</v>
      </c>
      <c r="H323">
        <v>13</v>
      </c>
      <c r="I323">
        <v>55</v>
      </c>
      <c r="J323">
        <v>48</v>
      </c>
      <c r="K323">
        <v>43.57</v>
      </c>
      <c r="L323">
        <v>0</v>
      </c>
      <c r="M323">
        <v>37.091000000000001</v>
      </c>
      <c r="N323">
        <v>0.51100000000000001</v>
      </c>
      <c r="P323" s="1">
        <f t="shared" si="21"/>
        <v>10.303055555555556</v>
      </c>
      <c r="Q323" s="3">
        <f t="shared" si="19"/>
        <v>8.0555555555559266E-2</v>
      </c>
      <c r="R323" s="3">
        <f t="shared" si="20"/>
        <v>-6.4999999999999503E-2</v>
      </c>
      <c r="S323" s="3">
        <f t="shared" si="22"/>
        <v>0.2484595959595958</v>
      </c>
    </row>
    <row r="324" spans="1:19" x14ac:dyDescent="0.25">
      <c r="A324" t="s">
        <v>16</v>
      </c>
      <c r="C324">
        <v>52.0493083</v>
      </c>
      <c r="D324">
        <v>-0.57242919999999997</v>
      </c>
      <c r="E324">
        <v>4</v>
      </c>
      <c r="F324">
        <v>4</v>
      </c>
      <c r="G324">
        <v>2022</v>
      </c>
      <c r="H324">
        <v>13</v>
      </c>
      <c r="I324">
        <v>55</v>
      </c>
      <c r="J324">
        <v>48.1</v>
      </c>
      <c r="K324">
        <v>43.52</v>
      </c>
      <c r="L324">
        <v>0</v>
      </c>
      <c r="M324">
        <v>36.780999999999999</v>
      </c>
      <c r="N324">
        <v>0.51500000000000001</v>
      </c>
      <c r="P324" s="1">
        <f t="shared" si="21"/>
        <v>10.216944444444444</v>
      </c>
      <c r="Q324" s="3">
        <f t="shared" si="19"/>
        <v>-0.86111111111112137</v>
      </c>
      <c r="R324" s="3">
        <f t="shared" si="20"/>
        <v>0.20999999999999908</v>
      </c>
      <c r="S324" s="3">
        <f t="shared" si="22"/>
        <v>0.28583333333333322</v>
      </c>
    </row>
    <row r="325" spans="1:19" x14ac:dyDescent="0.25">
      <c r="A325" t="s">
        <v>16</v>
      </c>
      <c r="C325">
        <v>52.049299400000002</v>
      </c>
      <c r="D325">
        <v>-0.57242400000000004</v>
      </c>
      <c r="E325">
        <v>4</v>
      </c>
      <c r="F325">
        <v>4</v>
      </c>
      <c r="G325">
        <v>2022</v>
      </c>
      <c r="H325">
        <v>13</v>
      </c>
      <c r="I325">
        <v>55</v>
      </c>
      <c r="J325">
        <v>48.2</v>
      </c>
      <c r="K325">
        <v>43.47</v>
      </c>
      <c r="L325">
        <v>0</v>
      </c>
      <c r="M325">
        <v>37.183999999999997</v>
      </c>
      <c r="N325">
        <v>0.49299999999999999</v>
      </c>
      <c r="P325" s="1">
        <f t="shared" si="21"/>
        <v>10.328888888888889</v>
      </c>
      <c r="Q325" s="3">
        <f t="shared" ref="Q325:Q388" si="23">10*($P325-$P324)</f>
        <v>1.1194444444444507</v>
      </c>
      <c r="R325" s="3">
        <f t="shared" si="20"/>
        <v>0.28111111111111065</v>
      </c>
      <c r="S325" s="3">
        <f t="shared" si="22"/>
        <v>0.3468434343434344</v>
      </c>
    </row>
    <row r="326" spans="1:19" x14ac:dyDescent="0.25">
      <c r="A326" t="s">
        <v>16</v>
      </c>
      <c r="C326">
        <v>52.049290399999997</v>
      </c>
      <c r="D326">
        <v>-0.57241889999999995</v>
      </c>
      <c r="E326">
        <v>4</v>
      </c>
      <c r="F326">
        <v>4</v>
      </c>
      <c r="G326">
        <v>2022</v>
      </c>
      <c r="H326">
        <v>13</v>
      </c>
      <c r="I326">
        <v>55</v>
      </c>
      <c r="J326">
        <v>48.3</v>
      </c>
      <c r="K326">
        <v>43.48</v>
      </c>
      <c r="L326">
        <v>0</v>
      </c>
      <c r="M326">
        <v>38.088000000000001</v>
      </c>
      <c r="N326">
        <v>0.49299999999999999</v>
      </c>
      <c r="P326" s="1">
        <f t="shared" si="21"/>
        <v>10.58</v>
      </c>
      <c r="Q326" s="3">
        <f t="shared" si="23"/>
        <v>2.5111111111111128</v>
      </c>
      <c r="R326" s="3">
        <f t="shared" si="20"/>
        <v>0.34416666666666629</v>
      </c>
      <c r="S326" s="3">
        <f t="shared" si="22"/>
        <v>0.39631313131313123</v>
      </c>
    </row>
    <row r="327" spans="1:19" x14ac:dyDescent="0.25">
      <c r="A327" t="s">
        <v>16</v>
      </c>
      <c r="C327">
        <v>52.049281299999997</v>
      </c>
      <c r="D327">
        <v>-0.57241379999999997</v>
      </c>
      <c r="E327">
        <v>4</v>
      </c>
      <c r="F327">
        <v>4</v>
      </c>
      <c r="G327">
        <v>2022</v>
      </c>
      <c r="H327">
        <v>13</v>
      </c>
      <c r="I327">
        <v>55</v>
      </c>
      <c r="J327">
        <v>48.4</v>
      </c>
      <c r="K327">
        <v>43.47</v>
      </c>
      <c r="L327">
        <v>0</v>
      </c>
      <c r="M327">
        <v>38.415999999999997</v>
      </c>
      <c r="N327">
        <v>0.48599999999999999</v>
      </c>
      <c r="P327" s="1">
        <f t="shared" si="21"/>
        <v>10.671111111111111</v>
      </c>
      <c r="Q327" s="3">
        <f t="shared" si="23"/>
        <v>0.91111111111111143</v>
      </c>
      <c r="R327" s="3">
        <f t="shared" si="20"/>
        <v>0.72888888888888914</v>
      </c>
      <c r="S327" s="3">
        <f t="shared" si="22"/>
        <v>0.44393939393939391</v>
      </c>
    </row>
    <row r="328" spans="1:19" x14ac:dyDescent="0.25">
      <c r="A328" t="s">
        <v>16</v>
      </c>
      <c r="C328">
        <v>52.049272100000003</v>
      </c>
      <c r="D328">
        <v>-0.57240849999999999</v>
      </c>
      <c r="E328">
        <v>4</v>
      </c>
      <c r="F328">
        <v>4</v>
      </c>
      <c r="G328">
        <v>2022</v>
      </c>
      <c r="H328">
        <v>13</v>
      </c>
      <c r="I328">
        <v>55</v>
      </c>
      <c r="J328">
        <v>48.5</v>
      </c>
      <c r="K328">
        <v>43.45</v>
      </c>
      <c r="L328">
        <v>0</v>
      </c>
      <c r="M328">
        <v>38.927</v>
      </c>
      <c r="N328">
        <v>0.49</v>
      </c>
      <c r="P328" s="1">
        <f t="shared" si="21"/>
        <v>10.813055555555556</v>
      </c>
      <c r="Q328" s="3">
        <f t="shared" si="23"/>
        <v>1.4194444444444443</v>
      </c>
      <c r="R328" s="3">
        <f t="shared" si="20"/>
        <v>0.78805555555555529</v>
      </c>
      <c r="S328" s="3">
        <f t="shared" si="22"/>
        <v>0.52446969696969681</v>
      </c>
    </row>
    <row r="329" spans="1:19" x14ac:dyDescent="0.25">
      <c r="A329" t="s">
        <v>16</v>
      </c>
      <c r="C329">
        <v>52.049262800000001</v>
      </c>
      <c r="D329">
        <v>-0.57240329999999995</v>
      </c>
      <c r="E329">
        <v>4</v>
      </c>
      <c r="F329">
        <v>4</v>
      </c>
      <c r="G329">
        <v>2022</v>
      </c>
      <c r="H329">
        <v>13</v>
      </c>
      <c r="I329">
        <v>55</v>
      </c>
      <c r="J329">
        <v>48.6</v>
      </c>
      <c r="K329">
        <v>43.43</v>
      </c>
      <c r="L329">
        <v>0</v>
      </c>
      <c r="M329">
        <v>39.131999999999998</v>
      </c>
      <c r="N329">
        <v>0.48599999999999999</v>
      </c>
      <c r="P329" s="1">
        <f t="shared" si="21"/>
        <v>10.87</v>
      </c>
      <c r="Q329" s="3">
        <f t="shared" si="23"/>
        <v>0.56944444444443576</v>
      </c>
      <c r="R329" s="3">
        <f t="shared" ref="R329:R392" si="24">($P334-$P324)</f>
        <v>0.75111111111111128</v>
      </c>
      <c r="S329" s="3">
        <f t="shared" si="22"/>
        <v>0.58537878787878772</v>
      </c>
    </row>
    <row r="330" spans="1:19" x14ac:dyDescent="0.25">
      <c r="A330" t="s">
        <v>16</v>
      </c>
      <c r="C330">
        <v>52.049253499999999</v>
      </c>
      <c r="D330">
        <v>-0.57239839999999997</v>
      </c>
      <c r="E330">
        <v>4</v>
      </c>
      <c r="F330">
        <v>4</v>
      </c>
      <c r="G330">
        <v>2022</v>
      </c>
      <c r="H330">
        <v>13</v>
      </c>
      <c r="I330">
        <v>55</v>
      </c>
      <c r="J330">
        <v>48.7</v>
      </c>
      <c r="K330">
        <v>43.37</v>
      </c>
      <c r="L330">
        <v>0</v>
      </c>
      <c r="M330">
        <v>38.710999999999999</v>
      </c>
      <c r="N330">
        <v>0.48599999999999999</v>
      </c>
      <c r="P330" s="1">
        <f t="shared" si="21"/>
        <v>10.753055555555555</v>
      </c>
      <c r="Q330" s="3">
        <f t="shared" si="23"/>
        <v>-1.1694444444444407</v>
      </c>
      <c r="R330" s="3">
        <f t="shared" si="24"/>
        <v>0.75500000000000078</v>
      </c>
      <c r="S330" s="3">
        <f t="shared" si="22"/>
        <v>0.6491919191919191</v>
      </c>
    </row>
    <row r="331" spans="1:19" x14ac:dyDescent="0.25">
      <c r="A331" t="s">
        <v>16</v>
      </c>
      <c r="C331">
        <v>52.049244299999998</v>
      </c>
      <c r="D331">
        <v>-0.57239370000000001</v>
      </c>
      <c r="E331">
        <v>4</v>
      </c>
      <c r="F331">
        <v>4</v>
      </c>
      <c r="G331">
        <v>2022</v>
      </c>
      <c r="H331">
        <v>13</v>
      </c>
      <c r="I331">
        <v>55</v>
      </c>
      <c r="J331">
        <v>48.8</v>
      </c>
      <c r="K331">
        <v>43.38</v>
      </c>
      <c r="L331">
        <v>0</v>
      </c>
      <c r="M331">
        <v>38.65</v>
      </c>
      <c r="N331">
        <v>0.48199999999999998</v>
      </c>
      <c r="P331" s="1">
        <f t="shared" si="21"/>
        <v>10.736111111111111</v>
      </c>
      <c r="Q331" s="3">
        <f t="shared" si="23"/>
        <v>-0.16944444444444429</v>
      </c>
      <c r="R331" s="3">
        <f t="shared" si="24"/>
        <v>0.64499999999999957</v>
      </c>
      <c r="S331" s="3">
        <f t="shared" si="22"/>
        <v>0.71262626262626261</v>
      </c>
    </row>
    <row r="332" spans="1:19" x14ac:dyDescent="0.25">
      <c r="A332" t="s">
        <v>16</v>
      </c>
      <c r="C332">
        <v>52.049234900000002</v>
      </c>
      <c r="D332">
        <v>-0.57238849999999997</v>
      </c>
      <c r="E332">
        <v>4</v>
      </c>
      <c r="F332">
        <v>4</v>
      </c>
      <c r="G332">
        <v>2022</v>
      </c>
      <c r="H332">
        <v>13</v>
      </c>
      <c r="I332">
        <v>55</v>
      </c>
      <c r="J332">
        <v>48.9</v>
      </c>
      <c r="K332">
        <v>43.38</v>
      </c>
      <c r="L332">
        <v>0</v>
      </c>
      <c r="M332">
        <v>39.686</v>
      </c>
      <c r="N332">
        <v>0.48199999999999998</v>
      </c>
      <c r="P332" s="1">
        <f t="shared" si="21"/>
        <v>11.023888888888889</v>
      </c>
      <c r="Q332" s="3">
        <f t="shared" si="23"/>
        <v>2.8777777777777835</v>
      </c>
      <c r="R332" s="3">
        <f t="shared" si="24"/>
        <v>0.65777777777777757</v>
      </c>
      <c r="S332" s="3">
        <f t="shared" si="22"/>
        <v>0.7420707070707071</v>
      </c>
    </row>
    <row r="333" spans="1:19" x14ac:dyDescent="0.25">
      <c r="A333" t="s">
        <v>16</v>
      </c>
      <c r="C333">
        <v>52.049225300000003</v>
      </c>
      <c r="D333">
        <v>-0.57238339999999999</v>
      </c>
      <c r="E333">
        <v>4</v>
      </c>
      <c r="F333">
        <v>4</v>
      </c>
      <c r="G333">
        <v>2022</v>
      </c>
      <c r="H333">
        <v>13</v>
      </c>
      <c r="I333">
        <v>55</v>
      </c>
      <c r="J333">
        <v>49</v>
      </c>
      <c r="K333">
        <v>43.33</v>
      </c>
      <c r="L333">
        <v>0</v>
      </c>
      <c r="M333">
        <v>39.927999999999997</v>
      </c>
      <c r="N333">
        <v>0.47899999999999998</v>
      </c>
      <c r="P333" s="1">
        <f t="shared" si="21"/>
        <v>11.091111111111111</v>
      </c>
      <c r="Q333" s="3">
        <f t="shared" si="23"/>
        <v>0.67222222222222072</v>
      </c>
      <c r="R333" s="3">
        <f t="shared" si="24"/>
        <v>0.67305555555555507</v>
      </c>
      <c r="S333" s="3">
        <f t="shared" si="22"/>
        <v>0.72361111111111109</v>
      </c>
    </row>
    <row r="334" spans="1:19" x14ac:dyDescent="0.25">
      <c r="A334" t="s">
        <v>16</v>
      </c>
      <c r="C334">
        <v>52.049216000000001</v>
      </c>
      <c r="D334">
        <v>-0.57237859999999996</v>
      </c>
      <c r="E334">
        <v>4</v>
      </c>
      <c r="F334">
        <v>4</v>
      </c>
      <c r="G334">
        <v>2022</v>
      </c>
      <c r="H334">
        <v>13</v>
      </c>
      <c r="I334">
        <v>55</v>
      </c>
      <c r="J334">
        <v>49.1</v>
      </c>
      <c r="K334">
        <v>43.34</v>
      </c>
      <c r="L334">
        <v>0</v>
      </c>
      <c r="M334">
        <v>39.484999999999999</v>
      </c>
      <c r="N334">
        <v>0.49</v>
      </c>
      <c r="P334" s="1">
        <f t="shared" si="21"/>
        <v>10.968055555555555</v>
      </c>
      <c r="Q334" s="3">
        <f t="shared" si="23"/>
        <v>-1.2305555555555614</v>
      </c>
      <c r="R334" s="3">
        <f t="shared" si="24"/>
        <v>0.60500000000000043</v>
      </c>
      <c r="S334" s="3">
        <f t="shared" si="22"/>
        <v>0.71214646464646481</v>
      </c>
    </row>
    <row r="335" spans="1:19" x14ac:dyDescent="0.25">
      <c r="A335" t="s">
        <v>16</v>
      </c>
      <c r="C335">
        <v>52.049206499999997</v>
      </c>
      <c r="D335">
        <v>-0.57237369999999999</v>
      </c>
      <c r="E335">
        <v>4</v>
      </c>
      <c r="F335">
        <v>4</v>
      </c>
      <c r="G335">
        <v>2022</v>
      </c>
      <c r="H335">
        <v>13</v>
      </c>
      <c r="I335">
        <v>55</v>
      </c>
      <c r="J335">
        <v>49.2</v>
      </c>
      <c r="K335">
        <v>43.36</v>
      </c>
      <c r="L335">
        <v>0</v>
      </c>
      <c r="M335">
        <v>39.902000000000001</v>
      </c>
      <c r="N335">
        <v>0.5</v>
      </c>
      <c r="P335" s="1">
        <f t="shared" si="21"/>
        <v>11.08388888888889</v>
      </c>
      <c r="Q335" s="3">
        <f t="shared" si="23"/>
        <v>1.1583333333333456</v>
      </c>
      <c r="R335" s="3">
        <f t="shared" si="24"/>
        <v>0.911944444444444</v>
      </c>
      <c r="S335" s="3">
        <f t="shared" si="22"/>
        <v>0.68424242424242432</v>
      </c>
    </row>
    <row r="336" spans="1:19" x14ac:dyDescent="0.25">
      <c r="A336" t="s">
        <v>16</v>
      </c>
      <c r="C336">
        <v>52.049196799999997</v>
      </c>
      <c r="D336">
        <v>-0.57236860000000001</v>
      </c>
      <c r="E336">
        <v>4</v>
      </c>
      <c r="F336">
        <v>4</v>
      </c>
      <c r="G336">
        <v>2022</v>
      </c>
      <c r="H336">
        <v>13</v>
      </c>
      <c r="I336">
        <v>55</v>
      </c>
      <c r="J336">
        <v>49.3</v>
      </c>
      <c r="K336">
        <v>43.34</v>
      </c>
      <c r="L336">
        <v>0</v>
      </c>
      <c r="M336">
        <v>40.409999999999997</v>
      </c>
      <c r="N336">
        <v>0.52600000000000002</v>
      </c>
      <c r="P336" s="1">
        <f t="shared" si="21"/>
        <v>11.225</v>
      </c>
      <c r="Q336" s="3">
        <f t="shared" si="23"/>
        <v>1.4111111111111008</v>
      </c>
      <c r="R336" s="3">
        <f t="shared" si="24"/>
        <v>0.97888888888888914</v>
      </c>
      <c r="S336" s="3">
        <f t="shared" si="22"/>
        <v>0.62732323232323239</v>
      </c>
    </row>
    <row r="337" spans="1:19" x14ac:dyDescent="0.25">
      <c r="A337" t="s">
        <v>16</v>
      </c>
      <c r="C337">
        <v>52.049187199999999</v>
      </c>
      <c r="D337">
        <v>-0.57236350000000003</v>
      </c>
      <c r="E337">
        <v>4</v>
      </c>
      <c r="F337">
        <v>4</v>
      </c>
      <c r="G337">
        <v>2022</v>
      </c>
      <c r="H337">
        <v>13</v>
      </c>
      <c r="I337">
        <v>55</v>
      </c>
      <c r="J337">
        <v>49.4</v>
      </c>
      <c r="K337">
        <v>43.34</v>
      </c>
      <c r="L337">
        <v>0</v>
      </c>
      <c r="M337">
        <v>40.783999999999999</v>
      </c>
      <c r="N337">
        <v>0.52600000000000002</v>
      </c>
      <c r="P337" s="1">
        <f t="shared" si="21"/>
        <v>11.328888888888889</v>
      </c>
      <c r="Q337" s="3">
        <f t="shared" si="23"/>
        <v>1.0388888888888914</v>
      </c>
      <c r="R337" s="3">
        <f t="shared" si="24"/>
        <v>0.66805555555555607</v>
      </c>
      <c r="S337" s="3">
        <f t="shared" si="22"/>
        <v>0.59260101010101007</v>
      </c>
    </row>
    <row r="338" spans="1:19" x14ac:dyDescent="0.25">
      <c r="A338" t="s">
        <v>16</v>
      </c>
      <c r="C338">
        <v>52.049177399999998</v>
      </c>
      <c r="D338">
        <v>-0.57235809999999998</v>
      </c>
      <c r="E338">
        <v>4</v>
      </c>
      <c r="F338">
        <v>4</v>
      </c>
      <c r="G338">
        <v>2022</v>
      </c>
      <c r="H338">
        <v>13</v>
      </c>
      <c r="I338">
        <v>55</v>
      </c>
      <c r="J338">
        <v>49.5</v>
      </c>
      <c r="K338">
        <v>43.35</v>
      </c>
      <c r="L338">
        <v>0</v>
      </c>
      <c r="M338">
        <v>41.35</v>
      </c>
      <c r="N338">
        <v>0.51800000000000002</v>
      </c>
      <c r="P338" s="1">
        <f t="shared" ref="P338:P401" si="25">M338*1000/3600</f>
        <v>11.486111111111111</v>
      </c>
      <c r="Q338" s="3">
        <f t="shared" si="23"/>
        <v>1.5722222222222193</v>
      </c>
      <c r="R338" s="3">
        <f t="shared" si="24"/>
        <v>0.52583333333333293</v>
      </c>
      <c r="S338" s="3">
        <f t="shared" si="22"/>
        <v>0.53752525252525263</v>
      </c>
    </row>
    <row r="339" spans="1:19" x14ac:dyDescent="0.25">
      <c r="A339" t="s">
        <v>16</v>
      </c>
      <c r="C339">
        <v>52.049167699999998</v>
      </c>
      <c r="D339">
        <v>-0.57235270000000005</v>
      </c>
      <c r="E339">
        <v>4</v>
      </c>
      <c r="F339">
        <v>4</v>
      </c>
      <c r="G339">
        <v>2022</v>
      </c>
      <c r="H339">
        <v>13</v>
      </c>
      <c r="I339">
        <v>55</v>
      </c>
      <c r="J339">
        <v>49.6</v>
      </c>
      <c r="K339">
        <v>43.36</v>
      </c>
      <c r="L339">
        <v>0</v>
      </c>
      <c r="M339">
        <v>41.31</v>
      </c>
      <c r="N339">
        <v>0.51500000000000001</v>
      </c>
      <c r="P339" s="1">
        <f t="shared" si="25"/>
        <v>11.475</v>
      </c>
      <c r="Q339" s="3">
        <f t="shared" si="23"/>
        <v>-0.11111111111111072</v>
      </c>
      <c r="R339" s="3">
        <f t="shared" si="24"/>
        <v>0.66194444444444578</v>
      </c>
      <c r="S339" s="3">
        <f t="shared" ref="S339:S402" si="26">AVERAGE(R334:R344)</f>
        <v>0.47325757575757588</v>
      </c>
    </row>
    <row r="340" spans="1:19" x14ac:dyDescent="0.25">
      <c r="A340" t="s">
        <v>16</v>
      </c>
      <c r="C340">
        <v>52.049157800000003</v>
      </c>
      <c r="D340">
        <v>-0.57234719999999994</v>
      </c>
      <c r="E340">
        <v>4</v>
      </c>
      <c r="F340">
        <v>4</v>
      </c>
      <c r="G340">
        <v>2022</v>
      </c>
      <c r="H340">
        <v>13</v>
      </c>
      <c r="I340">
        <v>55</v>
      </c>
      <c r="J340">
        <v>49.7</v>
      </c>
      <c r="K340">
        <v>43.38</v>
      </c>
      <c r="L340">
        <v>0</v>
      </c>
      <c r="M340">
        <v>41.994</v>
      </c>
      <c r="N340">
        <v>0.51500000000000001</v>
      </c>
      <c r="P340" s="1">
        <f t="shared" si="25"/>
        <v>11.664999999999999</v>
      </c>
      <c r="Q340" s="3">
        <f t="shared" si="23"/>
        <v>1.899999999999995</v>
      </c>
      <c r="R340" s="3">
        <f t="shared" si="24"/>
        <v>0.44416666666666593</v>
      </c>
      <c r="S340" s="3">
        <f t="shared" si="26"/>
        <v>0.4001767676767678</v>
      </c>
    </row>
    <row r="341" spans="1:19" x14ac:dyDescent="0.25">
      <c r="A341" t="s">
        <v>16</v>
      </c>
      <c r="C341">
        <v>52.049147900000001</v>
      </c>
      <c r="D341">
        <v>-0.57234130000000005</v>
      </c>
      <c r="E341">
        <v>4</v>
      </c>
      <c r="F341">
        <v>4</v>
      </c>
      <c r="G341">
        <v>2022</v>
      </c>
      <c r="H341">
        <v>13</v>
      </c>
      <c r="I341">
        <v>55</v>
      </c>
      <c r="J341">
        <v>49.8</v>
      </c>
      <c r="K341">
        <v>43.36</v>
      </c>
      <c r="L341">
        <v>0</v>
      </c>
      <c r="M341">
        <v>42.173999999999999</v>
      </c>
      <c r="N341">
        <v>0.49299999999999999</v>
      </c>
      <c r="P341" s="1">
        <f t="shared" si="25"/>
        <v>11.715</v>
      </c>
      <c r="Q341" s="3">
        <f t="shared" si="23"/>
        <v>0.50000000000000711</v>
      </c>
      <c r="R341" s="3">
        <f t="shared" si="24"/>
        <v>0.1288888888888895</v>
      </c>
      <c r="S341" s="3">
        <f t="shared" si="26"/>
        <v>0.31199494949494971</v>
      </c>
    </row>
    <row r="342" spans="1:19" x14ac:dyDescent="0.25">
      <c r="A342" t="s">
        <v>16</v>
      </c>
      <c r="C342">
        <v>52.049137899999998</v>
      </c>
      <c r="D342">
        <v>-0.5723357</v>
      </c>
      <c r="E342">
        <v>4</v>
      </c>
      <c r="F342">
        <v>4</v>
      </c>
      <c r="G342">
        <v>2022</v>
      </c>
      <c r="H342">
        <v>13</v>
      </c>
      <c r="I342">
        <v>55</v>
      </c>
      <c r="J342">
        <v>49.9</v>
      </c>
      <c r="K342">
        <v>43.34</v>
      </c>
      <c r="L342">
        <v>0</v>
      </c>
      <c r="M342">
        <v>42.091000000000001</v>
      </c>
      <c r="N342">
        <v>0.51800000000000002</v>
      </c>
      <c r="P342" s="1">
        <f t="shared" si="25"/>
        <v>11.691944444444445</v>
      </c>
      <c r="Q342" s="3">
        <f t="shared" si="23"/>
        <v>-0.23055555555554719</v>
      </c>
      <c r="R342" s="3">
        <f t="shared" si="24"/>
        <v>0.26305555555555493</v>
      </c>
      <c r="S342" s="3">
        <f t="shared" si="26"/>
        <v>0.21782828282828295</v>
      </c>
    </row>
    <row r="343" spans="1:19" x14ac:dyDescent="0.25">
      <c r="A343" t="s">
        <v>16</v>
      </c>
      <c r="C343">
        <v>52.049128099999997</v>
      </c>
      <c r="D343">
        <v>-0.57233020000000001</v>
      </c>
      <c r="E343">
        <v>4</v>
      </c>
      <c r="F343">
        <v>4</v>
      </c>
      <c r="G343">
        <v>2022</v>
      </c>
      <c r="H343">
        <v>13</v>
      </c>
      <c r="I343">
        <v>55</v>
      </c>
      <c r="J343">
        <v>50</v>
      </c>
      <c r="K343">
        <v>43.34</v>
      </c>
      <c r="L343">
        <v>0</v>
      </c>
      <c r="M343">
        <v>41.820999999999998</v>
      </c>
      <c r="N343">
        <v>0.52200000000000002</v>
      </c>
      <c r="P343" s="1">
        <f t="shared" si="25"/>
        <v>11.616944444444444</v>
      </c>
      <c r="Q343" s="3">
        <f t="shared" si="23"/>
        <v>-0.75000000000001066</v>
      </c>
      <c r="R343" s="3">
        <f t="shared" si="24"/>
        <v>5.1944444444444571E-2</v>
      </c>
      <c r="S343" s="3">
        <f t="shared" si="26"/>
        <v>0.15656565656565666</v>
      </c>
    </row>
    <row r="344" spans="1:19" x14ac:dyDescent="0.25">
      <c r="A344" t="s">
        <v>16</v>
      </c>
      <c r="C344">
        <v>52.049118100000001</v>
      </c>
      <c r="D344">
        <v>-0.57232459999999996</v>
      </c>
      <c r="E344">
        <v>4</v>
      </c>
      <c r="F344">
        <v>4</v>
      </c>
      <c r="G344">
        <v>2022</v>
      </c>
      <c r="H344">
        <v>13</v>
      </c>
      <c r="I344">
        <v>55</v>
      </c>
      <c r="J344">
        <v>50.1</v>
      </c>
      <c r="K344">
        <v>43.28</v>
      </c>
      <c r="L344">
        <v>0</v>
      </c>
      <c r="M344">
        <v>41.868000000000002</v>
      </c>
      <c r="N344">
        <v>0.5</v>
      </c>
      <c r="P344" s="1">
        <f t="shared" si="25"/>
        <v>11.63</v>
      </c>
      <c r="Q344" s="3">
        <f t="shared" si="23"/>
        <v>0.13055555555556708</v>
      </c>
      <c r="R344" s="3">
        <f t="shared" si="24"/>
        <v>-3.3888888888888857E-2</v>
      </c>
      <c r="S344" s="3">
        <f t="shared" si="26"/>
        <v>0.11876262626262633</v>
      </c>
    </row>
    <row r="345" spans="1:19" x14ac:dyDescent="0.25">
      <c r="A345" t="s">
        <v>16</v>
      </c>
      <c r="C345">
        <v>52.0491083</v>
      </c>
      <c r="D345">
        <v>-0.57231940000000003</v>
      </c>
      <c r="E345">
        <v>4</v>
      </c>
      <c r="F345">
        <v>4</v>
      </c>
      <c r="G345">
        <v>2022</v>
      </c>
      <c r="H345">
        <v>13</v>
      </c>
      <c r="I345">
        <v>55</v>
      </c>
      <c r="J345">
        <v>50.2</v>
      </c>
      <c r="K345">
        <v>43.27</v>
      </c>
      <c r="L345">
        <v>0</v>
      </c>
      <c r="M345">
        <v>41.500999999999998</v>
      </c>
      <c r="N345">
        <v>0.5</v>
      </c>
      <c r="P345" s="1">
        <f t="shared" si="25"/>
        <v>11.528055555555556</v>
      </c>
      <c r="Q345" s="3">
        <f t="shared" si="23"/>
        <v>-1.0194444444444528</v>
      </c>
      <c r="R345" s="3">
        <f t="shared" si="24"/>
        <v>-0.198888888888888</v>
      </c>
      <c r="S345" s="3">
        <f t="shared" si="26"/>
        <v>8.0858585858585741E-2</v>
      </c>
    </row>
    <row r="346" spans="1:19" x14ac:dyDescent="0.25">
      <c r="A346" t="s">
        <v>16</v>
      </c>
      <c r="C346">
        <v>52.049098600000001</v>
      </c>
      <c r="D346">
        <v>-0.57231449999999995</v>
      </c>
      <c r="E346">
        <v>4</v>
      </c>
      <c r="F346">
        <v>4</v>
      </c>
      <c r="G346">
        <v>2022</v>
      </c>
      <c r="H346">
        <v>13</v>
      </c>
      <c r="I346">
        <v>55</v>
      </c>
      <c r="J346">
        <v>50.3</v>
      </c>
      <c r="K346">
        <v>43.28</v>
      </c>
      <c r="L346">
        <v>0</v>
      </c>
      <c r="M346">
        <v>40.874000000000002</v>
      </c>
      <c r="N346">
        <v>0.504</v>
      </c>
      <c r="P346" s="1">
        <f t="shared" si="25"/>
        <v>11.353888888888889</v>
      </c>
      <c r="Q346" s="3">
        <f t="shared" si="23"/>
        <v>-1.7416666666666636</v>
      </c>
      <c r="R346" s="3">
        <f t="shared" si="24"/>
        <v>-5.8055555555554861E-2</v>
      </c>
      <c r="S346" s="3">
        <f t="shared" si="26"/>
        <v>7.2398989898989838E-2</v>
      </c>
    </row>
    <row r="347" spans="1:19" x14ac:dyDescent="0.25">
      <c r="A347" t="s">
        <v>16</v>
      </c>
      <c r="C347">
        <v>52.049088599999997</v>
      </c>
      <c r="D347">
        <v>-0.57230950000000003</v>
      </c>
      <c r="E347">
        <v>4</v>
      </c>
      <c r="F347">
        <v>4</v>
      </c>
      <c r="G347">
        <v>2022</v>
      </c>
      <c r="H347">
        <v>13</v>
      </c>
      <c r="I347">
        <v>55</v>
      </c>
      <c r="J347">
        <v>50.4</v>
      </c>
      <c r="K347">
        <v>43.27</v>
      </c>
      <c r="L347">
        <v>0</v>
      </c>
      <c r="M347">
        <v>41.731000000000002</v>
      </c>
      <c r="N347">
        <v>0.51100000000000001</v>
      </c>
      <c r="P347" s="1">
        <f t="shared" si="25"/>
        <v>11.591944444444444</v>
      </c>
      <c r="Q347" s="3">
        <f t="shared" si="23"/>
        <v>2.3805555555555458</v>
      </c>
      <c r="R347" s="3">
        <f t="shared" si="24"/>
        <v>-5.6944444444445352E-2</v>
      </c>
      <c r="S347" s="3">
        <f t="shared" si="26"/>
        <v>7.5782828282828257E-2</v>
      </c>
    </row>
    <row r="348" spans="1:19" x14ac:dyDescent="0.25">
      <c r="A348" t="s">
        <v>16</v>
      </c>
      <c r="C348">
        <v>52.049078799999997</v>
      </c>
      <c r="D348">
        <v>-0.57230440000000005</v>
      </c>
      <c r="E348">
        <v>4</v>
      </c>
      <c r="F348">
        <v>4</v>
      </c>
      <c r="G348">
        <v>2022</v>
      </c>
      <c r="H348">
        <v>13</v>
      </c>
      <c r="I348">
        <v>55</v>
      </c>
      <c r="J348">
        <v>50.5</v>
      </c>
      <c r="K348">
        <v>43.27</v>
      </c>
      <c r="L348">
        <v>0</v>
      </c>
      <c r="M348">
        <v>41.536999999999999</v>
      </c>
      <c r="N348">
        <v>0.50800000000000001</v>
      </c>
      <c r="P348" s="1">
        <f t="shared" si="25"/>
        <v>11.538055555555555</v>
      </c>
      <c r="Q348" s="3">
        <f t="shared" si="23"/>
        <v>-0.53888888888888431</v>
      </c>
      <c r="R348" s="3">
        <f t="shared" si="24"/>
        <v>-5.833333333333357E-3</v>
      </c>
      <c r="S348" s="3">
        <f t="shared" si="26"/>
        <v>8.5126262626262605E-2</v>
      </c>
    </row>
    <row r="349" spans="1:19" x14ac:dyDescent="0.25">
      <c r="A349" t="s">
        <v>16</v>
      </c>
      <c r="C349">
        <v>52.049069099999997</v>
      </c>
      <c r="D349">
        <v>-0.57229960000000002</v>
      </c>
      <c r="E349">
        <v>4</v>
      </c>
      <c r="F349">
        <v>4</v>
      </c>
      <c r="G349">
        <v>2022</v>
      </c>
      <c r="H349">
        <v>13</v>
      </c>
      <c r="I349">
        <v>55</v>
      </c>
      <c r="J349">
        <v>50.6</v>
      </c>
      <c r="K349">
        <v>43.28</v>
      </c>
      <c r="L349">
        <v>0</v>
      </c>
      <c r="M349">
        <v>41.188000000000002</v>
      </c>
      <c r="N349">
        <v>0.497</v>
      </c>
      <c r="P349" s="1">
        <f t="shared" si="25"/>
        <v>11.441111111111111</v>
      </c>
      <c r="Q349" s="3">
        <f t="shared" si="23"/>
        <v>-0.969444444444445</v>
      </c>
      <c r="R349" s="3">
        <f t="shared" si="24"/>
        <v>0.10999999999999943</v>
      </c>
      <c r="S349" s="3">
        <f t="shared" si="26"/>
        <v>0.14229797979797984</v>
      </c>
    </row>
    <row r="350" spans="1:19" x14ac:dyDescent="0.25">
      <c r="A350" t="s">
        <v>16</v>
      </c>
      <c r="C350">
        <v>52.049059200000002</v>
      </c>
      <c r="D350">
        <v>-0.57229479999999999</v>
      </c>
      <c r="E350">
        <v>4</v>
      </c>
      <c r="F350">
        <v>4</v>
      </c>
      <c r="G350">
        <v>2022</v>
      </c>
      <c r="H350">
        <v>13</v>
      </c>
      <c r="I350">
        <v>55</v>
      </c>
      <c r="J350">
        <v>50.7</v>
      </c>
      <c r="K350">
        <v>43.28</v>
      </c>
      <c r="L350">
        <v>0</v>
      </c>
      <c r="M350">
        <v>41.277999999999999</v>
      </c>
      <c r="N350">
        <v>0.50800000000000001</v>
      </c>
      <c r="P350" s="1">
        <f t="shared" si="25"/>
        <v>11.466111111111111</v>
      </c>
      <c r="Q350" s="3">
        <f t="shared" si="23"/>
        <v>0.25000000000000355</v>
      </c>
      <c r="R350" s="3">
        <f t="shared" si="24"/>
        <v>0.24499999999999922</v>
      </c>
      <c r="S350" s="3">
        <f t="shared" si="26"/>
        <v>0.22909090909090904</v>
      </c>
    </row>
    <row r="351" spans="1:19" x14ac:dyDescent="0.25">
      <c r="A351" t="s">
        <v>16</v>
      </c>
      <c r="C351">
        <v>52.0490493</v>
      </c>
      <c r="D351">
        <v>-0.57228920000000005</v>
      </c>
      <c r="E351">
        <v>4</v>
      </c>
      <c r="F351">
        <v>4</v>
      </c>
      <c r="G351">
        <v>2022</v>
      </c>
      <c r="H351">
        <v>13</v>
      </c>
      <c r="I351">
        <v>55</v>
      </c>
      <c r="J351">
        <v>50.8</v>
      </c>
      <c r="K351">
        <v>43.27</v>
      </c>
      <c r="L351">
        <v>0</v>
      </c>
      <c r="M351">
        <v>41.965000000000003</v>
      </c>
      <c r="N351">
        <v>0.504</v>
      </c>
      <c r="P351" s="1">
        <f t="shared" si="25"/>
        <v>11.656944444444445</v>
      </c>
      <c r="Q351" s="3">
        <f t="shared" si="23"/>
        <v>1.9083333333333385</v>
      </c>
      <c r="R351" s="3">
        <f t="shared" si="24"/>
        <v>0.35111111111111093</v>
      </c>
      <c r="S351" s="3">
        <f t="shared" si="26"/>
        <v>0.30262626262626247</v>
      </c>
    </row>
    <row r="352" spans="1:19" x14ac:dyDescent="0.25">
      <c r="A352" t="s">
        <v>16</v>
      </c>
      <c r="C352">
        <v>52.049039299999997</v>
      </c>
      <c r="D352">
        <v>-0.57228369999999995</v>
      </c>
      <c r="E352">
        <v>4</v>
      </c>
      <c r="F352">
        <v>4</v>
      </c>
      <c r="G352">
        <v>2022</v>
      </c>
      <c r="H352">
        <v>13</v>
      </c>
      <c r="I352">
        <v>55</v>
      </c>
      <c r="J352">
        <v>50.9</v>
      </c>
      <c r="K352">
        <v>43.24</v>
      </c>
      <c r="L352">
        <v>0</v>
      </c>
      <c r="M352">
        <v>41.886000000000003</v>
      </c>
      <c r="N352">
        <v>0.5</v>
      </c>
      <c r="P352" s="1">
        <f t="shared" si="25"/>
        <v>11.635</v>
      </c>
      <c r="Q352" s="3">
        <f t="shared" si="23"/>
        <v>-0.2194444444444521</v>
      </c>
      <c r="R352" s="3">
        <f t="shared" si="24"/>
        <v>0.16611111111111221</v>
      </c>
      <c r="S352" s="3">
        <f t="shared" si="26"/>
        <v>0.34535353535353508</v>
      </c>
    </row>
    <row r="353" spans="1:19" x14ac:dyDescent="0.25">
      <c r="A353" t="s">
        <v>16</v>
      </c>
      <c r="C353">
        <v>52.0490292</v>
      </c>
      <c r="D353">
        <v>-0.57227850000000002</v>
      </c>
      <c r="E353">
        <v>4</v>
      </c>
      <c r="F353">
        <v>4</v>
      </c>
      <c r="G353">
        <v>2022</v>
      </c>
      <c r="H353">
        <v>13</v>
      </c>
      <c r="I353">
        <v>55</v>
      </c>
      <c r="J353">
        <v>51</v>
      </c>
      <c r="K353">
        <v>43.21</v>
      </c>
      <c r="L353">
        <v>0</v>
      </c>
      <c r="M353">
        <v>41.8</v>
      </c>
      <c r="N353">
        <v>0.5</v>
      </c>
      <c r="P353" s="1">
        <f t="shared" si="25"/>
        <v>11.611111111111111</v>
      </c>
      <c r="Q353" s="3">
        <f t="shared" si="23"/>
        <v>-0.2388888888888907</v>
      </c>
      <c r="R353" s="3">
        <f t="shared" si="24"/>
        <v>0.36583333333333279</v>
      </c>
      <c r="S353" s="3">
        <f t="shared" si="26"/>
        <v>0.3474242424242423</v>
      </c>
    </row>
    <row r="354" spans="1:19" x14ac:dyDescent="0.25">
      <c r="A354" t="s">
        <v>16</v>
      </c>
      <c r="C354">
        <v>52.049019000000001</v>
      </c>
      <c r="D354">
        <v>-0.57227360000000005</v>
      </c>
      <c r="E354">
        <v>4</v>
      </c>
      <c r="F354">
        <v>4</v>
      </c>
      <c r="G354">
        <v>2022</v>
      </c>
      <c r="H354">
        <v>13</v>
      </c>
      <c r="I354">
        <v>55</v>
      </c>
      <c r="J354">
        <v>51.1</v>
      </c>
      <c r="K354">
        <v>43.19</v>
      </c>
      <c r="L354">
        <v>0</v>
      </c>
      <c r="M354">
        <v>42.264000000000003</v>
      </c>
      <c r="N354">
        <v>0.49</v>
      </c>
      <c r="P354" s="1">
        <f t="shared" si="25"/>
        <v>11.74</v>
      </c>
      <c r="Q354" s="3">
        <f t="shared" si="23"/>
        <v>1.288888888888895</v>
      </c>
      <c r="R354" s="3">
        <f t="shared" si="24"/>
        <v>0.68083333333333407</v>
      </c>
      <c r="S354" s="3">
        <f t="shared" si="26"/>
        <v>0.31376262626262613</v>
      </c>
    </row>
    <row r="355" spans="1:19" x14ac:dyDescent="0.25">
      <c r="A355" t="s">
        <v>16</v>
      </c>
      <c r="C355">
        <v>52.049008899999997</v>
      </c>
      <c r="D355">
        <v>-0.57226840000000001</v>
      </c>
      <c r="E355">
        <v>4</v>
      </c>
      <c r="F355">
        <v>4</v>
      </c>
      <c r="G355">
        <v>2022</v>
      </c>
      <c r="H355">
        <v>13</v>
      </c>
      <c r="I355">
        <v>55</v>
      </c>
      <c r="J355">
        <v>51.2</v>
      </c>
      <c r="K355">
        <v>43.2</v>
      </c>
      <c r="L355">
        <v>0</v>
      </c>
      <c r="M355">
        <v>42.383000000000003</v>
      </c>
      <c r="N355">
        <v>0.48599999999999999</v>
      </c>
      <c r="P355" s="1">
        <f t="shared" si="25"/>
        <v>11.773055555555555</v>
      </c>
      <c r="Q355" s="3">
        <f t="shared" si="23"/>
        <v>0.33055555555554506</v>
      </c>
      <c r="R355" s="3">
        <f t="shared" si="24"/>
        <v>0.9208333333333325</v>
      </c>
      <c r="S355" s="3">
        <f t="shared" si="26"/>
        <v>0.26967171717171712</v>
      </c>
    </row>
    <row r="356" spans="1:19" x14ac:dyDescent="0.25">
      <c r="A356" t="s">
        <v>16</v>
      </c>
      <c r="C356">
        <v>52.048998900000001</v>
      </c>
      <c r="D356">
        <v>-0.57226350000000004</v>
      </c>
      <c r="E356">
        <v>4</v>
      </c>
      <c r="F356">
        <v>4</v>
      </c>
      <c r="G356">
        <v>2022</v>
      </c>
      <c r="H356">
        <v>13</v>
      </c>
      <c r="I356">
        <v>55</v>
      </c>
      <c r="J356">
        <v>51.3</v>
      </c>
      <c r="K356">
        <v>43.2</v>
      </c>
      <c r="L356">
        <v>0</v>
      </c>
      <c r="M356">
        <v>42.137999999999998</v>
      </c>
      <c r="N356">
        <v>0.48199999999999998</v>
      </c>
      <c r="P356" s="1">
        <f t="shared" si="25"/>
        <v>11.705</v>
      </c>
      <c r="Q356" s="3">
        <f t="shared" si="23"/>
        <v>-0.68055555555554648</v>
      </c>
      <c r="R356" s="3">
        <f t="shared" si="24"/>
        <v>0.60999999999999943</v>
      </c>
      <c r="S356" s="3">
        <f t="shared" si="26"/>
        <v>0.22757575757575763</v>
      </c>
    </row>
    <row r="357" spans="1:19" x14ac:dyDescent="0.25">
      <c r="A357" t="s">
        <v>16</v>
      </c>
      <c r="C357">
        <v>52.048988799999997</v>
      </c>
      <c r="D357">
        <v>-0.57225870000000001</v>
      </c>
      <c r="E357">
        <v>4</v>
      </c>
      <c r="F357">
        <v>4</v>
      </c>
      <c r="G357">
        <v>2022</v>
      </c>
      <c r="H357">
        <v>13</v>
      </c>
      <c r="I357">
        <v>55</v>
      </c>
      <c r="J357">
        <v>51.4</v>
      </c>
      <c r="K357">
        <v>43.24</v>
      </c>
      <c r="L357">
        <v>0</v>
      </c>
      <c r="M357">
        <v>42.329000000000001</v>
      </c>
      <c r="N357">
        <v>0.48199999999999998</v>
      </c>
      <c r="P357" s="1">
        <f t="shared" si="25"/>
        <v>11.758055555555556</v>
      </c>
      <c r="Q357" s="3">
        <f t="shared" si="23"/>
        <v>0.53055555555555856</v>
      </c>
      <c r="R357" s="3">
        <f t="shared" si="24"/>
        <v>0.411944444444444</v>
      </c>
      <c r="S357" s="3">
        <f t="shared" si="26"/>
        <v>0.17156565656565659</v>
      </c>
    </row>
    <row r="358" spans="1:19" x14ac:dyDescent="0.25">
      <c r="A358" t="s">
        <v>16</v>
      </c>
      <c r="C358">
        <v>52.048978599999998</v>
      </c>
      <c r="D358">
        <v>-0.57225349999999997</v>
      </c>
      <c r="E358">
        <v>4</v>
      </c>
      <c r="F358">
        <v>4</v>
      </c>
      <c r="G358">
        <v>2022</v>
      </c>
      <c r="H358">
        <v>13</v>
      </c>
      <c r="I358">
        <v>55</v>
      </c>
      <c r="J358">
        <v>51.5</v>
      </c>
      <c r="K358">
        <v>43.24</v>
      </c>
      <c r="L358">
        <v>0</v>
      </c>
      <c r="M358">
        <v>42.853999999999999</v>
      </c>
      <c r="N358">
        <v>0.49</v>
      </c>
      <c r="P358" s="1">
        <f t="shared" si="25"/>
        <v>11.903888888888888</v>
      </c>
      <c r="Q358" s="3">
        <f t="shared" si="23"/>
        <v>1.4583333333333215</v>
      </c>
      <c r="R358" s="3">
        <f t="shared" si="24"/>
        <v>-3.416666666666579E-2</v>
      </c>
      <c r="S358" s="3">
        <f t="shared" si="26"/>
        <v>0.12065656565656563</v>
      </c>
    </row>
    <row r="359" spans="1:19" x14ac:dyDescent="0.25">
      <c r="A359" t="s">
        <v>16</v>
      </c>
      <c r="C359">
        <v>52.0489684</v>
      </c>
      <c r="D359">
        <v>-0.57224799999999998</v>
      </c>
      <c r="E359">
        <v>4</v>
      </c>
      <c r="F359">
        <v>4</v>
      </c>
      <c r="G359">
        <v>2022</v>
      </c>
      <c r="H359">
        <v>13</v>
      </c>
      <c r="I359">
        <v>55</v>
      </c>
      <c r="J359">
        <v>51.6</v>
      </c>
      <c r="K359">
        <v>43.29</v>
      </c>
      <c r="L359">
        <v>0</v>
      </c>
      <c r="M359">
        <v>43.639000000000003</v>
      </c>
      <c r="N359">
        <v>0.47199999999999998</v>
      </c>
      <c r="P359" s="1">
        <f t="shared" si="25"/>
        <v>12.121944444444445</v>
      </c>
      <c r="Q359" s="3">
        <f t="shared" si="23"/>
        <v>2.1805555555555678</v>
      </c>
      <c r="R359" s="3">
        <f t="shared" si="24"/>
        <v>-0.37611111111111128</v>
      </c>
      <c r="S359" s="3">
        <f t="shared" si="26"/>
        <v>4.6666666666666697E-2</v>
      </c>
    </row>
    <row r="360" spans="1:19" x14ac:dyDescent="0.25">
      <c r="A360" t="s">
        <v>16</v>
      </c>
      <c r="C360">
        <v>52.048957899999998</v>
      </c>
      <c r="D360">
        <v>-0.57224169999999996</v>
      </c>
      <c r="E360">
        <v>4</v>
      </c>
      <c r="F360">
        <v>4</v>
      </c>
      <c r="G360">
        <v>2022</v>
      </c>
      <c r="H360">
        <v>13</v>
      </c>
      <c r="I360">
        <v>55</v>
      </c>
      <c r="J360">
        <v>51.7</v>
      </c>
      <c r="K360">
        <v>43.31</v>
      </c>
      <c r="L360">
        <v>0</v>
      </c>
      <c r="M360">
        <v>44.593000000000004</v>
      </c>
      <c r="N360">
        <v>0.47199999999999998</v>
      </c>
      <c r="P360" s="1">
        <f t="shared" si="25"/>
        <v>12.386944444444444</v>
      </c>
      <c r="Q360" s="3">
        <f t="shared" si="23"/>
        <v>2.6499999999999879</v>
      </c>
      <c r="R360" s="3">
        <f t="shared" si="24"/>
        <v>-0.375</v>
      </c>
      <c r="S360" s="3">
        <f t="shared" si="26"/>
        <v>-7.6666666666666702E-2</v>
      </c>
    </row>
    <row r="361" spans="1:19" x14ac:dyDescent="0.25">
      <c r="A361" t="s">
        <v>16</v>
      </c>
      <c r="C361">
        <v>52.048947499999997</v>
      </c>
      <c r="D361">
        <v>-0.57223539999999995</v>
      </c>
      <c r="E361">
        <v>4</v>
      </c>
      <c r="F361">
        <v>4</v>
      </c>
      <c r="G361">
        <v>2022</v>
      </c>
      <c r="H361">
        <v>13</v>
      </c>
      <c r="I361">
        <v>55</v>
      </c>
      <c r="J361">
        <v>51.8</v>
      </c>
      <c r="K361">
        <v>43.29</v>
      </c>
      <c r="L361">
        <v>0</v>
      </c>
      <c r="M361">
        <v>44.161000000000001</v>
      </c>
      <c r="N361">
        <v>0.47199999999999998</v>
      </c>
      <c r="P361" s="1">
        <f t="shared" si="25"/>
        <v>12.266944444444444</v>
      </c>
      <c r="Q361" s="3">
        <f t="shared" si="23"/>
        <v>-1.1999999999999922</v>
      </c>
      <c r="R361" s="3">
        <f t="shared" si="24"/>
        <v>-0.218055555555555</v>
      </c>
      <c r="S361" s="3">
        <f t="shared" si="26"/>
        <v>-0.20856060606060597</v>
      </c>
    </row>
    <row r="362" spans="1:19" x14ac:dyDescent="0.25">
      <c r="A362" t="s">
        <v>16</v>
      </c>
      <c r="C362">
        <v>52.048937199999997</v>
      </c>
      <c r="D362">
        <v>-0.57222949999999995</v>
      </c>
      <c r="E362">
        <v>4</v>
      </c>
      <c r="F362">
        <v>4</v>
      </c>
      <c r="G362">
        <v>2022</v>
      </c>
      <c r="H362">
        <v>13</v>
      </c>
      <c r="I362">
        <v>55</v>
      </c>
      <c r="J362">
        <v>51.9</v>
      </c>
      <c r="K362">
        <v>43.26</v>
      </c>
      <c r="L362">
        <v>0</v>
      </c>
      <c r="M362">
        <v>43.369</v>
      </c>
      <c r="N362">
        <v>0.47899999999999998</v>
      </c>
      <c r="P362" s="1">
        <f t="shared" si="25"/>
        <v>12.046944444444444</v>
      </c>
      <c r="Q362" s="3">
        <f t="shared" si="23"/>
        <v>-2.2000000000000064</v>
      </c>
      <c r="R362" s="3">
        <f t="shared" si="24"/>
        <v>-0.26500000000000057</v>
      </c>
      <c r="S362" s="3">
        <f t="shared" si="26"/>
        <v>-0.2940151515151514</v>
      </c>
    </row>
    <row r="363" spans="1:19" x14ac:dyDescent="0.25">
      <c r="A363" t="s">
        <v>16</v>
      </c>
      <c r="C363">
        <v>52.048927499999998</v>
      </c>
      <c r="D363">
        <v>-0.57222399999999995</v>
      </c>
      <c r="E363">
        <v>4</v>
      </c>
      <c r="F363">
        <v>4</v>
      </c>
      <c r="G363">
        <v>2022</v>
      </c>
      <c r="H363">
        <v>13</v>
      </c>
      <c r="I363">
        <v>55</v>
      </c>
      <c r="J363">
        <v>52</v>
      </c>
      <c r="K363">
        <v>43.24</v>
      </c>
      <c r="L363">
        <v>0</v>
      </c>
      <c r="M363">
        <v>41.677</v>
      </c>
      <c r="N363">
        <v>0.49</v>
      </c>
      <c r="P363" s="1">
        <f t="shared" si="25"/>
        <v>11.576944444444445</v>
      </c>
      <c r="Q363" s="3">
        <f t="shared" si="23"/>
        <v>-4.6999999999999886</v>
      </c>
      <c r="R363" s="3">
        <f t="shared" si="24"/>
        <v>-0.39388888888888829</v>
      </c>
      <c r="S363" s="3">
        <f t="shared" si="26"/>
        <v>-0.33356060606060595</v>
      </c>
    </row>
    <row r="364" spans="1:19" x14ac:dyDescent="0.25">
      <c r="A364" t="s">
        <v>16</v>
      </c>
      <c r="C364">
        <v>52.048917699999997</v>
      </c>
      <c r="D364">
        <v>-0.57221889999999997</v>
      </c>
      <c r="E364">
        <v>4</v>
      </c>
      <c r="F364">
        <v>4</v>
      </c>
      <c r="G364">
        <v>2022</v>
      </c>
      <c r="H364">
        <v>13</v>
      </c>
      <c r="I364">
        <v>55</v>
      </c>
      <c r="J364">
        <v>52.1</v>
      </c>
      <c r="K364">
        <v>43.22</v>
      </c>
      <c r="L364">
        <v>0</v>
      </c>
      <c r="M364">
        <v>40.909999999999997</v>
      </c>
      <c r="N364">
        <v>0.49299999999999999</v>
      </c>
      <c r="P364" s="1">
        <f t="shared" si="25"/>
        <v>11.363888888888889</v>
      </c>
      <c r="Q364" s="3">
        <f t="shared" si="23"/>
        <v>-2.13055555555556</v>
      </c>
      <c r="R364" s="3">
        <f t="shared" si="24"/>
        <v>-0.44805555555555543</v>
      </c>
      <c r="S364" s="3">
        <f t="shared" si="26"/>
        <v>-0.32835858585858591</v>
      </c>
    </row>
    <row r="365" spans="1:19" x14ac:dyDescent="0.25">
      <c r="A365" t="s">
        <v>16</v>
      </c>
      <c r="C365">
        <v>52.048907999999997</v>
      </c>
      <c r="D365">
        <v>-0.57221370000000005</v>
      </c>
      <c r="E365">
        <v>4</v>
      </c>
      <c r="F365">
        <v>4</v>
      </c>
      <c r="G365">
        <v>2022</v>
      </c>
      <c r="H365">
        <v>13</v>
      </c>
      <c r="I365">
        <v>55</v>
      </c>
      <c r="J365">
        <v>52.2</v>
      </c>
      <c r="K365">
        <v>43.22</v>
      </c>
      <c r="L365">
        <v>0</v>
      </c>
      <c r="M365">
        <v>41.033000000000001</v>
      </c>
      <c r="N365">
        <v>0.504</v>
      </c>
      <c r="P365" s="1">
        <f t="shared" si="25"/>
        <v>11.398055555555555</v>
      </c>
      <c r="Q365" s="3">
        <f t="shared" si="23"/>
        <v>0.3416666666666579</v>
      </c>
      <c r="R365" s="3">
        <f t="shared" si="24"/>
        <v>-0.67583333333333329</v>
      </c>
      <c r="S365" s="3">
        <f t="shared" si="26"/>
        <v>-0.28926767676767667</v>
      </c>
    </row>
    <row r="366" spans="1:19" x14ac:dyDescent="0.25">
      <c r="A366" t="s">
        <v>16</v>
      </c>
      <c r="C366">
        <v>52.048898100000002</v>
      </c>
      <c r="D366">
        <v>-0.57220839999999995</v>
      </c>
      <c r="E366">
        <v>4</v>
      </c>
      <c r="F366">
        <v>4</v>
      </c>
      <c r="G366">
        <v>2022</v>
      </c>
      <c r="H366">
        <v>13</v>
      </c>
      <c r="I366">
        <v>55</v>
      </c>
      <c r="J366">
        <v>52.3</v>
      </c>
      <c r="K366">
        <v>43.2</v>
      </c>
      <c r="L366">
        <v>0</v>
      </c>
      <c r="M366">
        <v>41.353000000000002</v>
      </c>
      <c r="N366">
        <v>0.50800000000000001</v>
      </c>
      <c r="P366" s="1">
        <f t="shared" si="25"/>
        <v>11.486944444444445</v>
      </c>
      <c r="Q366" s="3">
        <f t="shared" si="23"/>
        <v>0.88888888888890349</v>
      </c>
      <c r="R366" s="3">
        <f t="shared" si="24"/>
        <v>-0.52999999999999936</v>
      </c>
      <c r="S366" s="3">
        <f t="shared" si="26"/>
        <v>-0.25290404040404046</v>
      </c>
    </row>
    <row r="367" spans="1:19" x14ac:dyDescent="0.25">
      <c r="A367" t="s">
        <v>16</v>
      </c>
      <c r="C367">
        <v>52.048888300000002</v>
      </c>
      <c r="D367">
        <v>-0.57220289999999996</v>
      </c>
      <c r="E367">
        <v>4</v>
      </c>
      <c r="F367">
        <v>4</v>
      </c>
      <c r="G367">
        <v>2022</v>
      </c>
      <c r="H367">
        <v>13</v>
      </c>
      <c r="I367">
        <v>55</v>
      </c>
      <c r="J367">
        <v>52.4</v>
      </c>
      <c r="K367">
        <v>43.17</v>
      </c>
      <c r="L367">
        <v>0</v>
      </c>
      <c r="M367">
        <v>41.375</v>
      </c>
      <c r="N367">
        <v>0.5</v>
      </c>
      <c r="P367" s="1">
        <f t="shared" si="25"/>
        <v>11.493055555555555</v>
      </c>
      <c r="Q367" s="3">
        <f t="shared" si="23"/>
        <v>6.11111111111029E-2</v>
      </c>
      <c r="R367" s="3">
        <f t="shared" si="24"/>
        <v>-0.33000000000000007</v>
      </c>
      <c r="S367" s="3">
        <f t="shared" si="26"/>
        <v>-0.20898989898989903</v>
      </c>
    </row>
    <row r="368" spans="1:19" x14ac:dyDescent="0.25">
      <c r="A368" t="s">
        <v>16</v>
      </c>
      <c r="C368">
        <v>52.048878600000002</v>
      </c>
      <c r="D368">
        <v>-0.57219739999999997</v>
      </c>
      <c r="E368">
        <v>4</v>
      </c>
      <c r="F368">
        <v>4</v>
      </c>
      <c r="G368">
        <v>2022</v>
      </c>
      <c r="H368">
        <v>13</v>
      </c>
      <c r="I368">
        <v>55</v>
      </c>
      <c r="J368">
        <v>52.5</v>
      </c>
      <c r="K368">
        <v>43.19</v>
      </c>
      <c r="L368">
        <v>0</v>
      </c>
      <c r="M368">
        <v>41.436</v>
      </c>
      <c r="N368">
        <v>0.497</v>
      </c>
      <c r="P368" s="1">
        <f t="shared" si="25"/>
        <v>11.51</v>
      </c>
      <c r="Q368" s="3">
        <f t="shared" si="23"/>
        <v>0.16944444444444429</v>
      </c>
      <c r="R368" s="3">
        <f t="shared" si="24"/>
        <v>-2.3055555555556495E-2</v>
      </c>
      <c r="S368" s="3">
        <f t="shared" si="26"/>
        <v>-0.15808080808080807</v>
      </c>
    </row>
    <row r="369" spans="1:19" x14ac:dyDescent="0.25">
      <c r="A369" t="s">
        <v>16</v>
      </c>
      <c r="C369">
        <v>52.048868599999999</v>
      </c>
      <c r="D369">
        <v>-0.57219180000000003</v>
      </c>
      <c r="E369">
        <v>4</v>
      </c>
      <c r="F369">
        <v>4</v>
      </c>
      <c r="G369">
        <v>2022</v>
      </c>
      <c r="H369">
        <v>13</v>
      </c>
      <c r="I369">
        <v>55</v>
      </c>
      <c r="J369">
        <v>52.6</v>
      </c>
      <c r="K369">
        <v>43.18</v>
      </c>
      <c r="L369">
        <v>0</v>
      </c>
      <c r="M369">
        <v>42.026000000000003</v>
      </c>
      <c r="N369">
        <v>0.497</v>
      </c>
      <c r="P369" s="1">
        <f t="shared" si="25"/>
        <v>11.673888888888889</v>
      </c>
      <c r="Q369" s="3">
        <f t="shared" si="23"/>
        <v>1.6388888888888964</v>
      </c>
      <c r="R369" s="3">
        <f t="shared" si="24"/>
        <v>2.3055555555554719E-2</v>
      </c>
      <c r="S369" s="3">
        <f t="shared" si="26"/>
        <v>-0.13363636363636369</v>
      </c>
    </row>
    <row r="370" spans="1:19" x14ac:dyDescent="0.25">
      <c r="A370" t="s">
        <v>16</v>
      </c>
      <c r="C370">
        <v>52.048858600000003</v>
      </c>
      <c r="D370">
        <v>-0.57218650000000004</v>
      </c>
      <c r="E370">
        <v>4</v>
      </c>
      <c r="F370">
        <v>4</v>
      </c>
      <c r="G370">
        <v>2022</v>
      </c>
      <c r="H370">
        <v>13</v>
      </c>
      <c r="I370">
        <v>55</v>
      </c>
      <c r="J370">
        <v>52.7</v>
      </c>
      <c r="K370">
        <v>43.19</v>
      </c>
      <c r="L370">
        <v>0</v>
      </c>
      <c r="M370">
        <v>42.16</v>
      </c>
      <c r="N370">
        <v>0.5</v>
      </c>
      <c r="P370" s="1">
        <f t="shared" si="25"/>
        <v>11.71111111111111</v>
      </c>
      <c r="Q370" s="3">
        <f t="shared" si="23"/>
        <v>0.37222222222220935</v>
      </c>
      <c r="R370" s="3">
        <f t="shared" si="24"/>
        <v>5.3888888888890207E-2</v>
      </c>
      <c r="S370" s="3">
        <f t="shared" si="26"/>
        <v>-0.12164141414141418</v>
      </c>
    </row>
    <row r="371" spans="1:19" x14ac:dyDescent="0.25">
      <c r="A371" t="s">
        <v>16</v>
      </c>
      <c r="C371">
        <v>52.048848700000001</v>
      </c>
      <c r="D371">
        <v>-0.57218119999999995</v>
      </c>
      <c r="E371">
        <v>4</v>
      </c>
      <c r="F371">
        <v>4</v>
      </c>
      <c r="G371">
        <v>2022</v>
      </c>
      <c r="H371">
        <v>13</v>
      </c>
      <c r="I371">
        <v>55</v>
      </c>
      <c r="J371">
        <v>52.8</v>
      </c>
      <c r="K371">
        <v>43.22</v>
      </c>
      <c r="L371">
        <v>0</v>
      </c>
      <c r="M371">
        <v>42.253</v>
      </c>
      <c r="N371">
        <v>0.5</v>
      </c>
      <c r="P371" s="1">
        <f t="shared" si="25"/>
        <v>11.736944444444445</v>
      </c>
      <c r="Q371" s="3">
        <f t="shared" si="23"/>
        <v>0.25833333333334707</v>
      </c>
      <c r="R371" s="3">
        <f t="shared" si="24"/>
        <v>2.4999999999998579E-2</v>
      </c>
      <c r="S371" s="3">
        <f t="shared" si="26"/>
        <v>-8.5656565656565806E-2</v>
      </c>
    </row>
    <row r="372" spans="1:19" x14ac:dyDescent="0.25">
      <c r="A372" t="s">
        <v>16</v>
      </c>
      <c r="C372">
        <v>52.0488389</v>
      </c>
      <c r="D372">
        <v>-0.57217569999999995</v>
      </c>
      <c r="E372">
        <v>4</v>
      </c>
      <c r="F372">
        <v>4</v>
      </c>
      <c r="G372">
        <v>2022</v>
      </c>
      <c r="H372">
        <v>13</v>
      </c>
      <c r="I372">
        <v>55</v>
      </c>
      <c r="J372">
        <v>52.9</v>
      </c>
      <c r="K372">
        <v>43.25</v>
      </c>
      <c r="L372">
        <v>0</v>
      </c>
      <c r="M372">
        <v>42.180999999999997</v>
      </c>
      <c r="N372">
        <v>0.49</v>
      </c>
      <c r="P372" s="1">
        <f t="shared" si="25"/>
        <v>11.716944444444444</v>
      </c>
      <c r="Q372" s="3">
        <f t="shared" si="23"/>
        <v>-0.2000000000000135</v>
      </c>
      <c r="R372" s="3">
        <f t="shared" si="24"/>
        <v>0.26500000000000057</v>
      </c>
      <c r="S372" s="3">
        <f t="shared" si="26"/>
        <v>-5.8459595959596135E-2</v>
      </c>
    </row>
    <row r="373" spans="1:19" x14ac:dyDescent="0.25">
      <c r="A373" t="s">
        <v>16</v>
      </c>
      <c r="C373">
        <v>52.048828999999998</v>
      </c>
      <c r="D373">
        <v>-0.57217059999999997</v>
      </c>
      <c r="E373">
        <v>4</v>
      </c>
      <c r="F373">
        <v>4</v>
      </c>
      <c r="G373">
        <v>2022</v>
      </c>
      <c r="H373">
        <v>13</v>
      </c>
      <c r="I373">
        <v>55</v>
      </c>
      <c r="J373">
        <v>53</v>
      </c>
      <c r="K373">
        <v>43.24</v>
      </c>
      <c r="L373">
        <v>0</v>
      </c>
      <c r="M373">
        <v>41.594000000000001</v>
      </c>
      <c r="N373">
        <v>0.48199999999999998</v>
      </c>
      <c r="P373" s="1">
        <f t="shared" si="25"/>
        <v>11.553888888888888</v>
      </c>
      <c r="Q373" s="3">
        <f t="shared" si="23"/>
        <v>-1.6305555555555529</v>
      </c>
      <c r="R373" s="3">
        <f t="shared" si="24"/>
        <v>0.29499999999999993</v>
      </c>
      <c r="S373" s="3">
        <f t="shared" si="26"/>
        <v>-4.3181818181818314E-2</v>
      </c>
    </row>
    <row r="374" spans="1:19" x14ac:dyDescent="0.25">
      <c r="A374" t="s">
        <v>16</v>
      </c>
      <c r="C374">
        <v>52.048819399999999</v>
      </c>
      <c r="D374">
        <v>-0.57216560000000005</v>
      </c>
      <c r="E374">
        <v>4</v>
      </c>
      <c r="F374">
        <v>4</v>
      </c>
      <c r="G374">
        <v>2022</v>
      </c>
      <c r="H374">
        <v>13</v>
      </c>
      <c r="I374">
        <v>55</v>
      </c>
      <c r="J374">
        <v>53.1</v>
      </c>
      <c r="K374">
        <v>43.27</v>
      </c>
      <c r="L374">
        <v>0</v>
      </c>
      <c r="M374">
        <v>40.993000000000002</v>
      </c>
      <c r="N374">
        <v>0.48599999999999999</v>
      </c>
      <c r="P374" s="1">
        <f t="shared" si="25"/>
        <v>11.386944444444444</v>
      </c>
      <c r="Q374" s="3">
        <f t="shared" si="23"/>
        <v>-1.6694444444444478</v>
      </c>
      <c r="R374" s="3">
        <f t="shared" si="24"/>
        <v>-0.125</v>
      </c>
      <c r="S374" s="3">
        <f t="shared" si="26"/>
        <v>-4.0631313131313102E-2</v>
      </c>
    </row>
    <row r="375" spans="1:19" x14ac:dyDescent="0.25">
      <c r="A375" t="s">
        <v>16</v>
      </c>
      <c r="C375">
        <v>52.048809599999998</v>
      </c>
      <c r="D375">
        <v>-0.57216060000000002</v>
      </c>
      <c r="E375">
        <v>4</v>
      </c>
      <c r="F375">
        <v>4</v>
      </c>
      <c r="G375">
        <v>2022</v>
      </c>
      <c r="H375">
        <v>13</v>
      </c>
      <c r="I375">
        <v>55</v>
      </c>
      <c r="J375">
        <v>53.2</v>
      </c>
      <c r="K375">
        <v>43.28</v>
      </c>
      <c r="L375">
        <v>0</v>
      </c>
      <c r="M375">
        <v>41.226999999999997</v>
      </c>
      <c r="N375">
        <v>0.48599999999999999</v>
      </c>
      <c r="P375" s="1">
        <f t="shared" si="25"/>
        <v>11.451944444444445</v>
      </c>
      <c r="Q375" s="3">
        <f t="shared" si="23"/>
        <v>0.65000000000001279</v>
      </c>
      <c r="R375" s="3">
        <f t="shared" si="24"/>
        <v>-0.31611111111111079</v>
      </c>
      <c r="S375" s="3">
        <f t="shared" si="26"/>
        <v>-4.1540404040403996E-2</v>
      </c>
    </row>
    <row r="376" spans="1:19" x14ac:dyDescent="0.25">
      <c r="A376" t="s">
        <v>16</v>
      </c>
      <c r="C376">
        <v>52.048799600000002</v>
      </c>
      <c r="D376">
        <v>-0.572156</v>
      </c>
      <c r="E376">
        <v>4</v>
      </c>
      <c r="F376">
        <v>4</v>
      </c>
      <c r="G376">
        <v>2022</v>
      </c>
      <c r="H376">
        <v>13</v>
      </c>
      <c r="I376">
        <v>55</v>
      </c>
      <c r="J376">
        <v>53.3</v>
      </c>
      <c r="K376">
        <v>43.29</v>
      </c>
      <c r="L376">
        <v>0</v>
      </c>
      <c r="M376">
        <v>41.442999999999998</v>
      </c>
      <c r="N376">
        <v>0.49</v>
      </c>
      <c r="P376" s="1">
        <f t="shared" si="25"/>
        <v>11.511944444444444</v>
      </c>
      <c r="Q376" s="3">
        <f t="shared" si="23"/>
        <v>0.59999999999998721</v>
      </c>
      <c r="R376" s="3">
        <f t="shared" si="24"/>
        <v>-0.28000000000000114</v>
      </c>
      <c r="S376" s="3">
        <f t="shared" si="26"/>
        <v>-4.3257575757575821E-2</v>
      </c>
    </row>
    <row r="377" spans="1:19" x14ac:dyDescent="0.25">
      <c r="A377" t="s">
        <v>16</v>
      </c>
      <c r="C377">
        <v>52.048789599999999</v>
      </c>
      <c r="D377">
        <v>-0.57215099999999997</v>
      </c>
      <c r="E377">
        <v>4</v>
      </c>
      <c r="F377">
        <v>4</v>
      </c>
      <c r="G377">
        <v>2022</v>
      </c>
      <c r="H377">
        <v>13</v>
      </c>
      <c r="I377">
        <v>55</v>
      </c>
      <c r="J377">
        <v>53.4</v>
      </c>
      <c r="K377">
        <v>43.34</v>
      </c>
      <c r="L377">
        <v>0</v>
      </c>
      <c r="M377">
        <v>42.329000000000001</v>
      </c>
      <c r="N377">
        <v>0.50800000000000001</v>
      </c>
      <c r="P377" s="1">
        <f t="shared" si="25"/>
        <v>11.758055555555556</v>
      </c>
      <c r="Q377" s="3">
        <f t="shared" si="23"/>
        <v>2.4611111111111228</v>
      </c>
      <c r="R377" s="3">
        <f t="shared" si="24"/>
        <v>-0.230833333333333</v>
      </c>
      <c r="S377" s="3">
        <f t="shared" si="26"/>
        <v>-6.3636363636363574E-2</v>
      </c>
    </row>
    <row r="378" spans="1:19" x14ac:dyDescent="0.25">
      <c r="A378" t="s">
        <v>16</v>
      </c>
      <c r="C378">
        <v>52.048779500000002</v>
      </c>
      <c r="D378">
        <v>-0.57214560000000003</v>
      </c>
      <c r="E378">
        <v>4</v>
      </c>
      <c r="F378">
        <v>4</v>
      </c>
      <c r="G378">
        <v>2022</v>
      </c>
      <c r="H378">
        <v>13</v>
      </c>
      <c r="I378">
        <v>55</v>
      </c>
      <c r="J378">
        <v>53.5</v>
      </c>
      <c r="K378">
        <v>43.32</v>
      </c>
      <c r="L378">
        <v>0</v>
      </c>
      <c r="M378">
        <v>42.497999999999998</v>
      </c>
      <c r="N378">
        <v>0.51800000000000002</v>
      </c>
      <c r="P378" s="1">
        <f t="shared" si="25"/>
        <v>11.805</v>
      </c>
      <c r="Q378" s="3">
        <f t="shared" si="23"/>
        <v>0.46944444444443789</v>
      </c>
      <c r="R378" s="3">
        <f t="shared" si="24"/>
        <v>-0.161944444444444</v>
      </c>
      <c r="S378" s="3">
        <f t="shared" si="26"/>
        <v>-8.972222222222212E-2</v>
      </c>
    </row>
    <row r="379" spans="1:19" x14ac:dyDescent="0.25">
      <c r="A379" t="s">
        <v>16</v>
      </c>
      <c r="C379">
        <v>52.0487696</v>
      </c>
      <c r="D379">
        <v>-0.57214069999999995</v>
      </c>
      <c r="E379">
        <v>4</v>
      </c>
      <c r="F379">
        <v>4</v>
      </c>
      <c r="G379">
        <v>2022</v>
      </c>
      <c r="H379">
        <v>13</v>
      </c>
      <c r="I379">
        <v>55</v>
      </c>
      <c r="J379">
        <v>53.6</v>
      </c>
      <c r="K379">
        <v>43.3</v>
      </c>
      <c r="L379">
        <v>0</v>
      </c>
      <c r="M379">
        <v>41.576000000000001</v>
      </c>
      <c r="N379">
        <v>0.53600000000000003</v>
      </c>
      <c r="P379" s="1">
        <f t="shared" si="25"/>
        <v>11.548888888888889</v>
      </c>
      <c r="Q379" s="3">
        <f t="shared" si="23"/>
        <v>-2.5611111111111029</v>
      </c>
      <c r="R379" s="3">
        <f t="shared" si="24"/>
        <v>5.0000000000007816E-3</v>
      </c>
      <c r="S379" s="3">
        <f t="shared" si="26"/>
        <v>-7.5707070707070598E-2</v>
      </c>
    </row>
    <row r="380" spans="1:19" x14ac:dyDescent="0.25">
      <c r="A380" t="s">
        <v>16</v>
      </c>
      <c r="C380">
        <v>52.048759799999999</v>
      </c>
      <c r="D380">
        <v>-0.57213619999999998</v>
      </c>
      <c r="E380">
        <v>4</v>
      </c>
      <c r="F380">
        <v>4</v>
      </c>
      <c r="G380">
        <v>2022</v>
      </c>
      <c r="H380">
        <v>13</v>
      </c>
      <c r="I380">
        <v>55</v>
      </c>
      <c r="J380">
        <v>53.7</v>
      </c>
      <c r="K380">
        <v>43.29</v>
      </c>
      <c r="L380">
        <v>0</v>
      </c>
      <c r="M380">
        <v>41.021999999999998</v>
      </c>
      <c r="N380">
        <v>0.53600000000000003</v>
      </c>
      <c r="P380" s="1">
        <f t="shared" si="25"/>
        <v>11.395</v>
      </c>
      <c r="Q380" s="3">
        <f t="shared" si="23"/>
        <v>-1.5388888888888985</v>
      </c>
      <c r="R380" s="3">
        <f t="shared" si="24"/>
        <v>1.3055555555554932E-2</v>
      </c>
      <c r="S380" s="3">
        <f t="shared" si="26"/>
        <v>-1.4065656565656422E-2</v>
      </c>
    </row>
    <row r="381" spans="1:19" x14ac:dyDescent="0.25">
      <c r="A381" t="s">
        <v>16</v>
      </c>
      <c r="C381">
        <v>52.048749700000002</v>
      </c>
      <c r="D381">
        <v>-0.57213170000000002</v>
      </c>
      <c r="E381">
        <v>4</v>
      </c>
      <c r="F381">
        <v>4</v>
      </c>
      <c r="G381">
        <v>2022</v>
      </c>
      <c r="H381">
        <v>13</v>
      </c>
      <c r="I381">
        <v>55</v>
      </c>
      <c r="J381">
        <v>53.8</v>
      </c>
      <c r="K381">
        <v>43.26</v>
      </c>
      <c r="L381">
        <v>0</v>
      </c>
      <c r="M381">
        <v>41.244999999999997</v>
      </c>
      <c r="N381">
        <v>0.52200000000000002</v>
      </c>
      <c r="P381" s="1">
        <f t="shared" si="25"/>
        <v>11.456944444444444</v>
      </c>
      <c r="Q381" s="3">
        <f t="shared" si="23"/>
        <v>0.61944444444444358</v>
      </c>
      <c r="R381" s="3">
        <f t="shared" si="24"/>
        <v>3.5000000000000142E-2</v>
      </c>
      <c r="S381" s="3">
        <f t="shared" si="26"/>
        <v>4.8131313131313226E-2</v>
      </c>
    </row>
    <row r="382" spans="1:19" x14ac:dyDescent="0.25">
      <c r="A382" t="s">
        <v>16</v>
      </c>
      <c r="C382">
        <v>52.048739599999998</v>
      </c>
      <c r="D382">
        <v>-0.57212730000000001</v>
      </c>
      <c r="E382">
        <v>4</v>
      </c>
      <c r="F382">
        <v>4</v>
      </c>
      <c r="G382">
        <v>2022</v>
      </c>
      <c r="H382">
        <v>13</v>
      </c>
      <c r="I382">
        <v>55</v>
      </c>
      <c r="J382">
        <v>53.9</v>
      </c>
      <c r="K382">
        <v>43.21</v>
      </c>
      <c r="L382">
        <v>0</v>
      </c>
      <c r="M382">
        <v>41.35</v>
      </c>
      <c r="N382">
        <v>0.52200000000000002</v>
      </c>
      <c r="P382" s="1">
        <f t="shared" si="25"/>
        <v>11.486111111111111</v>
      </c>
      <c r="Q382" s="3">
        <f t="shared" si="23"/>
        <v>0.29166666666666785</v>
      </c>
      <c r="R382" s="3">
        <f t="shared" si="24"/>
        <v>-0.19916666666666671</v>
      </c>
      <c r="S382" s="3">
        <f t="shared" si="26"/>
        <v>0.10792929292929317</v>
      </c>
    </row>
    <row r="383" spans="1:19" x14ac:dyDescent="0.25">
      <c r="A383" t="s">
        <v>16</v>
      </c>
      <c r="C383">
        <v>52.048729600000001</v>
      </c>
      <c r="D383">
        <v>-0.57212300000000005</v>
      </c>
      <c r="E383">
        <v>4</v>
      </c>
      <c r="F383">
        <v>4</v>
      </c>
      <c r="G383">
        <v>2022</v>
      </c>
      <c r="H383">
        <v>13</v>
      </c>
      <c r="I383">
        <v>55</v>
      </c>
      <c r="J383">
        <v>54</v>
      </c>
      <c r="K383">
        <v>43.17</v>
      </c>
      <c r="L383">
        <v>0</v>
      </c>
      <c r="M383">
        <v>41.011000000000003</v>
      </c>
      <c r="N383">
        <v>0.49</v>
      </c>
      <c r="P383" s="1">
        <f t="shared" si="25"/>
        <v>11.391944444444444</v>
      </c>
      <c r="Q383" s="3">
        <f t="shared" si="23"/>
        <v>-0.94166666666666288</v>
      </c>
      <c r="R383" s="3">
        <f t="shared" si="24"/>
        <v>-2.1944444444443434E-2</v>
      </c>
      <c r="S383" s="3">
        <f t="shared" si="26"/>
        <v>0.15719696969696997</v>
      </c>
    </row>
    <row r="384" spans="1:19" x14ac:dyDescent="0.25">
      <c r="A384" t="s">
        <v>16</v>
      </c>
      <c r="C384">
        <v>52.048719499999997</v>
      </c>
      <c r="D384">
        <v>-0.57211909999999999</v>
      </c>
      <c r="E384">
        <v>4</v>
      </c>
      <c r="F384">
        <v>4</v>
      </c>
      <c r="G384">
        <v>2022</v>
      </c>
      <c r="H384">
        <v>13</v>
      </c>
      <c r="I384">
        <v>55</v>
      </c>
      <c r="J384">
        <v>54.1</v>
      </c>
      <c r="K384">
        <v>43.11</v>
      </c>
      <c r="L384">
        <v>0</v>
      </c>
      <c r="M384">
        <v>41.011000000000003</v>
      </c>
      <c r="N384">
        <v>0.49299999999999999</v>
      </c>
      <c r="P384" s="1">
        <f t="shared" si="25"/>
        <v>11.391944444444444</v>
      </c>
      <c r="Q384" s="3">
        <f t="shared" si="23"/>
        <v>0</v>
      </c>
      <c r="R384" s="3">
        <f t="shared" si="24"/>
        <v>0.44916666666666671</v>
      </c>
      <c r="S384" s="3">
        <f t="shared" si="26"/>
        <v>0.20502525252525269</v>
      </c>
    </row>
    <row r="385" spans="1:19" x14ac:dyDescent="0.25">
      <c r="A385" t="s">
        <v>16</v>
      </c>
      <c r="C385">
        <v>52.0487094</v>
      </c>
      <c r="D385">
        <v>-0.57211529999999999</v>
      </c>
      <c r="E385">
        <v>4</v>
      </c>
      <c r="F385">
        <v>4</v>
      </c>
      <c r="G385">
        <v>2022</v>
      </c>
      <c r="H385">
        <v>13</v>
      </c>
      <c r="I385">
        <v>55</v>
      </c>
      <c r="J385">
        <v>54.2</v>
      </c>
      <c r="K385">
        <v>43.07</v>
      </c>
      <c r="L385">
        <v>0</v>
      </c>
      <c r="M385">
        <v>41.274000000000001</v>
      </c>
      <c r="N385">
        <v>0.497</v>
      </c>
      <c r="P385" s="1">
        <f t="shared" si="25"/>
        <v>11.465</v>
      </c>
      <c r="Q385" s="3">
        <f t="shared" si="23"/>
        <v>0.73055555555555429</v>
      </c>
      <c r="R385" s="3">
        <f t="shared" si="24"/>
        <v>0.55305555555555586</v>
      </c>
      <c r="S385" s="3">
        <f t="shared" si="26"/>
        <v>0.23558080808080817</v>
      </c>
    </row>
    <row r="386" spans="1:19" x14ac:dyDescent="0.25">
      <c r="A386" t="s">
        <v>16</v>
      </c>
      <c r="C386">
        <v>52.048699200000001</v>
      </c>
      <c r="D386">
        <v>-0.57211160000000005</v>
      </c>
      <c r="E386">
        <v>4</v>
      </c>
      <c r="F386">
        <v>4</v>
      </c>
      <c r="G386">
        <v>2022</v>
      </c>
      <c r="H386">
        <v>13</v>
      </c>
      <c r="I386">
        <v>55</v>
      </c>
      <c r="J386">
        <v>54.3</v>
      </c>
      <c r="K386">
        <v>43.06</v>
      </c>
      <c r="L386">
        <v>0</v>
      </c>
      <c r="M386">
        <v>41.569000000000003</v>
      </c>
      <c r="N386">
        <v>0.52900000000000003</v>
      </c>
      <c r="P386" s="1">
        <f t="shared" si="25"/>
        <v>11.546944444444444</v>
      </c>
      <c r="Q386" s="3">
        <f t="shared" si="23"/>
        <v>0.81944444444443931</v>
      </c>
      <c r="R386" s="3">
        <f t="shared" si="24"/>
        <v>0.36805555555555536</v>
      </c>
      <c r="S386" s="3">
        <f t="shared" si="26"/>
        <v>0.2584090909090912</v>
      </c>
    </row>
    <row r="387" spans="1:19" x14ac:dyDescent="0.25">
      <c r="A387" t="s">
        <v>16</v>
      </c>
      <c r="C387">
        <v>52.048689099999997</v>
      </c>
      <c r="D387">
        <v>-0.57210830000000001</v>
      </c>
      <c r="E387">
        <v>4</v>
      </c>
      <c r="F387">
        <v>4</v>
      </c>
      <c r="G387">
        <v>2022</v>
      </c>
      <c r="H387">
        <v>13</v>
      </c>
      <c r="I387">
        <v>55</v>
      </c>
      <c r="J387">
        <v>54.4</v>
      </c>
      <c r="K387">
        <v>43.06</v>
      </c>
      <c r="L387">
        <v>0</v>
      </c>
      <c r="M387">
        <v>41.612000000000002</v>
      </c>
      <c r="N387">
        <v>0.56200000000000006</v>
      </c>
      <c r="P387" s="1">
        <f t="shared" si="25"/>
        <v>11.558888888888889</v>
      </c>
      <c r="Q387" s="3">
        <f t="shared" si="23"/>
        <v>0.11944444444445423</v>
      </c>
      <c r="R387" s="3">
        <f t="shared" si="24"/>
        <v>0.37777777777777821</v>
      </c>
      <c r="S387" s="3">
        <f t="shared" si="26"/>
        <v>0.27550505050505075</v>
      </c>
    </row>
    <row r="388" spans="1:19" x14ac:dyDescent="0.25">
      <c r="A388" t="s">
        <v>16</v>
      </c>
      <c r="C388">
        <v>52.048678600000002</v>
      </c>
      <c r="D388">
        <v>-0.57210490000000003</v>
      </c>
      <c r="E388">
        <v>4</v>
      </c>
      <c r="F388">
        <v>4</v>
      </c>
      <c r="G388">
        <v>2022</v>
      </c>
      <c r="H388">
        <v>13</v>
      </c>
      <c r="I388">
        <v>55</v>
      </c>
      <c r="J388">
        <v>54.5</v>
      </c>
      <c r="K388">
        <v>43.06</v>
      </c>
      <c r="L388">
        <v>0</v>
      </c>
      <c r="M388">
        <v>42.418999999999997</v>
      </c>
      <c r="N388">
        <v>0.57199999999999995</v>
      </c>
      <c r="P388" s="1">
        <f t="shared" si="25"/>
        <v>11.783055555555556</v>
      </c>
      <c r="Q388" s="3">
        <f t="shared" si="23"/>
        <v>2.2416666666666707</v>
      </c>
      <c r="R388" s="3">
        <f t="shared" si="24"/>
        <v>0.31111111111111178</v>
      </c>
      <c r="S388" s="3">
        <f t="shared" si="26"/>
        <v>0.26707070707070729</v>
      </c>
    </row>
    <row r="389" spans="1:19" x14ac:dyDescent="0.25">
      <c r="A389" t="s">
        <v>16</v>
      </c>
      <c r="C389">
        <v>52.048667999999999</v>
      </c>
      <c r="D389">
        <v>-0.57210179999999999</v>
      </c>
      <c r="E389">
        <v>4</v>
      </c>
      <c r="F389">
        <v>4</v>
      </c>
      <c r="G389">
        <v>2022</v>
      </c>
      <c r="H389">
        <v>13</v>
      </c>
      <c r="I389">
        <v>55</v>
      </c>
      <c r="J389">
        <v>54.6</v>
      </c>
      <c r="K389">
        <v>43.08</v>
      </c>
      <c r="L389">
        <v>0</v>
      </c>
      <c r="M389">
        <v>43.192999999999998</v>
      </c>
      <c r="N389">
        <v>0.58299999999999996</v>
      </c>
      <c r="P389" s="1">
        <f t="shared" si="25"/>
        <v>11.998055555555556</v>
      </c>
      <c r="Q389" s="3">
        <f t="shared" ref="Q389:Q452" si="27">10*($P389-$P388)</f>
        <v>2.1499999999999986</v>
      </c>
      <c r="R389" s="3">
        <f t="shared" si="24"/>
        <v>0.36416666666666586</v>
      </c>
      <c r="S389" s="3">
        <f t="shared" si="26"/>
        <v>0.22343434343434349</v>
      </c>
    </row>
    <row r="390" spans="1:19" x14ac:dyDescent="0.25">
      <c r="A390" t="s">
        <v>16</v>
      </c>
      <c r="C390">
        <v>52.048657599999999</v>
      </c>
      <c r="D390">
        <v>-0.57209860000000001</v>
      </c>
      <c r="E390">
        <v>4</v>
      </c>
      <c r="F390">
        <v>4</v>
      </c>
      <c r="G390">
        <v>2022</v>
      </c>
      <c r="H390">
        <v>13</v>
      </c>
      <c r="I390">
        <v>55</v>
      </c>
      <c r="J390">
        <v>54.7</v>
      </c>
      <c r="K390">
        <v>43.09</v>
      </c>
      <c r="L390">
        <v>0</v>
      </c>
      <c r="M390">
        <v>43.012999999999998</v>
      </c>
      <c r="N390">
        <v>0.56499999999999995</v>
      </c>
      <c r="P390" s="1">
        <f t="shared" si="25"/>
        <v>11.948055555555555</v>
      </c>
      <c r="Q390" s="3">
        <f t="shared" si="27"/>
        <v>-0.50000000000000711</v>
      </c>
      <c r="R390" s="3">
        <f t="shared" si="24"/>
        <v>0.34111111111111114</v>
      </c>
      <c r="S390" s="3">
        <f t="shared" si="26"/>
        <v>0.13722222222222219</v>
      </c>
    </row>
    <row r="391" spans="1:19" x14ac:dyDescent="0.25">
      <c r="A391" t="s">
        <v>16</v>
      </c>
      <c r="C391">
        <v>52.048647299999999</v>
      </c>
      <c r="D391">
        <v>-0.57209560000000004</v>
      </c>
      <c r="E391">
        <v>4</v>
      </c>
      <c r="F391">
        <v>4</v>
      </c>
      <c r="G391">
        <v>2022</v>
      </c>
      <c r="H391">
        <v>13</v>
      </c>
      <c r="I391">
        <v>55</v>
      </c>
      <c r="J391">
        <v>54.8</v>
      </c>
      <c r="K391">
        <v>43.13</v>
      </c>
      <c r="L391">
        <v>0</v>
      </c>
      <c r="M391">
        <v>42.57</v>
      </c>
      <c r="N391">
        <v>0.56499999999999995</v>
      </c>
      <c r="P391" s="1">
        <f t="shared" si="25"/>
        <v>11.824999999999999</v>
      </c>
      <c r="Q391" s="3">
        <f t="shared" si="27"/>
        <v>-1.2305555555555614</v>
      </c>
      <c r="R391" s="3">
        <f t="shared" si="24"/>
        <v>0.26416666666666799</v>
      </c>
      <c r="S391" s="3">
        <f t="shared" si="26"/>
        <v>3.320707070707065E-2</v>
      </c>
    </row>
    <row r="392" spans="1:19" x14ac:dyDescent="0.25">
      <c r="A392" t="s">
        <v>16</v>
      </c>
      <c r="C392">
        <v>52.048636799999997</v>
      </c>
      <c r="D392">
        <v>-0.57209290000000002</v>
      </c>
      <c r="E392">
        <v>4</v>
      </c>
      <c r="F392">
        <v>4</v>
      </c>
      <c r="G392">
        <v>2022</v>
      </c>
      <c r="H392">
        <v>13</v>
      </c>
      <c r="I392">
        <v>55</v>
      </c>
      <c r="J392">
        <v>54.9</v>
      </c>
      <c r="K392">
        <v>43.15</v>
      </c>
      <c r="L392">
        <v>0</v>
      </c>
      <c r="M392">
        <v>42.71</v>
      </c>
      <c r="N392">
        <v>0.56899999999999995</v>
      </c>
      <c r="P392" s="1">
        <f t="shared" si="25"/>
        <v>11.863888888888889</v>
      </c>
      <c r="Q392" s="3">
        <f t="shared" si="27"/>
        <v>0.38888888888889639</v>
      </c>
      <c r="R392" s="3">
        <f t="shared" si="24"/>
        <v>0.22305555555555578</v>
      </c>
      <c r="S392" s="3">
        <f t="shared" si="26"/>
        <v>-2.6338383838383838E-2</v>
      </c>
    </row>
    <row r="393" spans="1:19" x14ac:dyDescent="0.25">
      <c r="A393" t="s">
        <v>16</v>
      </c>
      <c r="C393">
        <v>52.048626599999999</v>
      </c>
      <c r="D393">
        <v>-0.57209010000000005</v>
      </c>
      <c r="E393">
        <v>4</v>
      </c>
      <c r="F393">
        <v>4</v>
      </c>
      <c r="G393">
        <v>2022</v>
      </c>
      <c r="H393">
        <v>13</v>
      </c>
      <c r="I393">
        <v>55</v>
      </c>
      <c r="J393">
        <v>55</v>
      </c>
      <c r="K393">
        <v>43.17</v>
      </c>
      <c r="L393">
        <v>0</v>
      </c>
      <c r="M393">
        <v>42.131</v>
      </c>
      <c r="N393">
        <v>0.52900000000000003</v>
      </c>
      <c r="P393" s="1">
        <f t="shared" si="25"/>
        <v>11.703055555555556</v>
      </c>
      <c r="Q393" s="3">
        <f t="shared" si="27"/>
        <v>-1.6083333333333272</v>
      </c>
      <c r="R393" s="3">
        <f t="shared" ref="R393:R456" si="28">($P398-$P388)</f>
        <v>-0.29194444444444478</v>
      </c>
      <c r="S393" s="3">
        <f t="shared" si="26"/>
        <v>-4.5606060606060629E-2</v>
      </c>
    </row>
    <row r="394" spans="1:19" x14ac:dyDescent="0.25">
      <c r="A394" t="s">
        <v>16</v>
      </c>
      <c r="C394">
        <v>52.048616299999999</v>
      </c>
      <c r="D394">
        <v>-0.57208689999999995</v>
      </c>
      <c r="E394">
        <v>4</v>
      </c>
      <c r="F394">
        <v>4</v>
      </c>
      <c r="G394">
        <v>2022</v>
      </c>
      <c r="H394">
        <v>13</v>
      </c>
      <c r="I394">
        <v>55</v>
      </c>
      <c r="J394">
        <v>55.1</v>
      </c>
      <c r="K394">
        <v>43.19</v>
      </c>
      <c r="L394">
        <v>0</v>
      </c>
      <c r="M394">
        <v>42.322000000000003</v>
      </c>
      <c r="N394">
        <v>0.52600000000000002</v>
      </c>
      <c r="P394" s="1">
        <f t="shared" si="25"/>
        <v>11.75611111111111</v>
      </c>
      <c r="Q394" s="3">
        <f t="shared" si="27"/>
        <v>0.53055555555554079</v>
      </c>
      <c r="R394" s="3">
        <f t="shared" si="28"/>
        <v>-0.50194444444444564</v>
      </c>
      <c r="S394" s="3">
        <f t="shared" si="26"/>
        <v>-4.1540404040403996E-2</v>
      </c>
    </row>
    <row r="395" spans="1:19" x14ac:dyDescent="0.25">
      <c r="A395" t="s">
        <v>16</v>
      </c>
      <c r="C395">
        <v>52.048605899999998</v>
      </c>
      <c r="D395">
        <v>-0.57208380000000003</v>
      </c>
      <c r="E395">
        <v>4</v>
      </c>
      <c r="F395">
        <v>4</v>
      </c>
      <c r="G395">
        <v>2022</v>
      </c>
      <c r="H395">
        <v>13</v>
      </c>
      <c r="I395">
        <v>55</v>
      </c>
      <c r="J395">
        <v>55.2</v>
      </c>
      <c r="K395">
        <v>43.2</v>
      </c>
      <c r="L395">
        <v>0</v>
      </c>
      <c r="M395">
        <v>42.502000000000002</v>
      </c>
      <c r="N395">
        <v>0.51500000000000001</v>
      </c>
      <c r="P395" s="1">
        <f t="shared" si="25"/>
        <v>11.806111111111111</v>
      </c>
      <c r="Q395" s="3">
        <f t="shared" si="27"/>
        <v>0.50000000000000711</v>
      </c>
      <c r="R395" s="3">
        <f t="shared" si="28"/>
        <v>-0.49916666666666742</v>
      </c>
      <c r="S395" s="3">
        <f t="shared" si="26"/>
        <v>-3.0101010101009962E-2</v>
      </c>
    </row>
    <row r="396" spans="1:19" x14ac:dyDescent="0.25">
      <c r="A396" t="s">
        <v>16</v>
      </c>
      <c r="C396">
        <v>52.048595499999998</v>
      </c>
      <c r="D396">
        <v>-0.57208029999999999</v>
      </c>
      <c r="E396">
        <v>4</v>
      </c>
      <c r="F396">
        <v>4</v>
      </c>
      <c r="G396">
        <v>2022</v>
      </c>
      <c r="H396">
        <v>13</v>
      </c>
      <c r="I396">
        <v>55</v>
      </c>
      <c r="J396">
        <v>55.3</v>
      </c>
      <c r="K396">
        <v>43.18</v>
      </c>
      <c r="L396">
        <v>0</v>
      </c>
      <c r="M396">
        <v>42.52</v>
      </c>
      <c r="N396">
        <v>0.51500000000000001</v>
      </c>
      <c r="P396" s="1">
        <f t="shared" si="25"/>
        <v>11.811111111111112</v>
      </c>
      <c r="Q396" s="3">
        <f t="shared" si="27"/>
        <v>5.0000000000007816E-2</v>
      </c>
      <c r="R396" s="3">
        <f t="shared" si="28"/>
        <v>-0.59111111111111114</v>
      </c>
      <c r="S396" s="3">
        <f t="shared" si="26"/>
        <v>-1.9040404040403948E-2</v>
      </c>
    </row>
    <row r="397" spans="1:19" x14ac:dyDescent="0.25">
      <c r="A397" t="s">
        <v>16</v>
      </c>
      <c r="C397">
        <v>52.048585099999997</v>
      </c>
      <c r="D397">
        <v>-0.57207669999999999</v>
      </c>
      <c r="E397">
        <v>4</v>
      </c>
      <c r="F397">
        <v>4</v>
      </c>
      <c r="G397">
        <v>2022</v>
      </c>
      <c r="H397">
        <v>13</v>
      </c>
      <c r="I397">
        <v>55</v>
      </c>
      <c r="J397">
        <v>55.4</v>
      </c>
      <c r="K397">
        <v>43.16</v>
      </c>
      <c r="L397">
        <v>0</v>
      </c>
      <c r="M397">
        <v>42.414999999999999</v>
      </c>
      <c r="N397">
        <v>0.51100000000000001</v>
      </c>
      <c r="P397" s="1">
        <f t="shared" si="25"/>
        <v>11.781944444444445</v>
      </c>
      <c r="Q397" s="3">
        <f t="shared" si="27"/>
        <v>-0.29166666666666785</v>
      </c>
      <c r="R397" s="3">
        <f t="shared" si="28"/>
        <v>-0.286944444444444</v>
      </c>
      <c r="S397" s="3">
        <f t="shared" si="26"/>
        <v>-6.96969696969709E-3</v>
      </c>
    </row>
    <row r="398" spans="1:19" x14ac:dyDescent="0.25">
      <c r="A398" t="s">
        <v>16</v>
      </c>
      <c r="C398">
        <v>52.048574899999998</v>
      </c>
      <c r="D398">
        <v>-0.57207370000000002</v>
      </c>
      <c r="E398">
        <v>4</v>
      </c>
      <c r="F398">
        <v>4</v>
      </c>
      <c r="G398">
        <v>2022</v>
      </c>
      <c r="H398">
        <v>13</v>
      </c>
      <c r="I398">
        <v>55</v>
      </c>
      <c r="J398">
        <v>55.5</v>
      </c>
      <c r="K398">
        <v>43.1</v>
      </c>
      <c r="L398">
        <v>0</v>
      </c>
      <c r="M398">
        <v>41.368000000000002</v>
      </c>
      <c r="N398">
        <v>0.51500000000000001</v>
      </c>
      <c r="P398" s="1">
        <f t="shared" si="25"/>
        <v>11.491111111111111</v>
      </c>
      <c r="Q398" s="3">
        <f t="shared" si="27"/>
        <v>-2.908333333333335</v>
      </c>
      <c r="R398" s="3">
        <f t="shared" si="28"/>
        <v>0.1658333333333335</v>
      </c>
      <c r="S398" s="3">
        <f t="shared" si="26"/>
        <v>3.1186868686868475E-2</v>
      </c>
    </row>
    <row r="399" spans="1:19" x14ac:dyDescent="0.25">
      <c r="A399" t="s">
        <v>16</v>
      </c>
      <c r="C399">
        <v>52.0485647</v>
      </c>
      <c r="D399">
        <v>-0.57207050000000004</v>
      </c>
      <c r="E399">
        <v>4</v>
      </c>
      <c r="F399">
        <v>4</v>
      </c>
      <c r="G399">
        <v>2022</v>
      </c>
      <c r="H399">
        <v>13</v>
      </c>
      <c r="I399">
        <v>55</v>
      </c>
      <c r="J399">
        <v>55.6</v>
      </c>
      <c r="K399">
        <v>43.07</v>
      </c>
      <c r="L399">
        <v>0</v>
      </c>
      <c r="M399">
        <v>41.386000000000003</v>
      </c>
      <c r="N399">
        <v>0.52900000000000003</v>
      </c>
      <c r="P399" s="1">
        <f t="shared" si="25"/>
        <v>11.496111111111111</v>
      </c>
      <c r="Q399" s="3">
        <f t="shared" si="27"/>
        <v>4.9999999999990052E-2</v>
      </c>
      <c r="R399" s="3">
        <f t="shared" si="28"/>
        <v>0.35583333333333478</v>
      </c>
      <c r="S399" s="3">
        <f t="shared" si="26"/>
        <v>9.7626262626262547E-2</v>
      </c>
    </row>
    <row r="400" spans="1:19" x14ac:dyDescent="0.25">
      <c r="A400" t="s">
        <v>16</v>
      </c>
      <c r="C400">
        <v>52.0485544</v>
      </c>
      <c r="D400">
        <v>-0.57206769999999996</v>
      </c>
      <c r="E400">
        <v>4</v>
      </c>
      <c r="F400">
        <v>4</v>
      </c>
      <c r="G400">
        <v>2022</v>
      </c>
      <c r="H400">
        <v>13</v>
      </c>
      <c r="I400">
        <v>55</v>
      </c>
      <c r="J400">
        <v>55.7</v>
      </c>
      <c r="K400">
        <v>43.02</v>
      </c>
      <c r="L400">
        <v>0</v>
      </c>
      <c r="M400">
        <v>41.216000000000001</v>
      </c>
      <c r="N400">
        <v>0.53300000000000003</v>
      </c>
      <c r="P400" s="1">
        <f t="shared" si="25"/>
        <v>11.448888888888888</v>
      </c>
      <c r="Q400" s="3">
        <f t="shared" si="27"/>
        <v>-0.47222222222222499</v>
      </c>
      <c r="R400" s="3">
        <f t="shared" si="28"/>
        <v>0.49000000000000021</v>
      </c>
      <c r="S400" s="3">
        <f t="shared" si="26"/>
        <v>0.18681818181818197</v>
      </c>
    </row>
    <row r="401" spans="1:19" x14ac:dyDescent="0.25">
      <c r="A401" t="s">
        <v>16</v>
      </c>
      <c r="C401">
        <v>52.048544499999998</v>
      </c>
      <c r="D401">
        <v>-0.5720655</v>
      </c>
      <c r="E401">
        <v>4</v>
      </c>
      <c r="F401">
        <v>4</v>
      </c>
      <c r="G401">
        <v>2022</v>
      </c>
      <c r="H401">
        <v>13</v>
      </c>
      <c r="I401">
        <v>55</v>
      </c>
      <c r="J401">
        <v>55.8</v>
      </c>
      <c r="K401">
        <v>43.04</v>
      </c>
      <c r="L401">
        <v>0</v>
      </c>
      <c r="M401">
        <v>40.442</v>
      </c>
      <c r="N401">
        <v>0.52900000000000003</v>
      </c>
      <c r="P401" s="1">
        <f t="shared" si="25"/>
        <v>11.233888888888888</v>
      </c>
      <c r="Q401" s="3">
        <f t="shared" si="27"/>
        <v>-2.1499999999999986</v>
      </c>
      <c r="R401" s="3">
        <f t="shared" si="28"/>
        <v>0.46277777777777729</v>
      </c>
      <c r="S401" s="3">
        <f t="shared" si="26"/>
        <v>0.27128787878787913</v>
      </c>
    </row>
    <row r="402" spans="1:19" x14ac:dyDescent="0.25">
      <c r="A402" t="s">
        <v>16</v>
      </c>
      <c r="C402">
        <v>52.048534099999998</v>
      </c>
      <c r="D402">
        <v>-0.57206319999999999</v>
      </c>
      <c r="E402">
        <v>4</v>
      </c>
      <c r="F402">
        <v>4</v>
      </c>
      <c r="G402">
        <v>2022</v>
      </c>
      <c r="H402">
        <v>13</v>
      </c>
      <c r="I402">
        <v>55</v>
      </c>
      <c r="J402">
        <v>55.9</v>
      </c>
      <c r="K402">
        <v>43.03</v>
      </c>
      <c r="L402">
        <v>0</v>
      </c>
      <c r="M402">
        <v>41.677</v>
      </c>
      <c r="N402">
        <v>0.51800000000000002</v>
      </c>
      <c r="P402" s="1">
        <f t="shared" ref="P402:P465" si="29">M402*1000/3600</f>
        <v>11.576944444444445</v>
      </c>
      <c r="Q402" s="3">
        <f t="shared" si="27"/>
        <v>3.4305555555555678</v>
      </c>
      <c r="R402" s="3">
        <f t="shared" si="28"/>
        <v>0.39694444444444343</v>
      </c>
      <c r="S402" s="3">
        <f t="shared" si="26"/>
        <v>0.32530303030303059</v>
      </c>
    </row>
    <row r="403" spans="1:19" x14ac:dyDescent="0.25">
      <c r="A403" t="s">
        <v>16</v>
      </c>
      <c r="C403">
        <v>52.048523600000003</v>
      </c>
      <c r="D403">
        <v>-0.57206049999999997</v>
      </c>
      <c r="E403">
        <v>4</v>
      </c>
      <c r="F403">
        <v>4</v>
      </c>
      <c r="G403">
        <v>2022</v>
      </c>
      <c r="H403">
        <v>13</v>
      </c>
      <c r="I403">
        <v>55</v>
      </c>
      <c r="J403">
        <v>56</v>
      </c>
      <c r="K403">
        <v>43.07</v>
      </c>
      <c r="L403">
        <v>0</v>
      </c>
      <c r="M403">
        <v>42.728000000000002</v>
      </c>
      <c r="N403">
        <v>0.53300000000000003</v>
      </c>
      <c r="P403" s="1">
        <f t="shared" si="29"/>
        <v>11.86888888888889</v>
      </c>
      <c r="Q403" s="3">
        <f t="shared" si="27"/>
        <v>2.9194444444444478</v>
      </c>
      <c r="R403" s="3">
        <f t="shared" si="28"/>
        <v>0.642777777777777</v>
      </c>
      <c r="S403" s="3">
        <f t="shared" ref="S403:S466" si="30">AVERAGE(R398:R408)</f>
        <v>0.33229797979797998</v>
      </c>
    </row>
    <row r="404" spans="1:19" x14ac:dyDescent="0.25">
      <c r="A404" t="s">
        <v>16</v>
      </c>
      <c r="C404">
        <v>52.048513</v>
      </c>
      <c r="D404">
        <v>-0.5720577</v>
      </c>
      <c r="E404">
        <v>4</v>
      </c>
      <c r="F404">
        <v>4</v>
      </c>
      <c r="G404">
        <v>2022</v>
      </c>
      <c r="H404">
        <v>13</v>
      </c>
      <c r="I404">
        <v>55</v>
      </c>
      <c r="J404">
        <v>56.1</v>
      </c>
      <c r="K404">
        <v>43.12</v>
      </c>
      <c r="L404">
        <v>0</v>
      </c>
      <c r="M404">
        <v>43.603000000000002</v>
      </c>
      <c r="N404">
        <v>0.55100000000000005</v>
      </c>
      <c r="P404" s="1">
        <f t="shared" si="29"/>
        <v>12.111944444444445</v>
      </c>
      <c r="Q404" s="3">
        <f t="shared" si="27"/>
        <v>2.4305555555555536</v>
      </c>
      <c r="R404" s="3">
        <f t="shared" si="28"/>
        <v>0.43888888888888999</v>
      </c>
      <c r="S404" s="3">
        <f t="shared" si="30"/>
        <v>0.26767676767676785</v>
      </c>
    </row>
    <row r="405" spans="1:19" x14ac:dyDescent="0.25">
      <c r="A405" t="s">
        <v>16</v>
      </c>
      <c r="C405">
        <v>52.048502300000003</v>
      </c>
      <c r="D405">
        <v>-0.57205459999999997</v>
      </c>
      <c r="E405">
        <v>4</v>
      </c>
      <c r="F405">
        <v>4</v>
      </c>
      <c r="G405">
        <v>2022</v>
      </c>
      <c r="H405">
        <v>13</v>
      </c>
      <c r="I405">
        <v>55</v>
      </c>
      <c r="J405">
        <v>56.2</v>
      </c>
      <c r="K405">
        <v>43.2</v>
      </c>
      <c r="L405">
        <v>0</v>
      </c>
      <c r="M405">
        <v>44.265999999999998</v>
      </c>
      <c r="N405">
        <v>0.55100000000000005</v>
      </c>
      <c r="P405" s="1">
        <f t="shared" si="29"/>
        <v>12.296111111111111</v>
      </c>
      <c r="Q405" s="3">
        <f t="shared" si="27"/>
        <v>1.8416666666666615</v>
      </c>
      <c r="R405" s="3">
        <f t="shared" si="28"/>
        <v>0.47916666666666785</v>
      </c>
      <c r="S405" s="3">
        <f t="shared" si="30"/>
        <v>0.1494949494949496</v>
      </c>
    </row>
    <row r="406" spans="1:19" x14ac:dyDescent="0.25">
      <c r="A406" t="s">
        <v>16</v>
      </c>
      <c r="C406">
        <v>52.048491400000003</v>
      </c>
      <c r="D406">
        <v>-0.57205139999999999</v>
      </c>
      <c r="E406">
        <v>4</v>
      </c>
      <c r="F406">
        <v>4</v>
      </c>
      <c r="G406">
        <v>2022</v>
      </c>
      <c r="H406">
        <v>13</v>
      </c>
      <c r="I406">
        <v>55</v>
      </c>
      <c r="J406">
        <v>56.3</v>
      </c>
      <c r="K406">
        <v>43.2</v>
      </c>
      <c r="L406">
        <v>0</v>
      </c>
      <c r="M406">
        <v>44.186</v>
      </c>
      <c r="N406">
        <v>0.54400000000000004</v>
      </c>
      <c r="P406" s="1">
        <f t="shared" si="29"/>
        <v>12.273888888888889</v>
      </c>
      <c r="Q406" s="3">
        <f t="shared" si="27"/>
        <v>-0.22222222222222143</v>
      </c>
      <c r="R406" s="3">
        <f t="shared" si="28"/>
        <v>0.43000000000000149</v>
      </c>
      <c r="S406" s="3">
        <f t="shared" si="30"/>
        <v>2.9696969696969819E-2</v>
      </c>
    </row>
    <row r="407" spans="1:19" x14ac:dyDescent="0.25">
      <c r="A407" t="s">
        <v>16</v>
      </c>
      <c r="C407">
        <v>52.048480900000001</v>
      </c>
      <c r="D407">
        <v>-0.57204820000000001</v>
      </c>
      <c r="E407">
        <v>4</v>
      </c>
      <c r="F407">
        <v>4</v>
      </c>
      <c r="G407">
        <v>2022</v>
      </c>
      <c r="H407">
        <v>13</v>
      </c>
      <c r="I407">
        <v>55</v>
      </c>
      <c r="J407">
        <v>56.4</v>
      </c>
      <c r="K407">
        <v>43.25</v>
      </c>
      <c r="L407">
        <v>0</v>
      </c>
      <c r="M407">
        <v>43.844000000000001</v>
      </c>
      <c r="N407">
        <v>0.52900000000000003</v>
      </c>
      <c r="P407" s="1">
        <f t="shared" si="29"/>
        <v>12.178888888888888</v>
      </c>
      <c r="Q407" s="3">
        <f t="shared" si="27"/>
        <v>-0.95000000000000639</v>
      </c>
      <c r="R407" s="3">
        <f t="shared" si="28"/>
        <v>3.055555555555145E-3</v>
      </c>
      <c r="S407" s="3">
        <f t="shared" si="30"/>
        <v>-8.8636363636363444E-2</v>
      </c>
    </row>
    <row r="408" spans="1:19" x14ac:dyDescent="0.25">
      <c r="A408" t="s">
        <v>16</v>
      </c>
      <c r="C408">
        <v>52.048470199999997</v>
      </c>
      <c r="D408">
        <v>-0.57204469999999996</v>
      </c>
      <c r="E408">
        <v>4</v>
      </c>
      <c r="F408">
        <v>4</v>
      </c>
      <c r="G408">
        <v>2022</v>
      </c>
      <c r="H408">
        <v>13</v>
      </c>
      <c r="I408">
        <v>55</v>
      </c>
      <c r="J408">
        <v>56.5</v>
      </c>
      <c r="K408">
        <v>43.24</v>
      </c>
      <c r="L408">
        <v>0</v>
      </c>
      <c r="M408">
        <v>43.682000000000002</v>
      </c>
      <c r="N408">
        <v>0.50800000000000001</v>
      </c>
      <c r="P408" s="1">
        <f t="shared" si="29"/>
        <v>12.133888888888889</v>
      </c>
      <c r="Q408" s="3">
        <f t="shared" si="27"/>
        <v>-0.44999999999999929</v>
      </c>
      <c r="R408" s="3">
        <f t="shared" si="28"/>
        <v>-0.21000000000000085</v>
      </c>
      <c r="S408" s="3">
        <f t="shared" si="30"/>
        <v>-0.19689393939393909</v>
      </c>
    </row>
    <row r="409" spans="1:19" x14ac:dyDescent="0.25">
      <c r="A409" t="s">
        <v>16</v>
      </c>
      <c r="C409">
        <v>52.048459600000001</v>
      </c>
      <c r="D409">
        <v>-0.57204120000000003</v>
      </c>
      <c r="E409">
        <v>4</v>
      </c>
      <c r="F409">
        <v>4</v>
      </c>
      <c r="G409">
        <v>2022</v>
      </c>
      <c r="H409">
        <v>13</v>
      </c>
      <c r="I409">
        <v>55</v>
      </c>
      <c r="J409">
        <v>56.6</v>
      </c>
      <c r="K409">
        <v>43.21</v>
      </c>
      <c r="L409">
        <v>0</v>
      </c>
      <c r="M409">
        <v>42.966000000000001</v>
      </c>
      <c r="N409">
        <v>0.504</v>
      </c>
      <c r="P409" s="1">
        <f t="shared" si="29"/>
        <v>11.935</v>
      </c>
      <c r="Q409" s="3">
        <f t="shared" si="27"/>
        <v>-1.98888888888888</v>
      </c>
      <c r="R409" s="3">
        <f t="shared" si="28"/>
        <v>-0.54499999999999993</v>
      </c>
      <c r="S409" s="3">
        <f t="shared" si="30"/>
        <v>-0.30487373737373696</v>
      </c>
    </row>
    <row r="410" spans="1:19" x14ac:dyDescent="0.25">
      <c r="A410" t="s">
        <v>16</v>
      </c>
      <c r="C410">
        <v>52.048448899999997</v>
      </c>
      <c r="D410">
        <v>-0.57203780000000004</v>
      </c>
      <c r="E410">
        <v>4</v>
      </c>
      <c r="F410">
        <v>4</v>
      </c>
      <c r="G410">
        <v>2022</v>
      </c>
      <c r="H410">
        <v>13</v>
      </c>
      <c r="I410">
        <v>55</v>
      </c>
      <c r="J410">
        <v>56.7</v>
      </c>
      <c r="K410">
        <v>43.14</v>
      </c>
      <c r="L410">
        <v>0</v>
      </c>
      <c r="M410">
        <v>42.941000000000003</v>
      </c>
      <c r="N410">
        <v>0.49299999999999999</v>
      </c>
      <c r="P410" s="1">
        <f t="shared" si="29"/>
        <v>11.928055555555556</v>
      </c>
      <c r="Q410" s="3">
        <f t="shared" si="27"/>
        <v>-6.9444444444446418E-2</v>
      </c>
      <c r="R410" s="3">
        <f t="shared" si="28"/>
        <v>-0.94416666666666593</v>
      </c>
      <c r="S410" s="3">
        <f t="shared" si="30"/>
        <v>-0.40515151515151487</v>
      </c>
    </row>
    <row r="411" spans="1:19" x14ac:dyDescent="0.25">
      <c r="A411" t="s">
        <v>16</v>
      </c>
      <c r="C411">
        <v>52.048438500000003</v>
      </c>
      <c r="D411">
        <v>-0.57203459999999995</v>
      </c>
      <c r="E411">
        <v>4</v>
      </c>
      <c r="F411">
        <v>4</v>
      </c>
      <c r="G411">
        <v>2022</v>
      </c>
      <c r="H411">
        <v>13</v>
      </c>
      <c r="I411">
        <v>55</v>
      </c>
      <c r="J411">
        <v>56.8</v>
      </c>
      <c r="K411">
        <v>43.09</v>
      </c>
      <c r="L411">
        <v>0</v>
      </c>
      <c r="M411">
        <v>41.99</v>
      </c>
      <c r="N411">
        <v>0.5</v>
      </c>
      <c r="P411" s="1">
        <f t="shared" si="29"/>
        <v>11.66388888888889</v>
      </c>
      <c r="Q411" s="3">
        <f t="shared" si="27"/>
        <v>-2.6416666666666622</v>
      </c>
      <c r="R411" s="3">
        <f t="shared" si="28"/>
        <v>-0.8277777777777775</v>
      </c>
      <c r="S411" s="3">
        <f t="shared" si="30"/>
        <v>-0.50633838383838381</v>
      </c>
    </row>
    <row r="412" spans="1:19" x14ac:dyDescent="0.25">
      <c r="A412" t="s">
        <v>16</v>
      </c>
      <c r="C412">
        <v>52.0484279</v>
      </c>
      <c r="D412">
        <v>-0.57203179999999998</v>
      </c>
      <c r="E412">
        <v>4</v>
      </c>
      <c r="F412">
        <v>4</v>
      </c>
      <c r="G412">
        <v>2022</v>
      </c>
      <c r="H412">
        <v>13</v>
      </c>
      <c r="I412">
        <v>55</v>
      </c>
      <c r="J412">
        <v>56.9</v>
      </c>
      <c r="K412">
        <v>43</v>
      </c>
      <c r="L412">
        <v>0</v>
      </c>
      <c r="M412">
        <v>41.688000000000002</v>
      </c>
      <c r="N412">
        <v>0.51800000000000002</v>
      </c>
      <c r="P412" s="1">
        <f t="shared" si="29"/>
        <v>11.58</v>
      </c>
      <c r="Q412" s="3">
        <f t="shared" si="27"/>
        <v>-0.83888888888889568</v>
      </c>
      <c r="R412" s="3">
        <f t="shared" si="28"/>
        <v>-0.83888888888888857</v>
      </c>
      <c r="S412" s="3">
        <f t="shared" si="30"/>
        <v>-0.61896464646464655</v>
      </c>
    </row>
    <row r="413" spans="1:19" x14ac:dyDescent="0.25">
      <c r="A413" t="s">
        <v>16</v>
      </c>
      <c r="C413">
        <v>52.048417499999999</v>
      </c>
      <c r="D413">
        <v>-0.57202889999999995</v>
      </c>
      <c r="E413">
        <v>4</v>
      </c>
      <c r="F413">
        <v>4</v>
      </c>
      <c r="G413">
        <v>2022</v>
      </c>
      <c r="H413">
        <v>13</v>
      </c>
      <c r="I413">
        <v>55</v>
      </c>
      <c r="J413">
        <v>57</v>
      </c>
      <c r="K413">
        <v>42.97</v>
      </c>
      <c r="L413">
        <v>0</v>
      </c>
      <c r="M413">
        <v>41.972000000000001</v>
      </c>
      <c r="N413">
        <v>0.53300000000000003</v>
      </c>
      <c r="P413" s="1">
        <f t="shared" si="29"/>
        <v>11.658888888888889</v>
      </c>
      <c r="Q413" s="3">
        <f t="shared" si="27"/>
        <v>0.78888888888888786</v>
      </c>
      <c r="R413" s="3">
        <f t="shared" si="28"/>
        <v>-0.79388888888888864</v>
      </c>
      <c r="S413" s="3">
        <f t="shared" si="30"/>
        <v>-0.69904040404040413</v>
      </c>
    </row>
    <row r="414" spans="1:19" x14ac:dyDescent="0.25">
      <c r="A414" t="s">
        <v>16</v>
      </c>
      <c r="C414">
        <v>52.0484072</v>
      </c>
      <c r="D414">
        <v>-0.57202600000000003</v>
      </c>
      <c r="E414">
        <v>4</v>
      </c>
      <c r="F414">
        <v>4</v>
      </c>
      <c r="G414">
        <v>2022</v>
      </c>
      <c r="H414">
        <v>13</v>
      </c>
      <c r="I414">
        <v>55</v>
      </c>
      <c r="J414">
        <v>57.1</v>
      </c>
      <c r="K414">
        <v>42.93</v>
      </c>
      <c r="L414">
        <v>0</v>
      </c>
      <c r="M414">
        <v>41.640999999999998</v>
      </c>
      <c r="N414">
        <v>0.51500000000000001</v>
      </c>
      <c r="P414" s="1">
        <f t="shared" si="29"/>
        <v>11.566944444444445</v>
      </c>
      <c r="Q414" s="3">
        <f t="shared" si="27"/>
        <v>-0.91944444444443718</v>
      </c>
      <c r="R414" s="3">
        <f t="shared" si="28"/>
        <v>-0.54499999999999993</v>
      </c>
      <c r="S414" s="3">
        <f t="shared" si="30"/>
        <v>-0.74002525252525264</v>
      </c>
    </row>
    <row r="415" spans="1:19" x14ac:dyDescent="0.25">
      <c r="A415" t="s">
        <v>16</v>
      </c>
      <c r="C415">
        <v>52.048397100000003</v>
      </c>
      <c r="D415">
        <v>-0.57202370000000002</v>
      </c>
      <c r="E415">
        <v>4</v>
      </c>
      <c r="F415">
        <v>4</v>
      </c>
      <c r="G415">
        <v>2022</v>
      </c>
      <c r="H415">
        <v>13</v>
      </c>
      <c r="I415">
        <v>55</v>
      </c>
      <c r="J415">
        <v>57.2</v>
      </c>
      <c r="K415">
        <v>42.9</v>
      </c>
      <c r="L415">
        <v>0</v>
      </c>
      <c r="M415">
        <v>40.866999999999997</v>
      </c>
      <c r="N415">
        <v>0.497</v>
      </c>
      <c r="P415" s="1">
        <f t="shared" si="29"/>
        <v>11.351944444444445</v>
      </c>
      <c r="Q415" s="3">
        <f t="shared" si="27"/>
        <v>-2.1499999999999986</v>
      </c>
      <c r="R415" s="3">
        <f t="shared" si="28"/>
        <v>-0.66416666666666657</v>
      </c>
      <c r="S415" s="3">
        <f t="shared" si="30"/>
        <v>-0.73348484848484863</v>
      </c>
    </row>
    <row r="416" spans="1:19" x14ac:dyDescent="0.25">
      <c r="A416" t="s">
        <v>16</v>
      </c>
      <c r="C416">
        <v>52.048386999999998</v>
      </c>
      <c r="D416">
        <v>-0.57202149999999996</v>
      </c>
      <c r="E416">
        <v>4</v>
      </c>
      <c r="F416">
        <v>4</v>
      </c>
      <c r="G416">
        <v>2022</v>
      </c>
      <c r="H416">
        <v>13</v>
      </c>
      <c r="I416">
        <v>55</v>
      </c>
      <c r="J416">
        <v>57.3</v>
      </c>
      <c r="K416">
        <v>42.94</v>
      </c>
      <c r="L416">
        <v>0</v>
      </c>
      <c r="M416">
        <v>41.206000000000003</v>
      </c>
      <c r="N416">
        <v>0.52200000000000002</v>
      </c>
      <c r="P416" s="1">
        <f t="shared" si="29"/>
        <v>11.446111111111112</v>
      </c>
      <c r="Q416" s="3">
        <f t="shared" si="27"/>
        <v>0.94166666666666288</v>
      </c>
      <c r="R416" s="3">
        <f t="shared" si="28"/>
        <v>-0.63388888888889028</v>
      </c>
      <c r="S416" s="3">
        <f t="shared" si="30"/>
        <v>-0.69830808080808104</v>
      </c>
    </row>
    <row r="417" spans="1:19" x14ac:dyDescent="0.25">
      <c r="A417" t="s">
        <v>16</v>
      </c>
      <c r="C417">
        <v>52.048377199999997</v>
      </c>
      <c r="D417">
        <v>-0.5720191</v>
      </c>
      <c r="E417">
        <v>4</v>
      </c>
      <c r="F417">
        <v>4</v>
      </c>
      <c r="G417">
        <v>2022</v>
      </c>
      <c r="H417">
        <v>13</v>
      </c>
      <c r="I417">
        <v>55</v>
      </c>
      <c r="J417">
        <v>57.4</v>
      </c>
      <c r="K417">
        <v>43.01</v>
      </c>
      <c r="L417">
        <v>0</v>
      </c>
      <c r="M417">
        <v>40.823999999999998</v>
      </c>
      <c r="N417">
        <v>0.53600000000000003</v>
      </c>
      <c r="P417" s="1">
        <f t="shared" si="29"/>
        <v>11.34</v>
      </c>
      <c r="Q417" s="3">
        <f t="shared" si="27"/>
        <v>-1.0611111111111171</v>
      </c>
      <c r="R417" s="3">
        <f t="shared" si="28"/>
        <v>-0.80888888888888921</v>
      </c>
      <c r="S417" s="3">
        <f t="shared" si="30"/>
        <v>-0.65714646464646487</v>
      </c>
    </row>
    <row r="418" spans="1:19" x14ac:dyDescent="0.25">
      <c r="A418" t="s">
        <v>16</v>
      </c>
      <c r="C418">
        <v>52.048367300000002</v>
      </c>
      <c r="D418">
        <v>-0.57201650000000004</v>
      </c>
      <c r="E418">
        <v>4</v>
      </c>
      <c r="F418">
        <v>4</v>
      </c>
      <c r="G418">
        <v>2022</v>
      </c>
      <c r="H418">
        <v>13</v>
      </c>
      <c r="I418">
        <v>55</v>
      </c>
      <c r="J418">
        <v>57.5</v>
      </c>
      <c r="K418">
        <v>43.04</v>
      </c>
      <c r="L418">
        <v>0</v>
      </c>
      <c r="M418">
        <v>40.823999999999998</v>
      </c>
      <c r="N418">
        <v>0.52900000000000003</v>
      </c>
      <c r="P418" s="1">
        <f t="shared" si="29"/>
        <v>11.34</v>
      </c>
      <c r="Q418" s="3">
        <f t="shared" si="27"/>
        <v>0</v>
      </c>
      <c r="R418" s="3">
        <f t="shared" si="28"/>
        <v>-0.87777777777777821</v>
      </c>
      <c r="S418" s="3">
        <f t="shared" si="30"/>
        <v>-0.6167929292929295</v>
      </c>
    </row>
    <row r="419" spans="1:19" x14ac:dyDescent="0.25">
      <c r="A419" t="s">
        <v>16</v>
      </c>
      <c r="C419">
        <v>52.0483574</v>
      </c>
      <c r="D419">
        <v>-0.57201340000000001</v>
      </c>
      <c r="E419">
        <v>4</v>
      </c>
      <c r="F419">
        <v>4</v>
      </c>
      <c r="G419">
        <v>2022</v>
      </c>
      <c r="H419">
        <v>13</v>
      </c>
      <c r="I419">
        <v>55</v>
      </c>
      <c r="J419">
        <v>57.6</v>
      </c>
      <c r="K419">
        <v>43.08</v>
      </c>
      <c r="L419">
        <v>0</v>
      </c>
      <c r="M419">
        <v>41.003999999999998</v>
      </c>
      <c r="N419">
        <v>0.52900000000000003</v>
      </c>
      <c r="P419" s="1">
        <f t="shared" si="29"/>
        <v>11.39</v>
      </c>
      <c r="Q419" s="3">
        <f t="shared" si="27"/>
        <v>0.50000000000000711</v>
      </c>
      <c r="R419" s="3">
        <f t="shared" si="28"/>
        <v>-0.66083333333333449</v>
      </c>
      <c r="S419" s="3">
        <f t="shared" si="30"/>
        <v>-0.57434343434343471</v>
      </c>
    </row>
    <row r="420" spans="1:19" x14ac:dyDescent="0.25">
      <c r="A420" t="s">
        <v>16</v>
      </c>
      <c r="C420">
        <v>52.048347700000001</v>
      </c>
      <c r="D420">
        <v>-0.57201000000000002</v>
      </c>
      <c r="E420">
        <v>4</v>
      </c>
      <c r="F420">
        <v>4</v>
      </c>
      <c r="G420">
        <v>2022</v>
      </c>
      <c r="H420">
        <v>13</v>
      </c>
      <c r="I420">
        <v>55</v>
      </c>
      <c r="J420">
        <v>57.7</v>
      </c>
      <c r="K420">
        <v>43.09</v>
      </c>
      <c r="L420">
        <v>0</v>
      </c>
      <c r="M420">
        <v>40.549999999999997</v>
      </c>
      <c r="N420">
        <v>0.51100000000000001</v>
      </c>
      <c r="P420" s="1">
        <f t="shared" si="29"/>
        <v>11.263888888888889</v>
      </c>
      <c r="Q420" s="3">
        <f t="shared" si="27"/>
        <v>-1.2611111111111128</v>
      </c>
      <c r="R420" s="3">
        <f t="shared" si="28"/>
        <v>-0.47305555555555578</v>
      </c>
      <c r="S420" s="3">
        <f t="shared" si="30"/>
        <v>-0.53025252525252564</v>
      </c>
    </row>
    <row r="421" spans="1:19" x14ac:dyDescent="0.25">
      <c r="A421" t="s">
        <v>16</v>
      </c>
      <c r="C421">
        <v>52.0483379</v>
      </c>
      <c r="D421">
        <v>-0.57200689999999998</v>
      </c>
      <c r="E421">
        <v>4</v>
      </c>
      <c r="F421">
        <v>4</v>
      </c>
      <c r="G421">
        <v>2022</v>
      </c>
      <c r="H421">
        <v>13</v>
      </c>
      <c r="I421">
        <v>55</v>
      </c>
      <c r="J421">
        <v>57.8</v>
      </c>
      <c r="K421">
        <v>43.06</v>
      </c>
      <c r="L421">
        <v>0</v>
      </c>
      <c r="M421">
        <v>39.707999999999998</v>
      </c>
      <c r="N421">
        <v>0.51500000000000001</v>
      </c>
      <c r="P421" s="1">
        <f t="shared" si="29"/>
        <v>11.03</v>
      </c>
      <c r="Q421" s="3">
        <f t="shared" si="27"/>
        <v>-2.3388888888888992</v>
      </c>
      <c r="R421" s="3">
        <f t="shared" si="28"/>
        <v>-0.55722222222222229</v>
      </c>
      <c r="S421" s="3">
        <f t="shared" si="30"/>
        <v>-0.45361111111111135</v>
      </c>
    </row>
    <row r="422" spans="1:19" x14ac:dyDescent="0.25">
      <c r="A422" t="s">
        <v>16</v>
      </c>
      <c r="C422">
        <v>52.048328400000003</v>
      </c>
      <c r="D422">
        <v>-0.57200399999999996</v>
      </c>
      <c r="E422">
        <v>4</v>
      </c>
      <c r="F422">
        <v>4</v>
      </c>
      <c r="G422">
        <v>2022</v>
      </c>
      <c r="H422">
        <v>13</v>
      </c>
      <c r="I422">
        <v>55</v>
      </c>
      <c r="J422">
        <v>57.9</v>
      </c>
      <c r="K422">
        <v>43.02</v>
      </c>
      <c r="L422">
        <v>0</v>
      </c>
      <c r="M422">
        <v>38.776000000000003</v>
      </c>
      <c r="N422">
        <v>0.51100000000000001</v>
      </c>
      <c r="P422" s="1">
        <f t="shared" si="29"/>
        <v>10.771111111111111</v>
      </c>
      <c r="Q422" s="3">
        <f t="shared" si="27"/>
        <v>-2.588888888888885</v>
      </c>
      <c r="R422" s="3">
        <f t="shared" si="28"/>
        <v>-0.375</v>
      </c>
      <c r="S422" s="3">
        <f t="shared" si="30"/>
        <v>-0.37007575757575767</v>
      </c>
    </row>
    <row r="423" spans="1:19" x14ac:dyDescent="0.25">
      <c r="A423" t="s">
        <v>16</v>
      </c>
      <c r="C423">
        <v>52.048318899999998</v>
      </c>
      <c r="D423">
        <v>-0.57200110000000004</v>
      </c>
      <c r="E423">
        <v>4</v>
      </c>
      <c r="F423">
        <v>4</v>
      </c>
      <c r="G423">
        <v>2022</v>
      </c>
      <c r="H423">
        <v>13</v>
      </c>
      <c r="I423">
        <v>55</v>
      </c>
      <c r="J423">
        <v>58</v>
      </c>
      <c r="K423">
        <v>43.01</v>
      </c>
      <c r="L423">
        <v>0</v>
      </c>
      <c r="M423">
        <v>38.811999999999998</v>
      </c>
      <c r="N423">
        <v>0.52200000000000002</v>
      </c>
      <c r="P423" s="1">
        <f t="shared" si="29"/>
        <v>10.781111111111111</v>
      </c>
      <c r="Q423" s="3">
        <f t="shared" si="27"/>
        <v>9.9999999999997868E-2</v>
      </c>
      <c r="R423" s="3">
        <f t="shared" si="28"/>
        <v>-0.39499999999999957</v>
      </c>
      <c r="S423" s="3">
        <f t="shared" si="30"/>
        <v>-0.28472222222222227</v>
      </c>
    </row>
    <row r="424" spans="1:19" x14ac:dyDescent="0.25">
      <c r="A424" t="s">
        <v>16</v>
      </c>
      <c r="C424">
        <v>52.048309199999998</v>
      </c>
      <c r="D424">
        <v>-0.57199820000000001</v>
      </c>
      <c r="E424">
        <v>4</v>
      </c>
      <c r="F424">
        <v>4</v>
      </c>
      <c r="G424">
        <v>2022</v>
      </c>
      <c r="H424">
        <v>13</v>
      </c>
      <c r="I424">
        <v>55</v>
      </c>
      <c r="J424">
        <v>58.1</v>
      </c>
      <c r="K424">
        <v>42.99</v>
      </c>
      <c r="L424">
        <v>0</v>
      </c>
      <c r="M424">
        <v>39.262</v>
      </c>
      <c r="N424">
        <v>0.51100000000000001</v>
      </c>
      <c r="P424" s="1">
        <f t="shared" si="29"/>
        <v>10.906111111111111</v>
      </c>
      <c r="Q424" s="3">
        <f t="shared" si="27"/>
        <v>1.25</v>
      </c>
      <c r="R424" s="3">
        <f t="shared" si="28"/>
        <v>-0.32694444444444493</v>
      </c>
      <c r="S424" s="3">
        <f t="shared" si="30"/>
        <v>-0.21257575757575753</v>
      </c>
    </row>
    <row r="425" spans="1:19" x14ac:dyDescent="0.25">
      <c r="A425" t="s">
        <v>16</v>
      </c>
      <c r="C425">
        <v>52.048299499999999</v>
      </c>
      <c r="D425">
        <v>-0.57199549999999999</v>
      </c>
      <c r="E425">
        <v>4</v>
      </c>
      <c r="F425">
        <v>4</v>
      </c>
      <c r="G425">
        <v>2022</v>
      </c>
      <c r="H425">
        <v>13</v>
      </c>
      <c r="I425">
        <v>55</v>
      </c>
      <c r="J425">
        <v>58.2</v>
      </c>
      <c r="K425">
        <v>42.98</v>
      </c>
      <c r="L425">
        <v>0</v>
      </c>
      <c r="M425">
        <v>39.164000000000001</v>
      </c>
      <c r="N425">
        <v>0.51500000000000001</v>
      </c>
      <c r="P425" s="1">
        <f t="shared" si="29"/>
        <v>10.878888888888889</v>
      </c>
      <c r="Q425" s="3">
        <f t="shared" si="27"/>
        <v>-0.27222222222221149</v>
      </c>
      <c r="R425" s="3">
        <f t="shared" si="28"/>
        <v>-6.0000000000000497E-2</v>
      </c>
      <c r="S425" s="3">
        <f t="shared" si="30"/>
        <v>-0.17330808080808069</v>
      </c>
    </row>
    <row r="426" spans="1:19" x14ac:dyDescent="0.25">
      <c r="A426" t="s">
        <v>16</v>
      </c>
      <c r="C426">
        <v>52.048289799999999</v>
      </c>
      <c r="D426">
        <v>-0.57199259999999996</v>
      </c>
      <c r="E426">
        <v>4</v>
      </c>
      <c r="F426">
        <v>4</v>
      </c>
      <c r="G426">
        <v>2022</v>
      </c>
      <c r="H426">
        <v>13</v>
      </c>
      <c r="I426">
        <v>55</v>
      </c>
      <c r="J426">
        <v>58.3</v>
      </c>
      <c r="K426">
        <v>42.95</v>
      </c>
      <c r="L426">
        <v>0</v>
      </c>
      <c r="M426">
        <v>39.200000000000003</v>
      </c>
      <c r="N426">
        <v>0.50800000000000001</v>
      </c>
      <c r="P426" s="1">
        <f t="shared" si="29"/>
        <v>10.888888888888889</v>
      </c>
      <c r="Q426" s="3">
        <f t="shared" si="27"/>
        <v>9.9999999999997868E-2</v>
      </c>
      <c r="R426" s="3">
        <f t="shared" si="28"/>
        <v>0.17888888888889021</v>
      </c>
      <c r="S426" s="3">
        <f t="shared" si="30"/>
        <v>-0.15138888888888874</v>
      </c>
    </row>
    <row r="427" spans="1:19" x14ac:dyDescent="0.25">
      <c r="A427" t="s">
        <v>16</v>
      </c>
      <c r="C427">
        <v>52.048280200000001</v>
      </c>
      <c r="D427">
        <v>-0.57198979999999999</v>
      </c>
      <c r="E427">
        <v>4</v>
      </c>
      <c r="F427">
        <v>4</v>
      </c>
      <c r="G427">
        <v>2022</v>
      </c>
      <c r="H427">
        <v>13</v>
      </c>
      <c r="I427">
        <v>55</v>
      </c>
      <c r="J427">
        <v>58.4</v>
      </c>
      <c r="K427">
        <v>42.96</v>
      </c>
      <c r="L427">
        <v>0</v>
      </c>
      <c r="M427">
        <v>39.473999999999997</v>
      </c>
      <c r="N427">
        <v>0.52200000000000002</v>
      </c>
      <c r="P427" s="1">
        <f t="shared" si="29"/>
        <v>10.965</v>
      </c>
      <c r="Q427" s="3">
        <f t="shared" si="27"/>
        <v>0.76111111111110574</v>
      </c>
      <c r="R427" s="3">
        <f t="shared" si="28"/>
        <v>0.28500000000000014</v>
      </c>
      <c r="S427" s="3">
        <f t="shared" si="30"/>
        <v>-0.12363636363636342</v>
      </c>
    </row>
    <row r="428" spans="1:19" x14ac:dyDescent="0.25">
      <c r="A428" t="s">
        <v>16</v>
      </c>
      <c r="C428">
        <v>52.048270500000001</v>
      </c>
      <c r="D428">
        <v>-0.57198720000000003</v>
      </c>
      <c r="E428">
        <v>4</v>
      </c>
      <c r="F428">
        <v>4</v>
      </c>
      <c r="G428">
        <v>2022</v>
      </c>
      <c r="H428">
        <v>13</v>
      </c>
      <c r="I428">
        <v>55</v>
      </c>
      <c r="J428">
        <v>58.5</v>
      </c>
      <c r="K428">
        <v>42.96</v>
      </c>
      <c r="L428">
        <v>0</v>
      </c>
      <c r="M428">
        <v>39.402000000000001</v>
      </c>
      <c r="N428">
        <v>0.52200000000000002</v>
      </c>
      <c r="P428" s="1">
        <f t="shared" si="29"/>
        <v>10.945</v>
      </c>
      <c r="Q428" s="3">
        <f t="shared" si="27"/>
        <v>-0.19999999999999574</v>
      </c>
      <c r="R428" s="3">
        <f t="shared" si="28"/>
        <v>0.13000000000000078</v>
      </c>
      <c r="S428" s="3">
        <f t="shared" si="30"/>
        <v>-0.11101010101010077</v>
      </c>
    </row>
    <row r="429" spans="1:19" x14ac:dyDescent="0.25">
      <c r="A429" t="s">
        <v>16</v>
      </c>
      <c r="C429">
        <v>52.048260800000001</v>
      </c>
      <c r="D429">
        <v>-0.57198439999999995</v>
      </c>
      <c r="E429">
        <v>4</v>
      </c>
      <c r="F429">
        <v>4</v>
      </c>
      <c r="G429">
        <v>2022</v>
      </c>
      <c r="H429">
        <v>13</v>
      </c>
      <c r="I429">
        <v>55</v>
      </c>
      <c r="J429">
        <v>58.6</v>
      </c>
      <c r="K429">
        <v>42.99</v>
      </c>
      <c r="L429">
        <v>0</v>
      </c>
      <c r="M429">
        <v>39.826999999999998</v>
      </c>
      <c r="N429">
        <v>0.52200000000000002</v>
      </c>
      <c r="P429" s="1">
        <f t="shared" si="29"/>
        <v>11.063055555555556</v>
      </c>
      <c r="Q429" s="3">
        <f t="shared" si="27"/>
        <v>1.1805555555555536</v>
      </c>
      <c r="R429" s="3">
        <f t="shared" si="28"/>
        <v>-8.4166666666666501E-2</v>
      </c>
      <c r="S429" s="3">
        <f t="shared" si="30"/>
        <v>-9.0732323232322956E-2</v>
      </c>
    </row>
    <row r="430" spans="1:19" x14ac:dyDescent="0.25">
      <c r="A430" t="s">
        <v>16</v>
      </c>
      <c r="C430">
        <v>52.048251</v>
      </c>
      <c r="D430">
        <v>-0.57198119999999997</v>
      </c>
      <c r="E430">
        <v>4</v>
      </c>
      <c r="F430">
        <v>4</v>
      </c>
      <c r="G430">
        <v>2022</v>
      </c>
      <c r="H430">
        <v>13</v>
      </c>
      <c r="I430">
        <v>55</v>
      </c>
      <c r="J430">
        <v>58.7</v>
      </c>
      <c r="K430">
        <v>43.01</v>
      </c>
      <c r="L430">
        <v>0</v>
      </c>
      <c r="M430">
        <v>40.334000000000003</v>
      </c>
      <c r="N430">
        <v>0.52200000000000002</v>
      </c>
      <c r="P430" s="1">
        <f t="shared" si="29"/>
        <v>11.203888888888889</v>
      </c>
      <c r="Q430" s="3">
        <f t="shared" si="27"/>
        <v>1.4083333333333314</v>
      </c>
      <c r="R430" s="3">
        <f t="shared" si="28"/>
        <v>-0.22888888888888914</v>
      </c>
      <c r="S430" s="3">
        <f t="shared" si="30"/>
        <v>-8.8005050505050128E-2</v>
      </c>
    </row>
    <row r="431" spans="1:19" x14ac:dyDescent="0.25">
      <c r="A431" t="s">
        <v>16</v>
      </c>
      <c r="C431">
        <v>52.048241099999998</v>
      </c>
      <c r="D431">
        <v>-0.57197799999999999</v>
      </c>
      <c r="E431">
        <v>4</v>
      </c>
      <c r="F431">
        <v>4</v>
      </c>
      <c r="G431">
        <v>2022</v>
      </c>
      <c r="H431">
        <v>13</v>
      </c>
      <c r="I431">
        <v>55</v>
      </c>
      <c r="J431">
        <v>58.8</v>
      </c>
      <c r="K431">
        <v>43.01</v>
      </c>
      <c r="L431">
        <v>0</v>
      </c>
      <c r="M431">
        <v>40.351999999999997</v>
      </c>
      <c r="N431">
        <v>0.52200000000000002</v>
      </c>
      <c r="P431" s="1">
        <f t="shared" si="29"/>
        <v>11.20888888888889</v>
      </c>
      <c r="Q431" s="3">
        <f t="shared" si="27"/>
        <v>5.0000000000007816E-2</v>
      </c>
      <c r="R431" s="3">
        <f t="shared" si="28"/>
        <v>-0.23194444444444429</v>
      </c>
      <c r="S431" s="3">
        <f t="shared" si="30"/>
        <v>-0.11482323232323194</v>
      </c>
    </row>
    <row r="432" spans="1:19" x14ac:dyDescent="0.25">
      <c r="A432" t="s">
        <v>16</v>
      </c>
      <c r="C432">
        <v>52.0482315</v>
      </c>
      <c r="D432">
        <v>-0.57197529999999996</v>
      </c>
      <c r="E432">
        <v>4</v>
      </c>
      <c r="F432">
        <v>4</v>
      </c>
      <c r="G432">
        <v>2022</v>
      </c>
      <c r="H432">
        <v>13</v>
      </c>
      <c r="I432">
        <v>55</v>
      </c>
      <c r="J432">
        <v>58.9</v>
      </c>
      <c r="K432">
        <v>43.05</v>
      </c>
      <c r="L432">
        <v>0</v>
      </c>
      <c r="M432">
        <v>39.802</v>
      </c>
      <c r="N432">
        <v>0.52200000000000002</v>
      </c>
      <c r="P432" s="1">
        <f t="shared" si="29"/>
        <v>11.056111111111111</v>
      </c>
      <c r="Q432" s="3">
        <f t="shared" si="27"/>
        <v>-1.5277777777777857</v>
      </c>
      <c r="R432" s="3">
        <f t="shared" si="28"/>
        <v>-0.25194444444444386</v>
      </c>
      <c r="S432" s="3">
        <f t="shared" si="30"/>
        <v>-0.14608585858585824</v>
      </c>
    </row>
    <row r="433" spans="1:19" x14ac:dyDescent="0.25">
      <c r="A433" t="s">
        <v>16</v>
      </c>
      <c r="C433">
        <v>52.0482218</v>
      </c>
      <c r="D433">
        <v>-0.57197290000000001</v>
      </c>
      <c r="E433">
        <v>4</v>
      </c>
      <c r="F433">
        <v>4</v>
      </c>
      <c r="G433">
        <v>2022</v>
      </c>
      <c r="H433">
        <v>13</v>
      </c>
      <c r="I433">
        <v>55</v>
      </c>
      <c r="J433">
        <v>59</v>
      </c>
      <c r="K433">
        <v>43.05</v>
      </c>
      <c r="L433">
        <v>0</v>
      </c>
      <c r="M433">
        <v>39.28</v>
      </c>
      <c r="N433">
        <v>0.52600000000000002</v>
      </c>
      <c r="P433" s="1">
        <f t="shared" si="29"/>
        <v>10.911111111111111</v>
      </c>
      <c r="Q433" s="3">
        <f t="shared" si="27"/>
        <v>-1.4499999999999957</v>
      </c>
      <c r="R433" s="3">
        <f t="shared" si="28"/>
        <v>-0.23611111111111072</v>
      </c>
      <c r="S433" s="3">
        <f t="shared" si="30"/>
        <v>-0.18492424242424219</v>
      </c>
    </row>
    <row r="434" spans="1:19" x14ac:dyDescent="0.25">
      <c r="A434" t="s">
        <v>16</v>
      </c>
      <c r="C434">
        <v>52.048212200000002</v>
      </c>
      <c r="D434">
        <v>-0.57197050000000005</v>
      </c>
      <c r="E434">
        <v>4</v>
      </c>
      <c r="F434">
        <v>4</v>
      </c>
      <c r="G434">
        <v>2022</v>
      </c>
      <c r="H434">
        <v>13</v>
      </c>
      <c r="I434">
        <v>55</v>
      </c>
      <c r="J434">
        <v>59.1</v>
      </c>
      <c r="K434">
        <v>43.05</v>
      </c>
      <c r="L434">
        <v>0</v>
      </c>
      <c r="M434">
        <v>38.959000000000003</v>
      </c>
      <c r="N434">
        <v>0.51800000000000002</v>
      </c>
      <c r="P434" s="1">
        <f t="shared" si="29"/>
        <v>10.821944444444444</v>
      </c>
      <c r="Q434" s="3">
        <f t="shared" si="27"/>
        <v>-0.89166666666667282</v>
      </c>
      <c r="R434" s="3">
        <f t="shared" si="28"/>
        <v>-0.17194444444444379</v>
      </c>
      <c r="S434" s="3">
        <f t="shared" si="30"/>
        <v>-0.21310606060606041</v>
      </c>
    </row>
    <row r="435" spans="1:19" x14ac:dyDescent="0.25">
      <c r="A435" t="s">
        <v>16</v>
      </c>
      <c r="C435">
        <v>52.048202799999999</v>
      </c>
      <c r="D435">
        <v>-0.57196840000000004</v>
      </c>
      <c r="E435">
        <v>4</v>
      </c>
      <c r="F435">
        <v>4</v>
      </c>
      <c r="G435">
        <v>2022</v>
      </c>
      <c r="H435">
        <v>13</v>
      </c>
      <c r="I435">
        <v>55</v>
      </c>
      <c r="J435">
        <v>59.2</v>
      </c>
      <c r="K435">
        <v>43.05</v>
      </c>
      <c r="L435">
        <v>0</v>
      </c>
      <c r="M435">
        <v>38.340000000000003</v>
      </c>
      <c r="N435">
        <v>0.52600000000000002</v>
      </c>
      <c r="P435" s="1">
        <f t="shared" si="29"/>
        <v>10.65</v>
      </c>
      <c r="Q435" s="3">
        <f t="shared" si="27"/>
        <v>-1.7194444444444379</v>
      </c>
      <c r="R435" s="3">
        <f t="shared" si="28"/>
        <v>-0.29694444444444379</v>
      </c>
      <c r="S435" s="3">
        <f t="shared" si="30"/>
        <v>-0.19580808080808074</v>
      </c>
    </row>
    <row r="436" spans="1:19" x14ac:dyDescent="0.25">
      <c r="A436" t="s">
        <v>16</v>
      </c>
      <c r="C436">
        <v>52.048193400000002</v>
      </c>
      <c r="D436">
        <v>-0.57196639999999999</v>
      </c>
      <c r="E436">
        <v>4</v>
      </c>
      <c r="F436">
        <v>4</v>
      </c>
      <c r="G436">
        <v>2022</v>
      </c>
      <c r="H436">
        <v>13</v>
      </c>
      <c r="I436">
        <v>55</v>
      </c>
      <c r="J436">
        <v>59.3</v>
      </c>
      <c r="K436">
        <v>43.08</v>
      </c>
      <c r="L436">
        <v>0</v>
      </c>
      <c r="M436">
        <v>38.365000000000002</v>
      </c>
      <c r="N436">
        <v>0.51800000000000002</v>
      </c>
      <c r="P436" s="1">
        <f t="shared" si="29"/>
        <v>10.656944444444445</v>
      </c>
      <c r="Q436" s="3">
        <f t="shared" si="27"/>
        <v>6.9444444444446418E-2</v>
      </c>
      <c r="R436" s="3">
        <f t="shared" si="28"/>
        <v>-0.35500000000000043</v>
      </c>
      <c r="S436" s="3">
        <f t="shared" si="30"/>
        <v>-0.15626262626262613</v>
      </c>
    </row>
    <row r="437" spans="1:19" x14ac:dyDescent="0.25">
      <c r="A437" t="s">
        <v>16</v>
      </c>
      <c r="C437">
        <v>52.048183799999997</v>
      </c>
      <c r="D437">
        <v>-0.57196440000000004</v>
      </c>
      <c r="E437">
        <v>4</v>
      </c>
      <c r="F437">
        <v>4</v>
      </c>
      <c r="G437">
        <v>2022</v>
      </c>
      <c r="H437">
        <v>13</v>
      </c>
      <c r="I437">
        <v>55</v>
      </c>
      <c r="J437">
        <v>59.4</v>
      </c>
      <c r="K437">
        <v>43.07</v>
      </c>
      <c r="L437">
        <v>0</v>
      </c>
      <c r="M437">
        <v>38.567</v>
      </c>
      <c r="N437">
        <v>0.51500000000000001</v>
      </c>
      <c r="P437" s="1">
        <f t="shared" si="29"/>
        <v>10.713055555555556</v>
      </c>
      <c r="Q437" s="3">
        <f t="shared" si="27"/>
        <v>0.56111111111111001</v>
      </c>
      <c r="R437" s="3">
        <f t="shared" si="28"/>
        <v>-0.16499999999999915</v>
      </c>
      <c r="S437" s="3">
        <f t="shared" si="30"/>
        <v>-0.12063131313131302</v>
      </c>
    </row>
    <row r="438" spans="1:19" x14ac:dyDescent="0.25">
      <c r="A438" t="s">
        <v>16</v>
      </c>
      <c r="C438">
        <v>52.048174299999999</v>
      </c>
      <c r="D438">
        <v>-0.57196250000000004</v>
      </c>
      <c r="E438">
        <v>4</v>
      </c>
      <c r="F438">
        <v>4</v>
      </c>
      <c r="G438">
        <v>2022</v>
      </c>
      <c r="H438">
        <v>13</v>
      </c>
      <c r="I438">
        <v>55</v>
      </c>
      <c r="J438">
        <v>59.5</v>
      </c>
      <c r="K438">
        <v>43.08</v>
      </c>
      <c r="L438">
        <v>0</v>
      </c>
      <c r="M438">
        <v>38.552</v>
      </c>
      <c r="N438">
        <v>0.51100000000000001</v>
      </c>
      <c r="P438" s="1">
        <f t="shared" si="29"/>
        <v>10.70888888888889</v>
      </c>
      <c r="Q438" s="3">
        <f t="shared" si="27"/>
        <v>-4.1666666666664298E-2</v>
      </c>
      <c r="R438" s="3">
        <f t="shared" si="28"/>
        <v>-0.14222222222222314</v>
      </c>
      <c r="S438" s="3">
        <f t="shared" si="30"/>
        <v>-7.1994949494949528E-2</v>
      </c>
    </row>
    <row r="439" spans="1:19" x14ac:dyDescent="0.25">
      <c r="A439" t="s">
        <v>16</v>
      </c>
      <c r="C439">
        <v>52.048164499999999</v>
      </c>
      <c r="D439">
        <v>-0.57196029999999998</v>
      </c>
      <c r="E439">
        <v>4</v>
      </c>
      <c r="F439">
        <v>4</v>
      </c>
      <c r="G439">
        <v>2022</v>
      </c>
      <c r="H439">
        <v>13</v>
      </c>
      <c r="I439">
        <v>55</v>
      </c>
      <c r="J439">
        <v>59.6</v>
      </c>
      <c r="K439">
        <v>43.08</v>
      </c>
      <c r="L439">
        <v>0</v>
      </c>
      <c r="M439">
        <v>39.207999999999998</v>
      </c>
      <c r="N439">
        <v>0.50800000000000001</v>
      </c>
      <c r="P439" s="1">
        <f t="shared" si="29"/>
        <v>10.891111111111112</v>
      </c>
      <c r="Q439" s="3">
        <f t="shared" si="27"/>
        <v>1.8222222222222229</v>
      </c>
      <c r="R439" s="3">
        <f t="shared" si="28"/>
        <v>-0.17999999999999972</v>
      </c>
      <c r="S439" s="3">
        <f t="shared" si="30"/>
        <v>-3.7095959595959661E-2</v>
      </c>
    </row>
    <row r="440" spans="1:19" x14ac:dyDescent="0.25">
      <c r="A440" t="s">
        <v>16</v>
      </c>
      <c r="C440">
        <v>52.048154799999999</v>
      </c>
      <c r="D440">
        <v>-0.57195830000000003</v>
      </c>
      <c r="E440">
        <v>4</v>
      </c>
      <c r="F440">
        <v>4</v>
      </c>
      <c r="G440">
        <v>2022</v>
      </c>
      <c r="H440">
        <v>13</v>
      </c>
      <c r="I440">
        <v>55</v>
      </c>
      <c r="J440">
        <v>59.7</v>
      </c>
      <c r="K440">
        <v>43.09</v>
      </c>
      <c r="L440">
        <v>0</v>
      </c>
      <c r="M440">
        <v>39.265000000000001</v>
      </c>
      <c r="N440">
        <v>0.50800000000000001</v>
      </c>
      <c r="P440" s="1">
        <f t="shared" si="29"/>
        <v>10.906944444444445</v>
      </c>
      <c r="Q440" s="3">
        <f t="shared" si="27"/>
        <v>0.15833333333333144</v>
      </c>
      <c r="R440" s="3">
        <f t="shared" si="28"/>
        <v>0.10611111111110993</v>
      </c>
      <c r="S440" s="3">
        <f t="shared" si="30"/>
        <v>-2.7777777777790192E-4</v>
      </c>
    </row>
    <row r="441" spans="1:19" x14ac:dyDescent="0.25">
      <c r="A441" t="s">
        <v>16</v>
      </c>
      <c r="C441">
        <v>52.0481452</v>
      </c>
      <c r="D441">
        <v>-0.57195629999999997</v>
      </c>
      <c r="E441">
        <v>4</v>
      </c>
      <c r="F441">
        <v>4</v>
      </c>
      <c r="G441">
        <v>2022</v>
      </c>
      <c r="H441">
        <v>13</v>
      </c>
      <c r="I441">
        <v>55</v>
      </c>
      <c r="J441">
        <v>59.8</v>
      </c>
      <c r="K441">
        <v>43.1</v>
      </c>
      <c r="L441">
        <v>0</v>
      </c>
      <c r="M441">
        <v>39.073999999999998</v>
      </c>
      <c r="N441">
        <v>0.50800000000000001</v>
      </c>
      <c r="P441" s="1">
        <f t="shared" si="29"/>
        <v>10.853888888888889</v>
      </c>
      <c r="Q441" s="3">
        <f t="shared" si="27"/>
        <v>-0.53055555555555856</v>
      </c>
      <c r="R441" s="3">
        <f t="shared" si="28"/>
        <v>0.20611111111111136</v>
      </c>
      <c r="S441" s="3">
        <f t="shared" si="30"/>
        <v>5.2904040404040197E-2</v>
      </c>
    </row>
    <row r="442" spans="1:19" x14ac:dyDescent="0.25">
      <c r="A442" t="s">
        <v>16</v>
      </c>
      <c r="C442">
        <v>52.0481354</v>
      </c>
      <c r="D442">
        <v>-0.57195459999999998</v>
      </c>
      <c r="E442">
        <v>4</v>
      </c>
      <c r="F442">
        <v>4</v>
      </c>
      <c r="G442">
        <v>2022</v>
      </c>
      <c r="H442">
        <v>13</v>
      </c>
      <c r="I442">
        <v>55</v>
      </c>
      <c r="J442">
        <v>59.9</v>
      </c>
      <c r="K442">
        <v>43.1</v>
      </c>
      <c r="L442">
        <v>0</v>
      </c>
      <c r="M442">
        <v>39.207999999999998</v>
      </c>
      <c r="N442">
        <v>0.504</v>
      </c>
      <c r="P442" s="1">
        <f t="shared" si="29"/>
        <v>10.891111111111112</v>
      </c>
      <c r="Q442" s="3">
        <f t="shared" si="27"/>
        <v>0.37222222222222712</v>
      </c>
      <c r="R442" s="3">
        <f t="shared" si="28"/>
        <v>0.16000000000000014</v>
      </c>
      <c r="S442" s="3">
        <f t="shared" si="30"/>
        <v>0.10053030303030284</v>
      </c>
    </row>
    <row r="443" spans="1:19" x14ac:dyDescent="0.25">
      <c r="A443" t="s">
        <v>16</v>
      </c>
      <c r="C443">
        <v>52.048125800000001</v>
      </c>
      <c r="D443">
        <v>-0.57195309999999999</v>
      </c>
      <c r="E443">
        <v>4</v>
      </c>
      <c r="F443">
        <v>4</v>
      </c>
      <c r="G443">
        <v>2022</v>
      </c>
      <c r="H443">
        <v>13</v>
      </c>
      <c r="I443">
        <v>56</v>
      </c>
      <c r="J443">
        <v>0</v>
      </c>
      <c r="K443">
        <v>43.09</v>
      </c>
      <c r="L443">
        <v>0</v>
      </c>
      <c r="M443">
        <v>38.768000000000001</v>
      </c>
      <c r="N443">
        <v>0.5</v>
      </c>
      <c r="P443" s="1">
        <f t="shared" si="29"/>
        <v>10.768888888888888</v>
      </c>
      <c r="Q443" s="3">
        <f t="shared" si="27"/>
        <v>-1.2222222222222356</v>
      </c>
      <c r="R443" s="3">
        <f t="shared" si="28"/>
        <v>0.28305555555555451</v>
      </c>
      <c r="S443" s="3">
        <f t="shared" si="30"/>
        <v>0.14300505050505033</v>
      </c>
    </row>
    <row r="444" spans="1:19" x14ac:dyDescent="0.25">
      <c r="A444" t="s">
        <v>16</v>
      </c>
      <c r="C444">
        <v>52.048116200000003</v>
      </c>
      <c r="D444">
        <v>-0.57195200000000002</v>
      </c>
      <c r="E444">
        <v>4</v>
      </c>
      <c r="F444">
        <v>4</v>
      </c>
      <c r="G444">
        <v>2022</v>
      </c>
      <c r="H444">
        <v>13</v>
      </c>
      <c r="I444">
        <v>56</v>
      </c>
      <c r="J444">
        <v>0.1</v>
      </c>
      <c r="K444">
        <v>43.07</v>
      </c>
      <c r="L444">
        <v>0</v>
      </c>
      <c r="M444">
        <v>38.311</v>
      </c>
      <c r="N444">
        <v>0.5</v>
      </c>
      <c r="P444" s="1">
        <f t="shared" si="29"/>
        <v>10.641944444444444</v>
      </c>
      <c r="Q444" s="3">
        <f t="shared" si="27"/>
        <v>-1.2694444444444386</v>
      </c>
      <c r="R444" s="3">
        <f t="shared" si="28"/>
        <v>0.14777777777777779</v>
      </c>
      <c r="S444" s="3">
        <f t="shared" si="30"/>
        <v>0.18702020202020186</v>
      </c>
    </row>
    <row r="445" spans="1:19" x14ac:dyDescent="0.25">
      <c r="A445" t="s">
        <v>16</v>
      </c>
      <c r="C445">
        <v>52.048106500000003</v>
      </c>
      <c r="D445">
        <v>-0.57195119999999999</v>
      </c>
      <c r="E445">
        <v>4</v>
      </c>
      <c r="F445">
        <v>4</v>
      </c>
      <c r="G445">
        <v>2022</v>
      </c>
      <c r="H445">
        <v>13</v>
      </c>
      <c r="I445">
        <v>56</v>
      </c>
      <c r="J445">
        <v>0.2</v>
      </c>
      <c r="K445">
        <v>43.07</v>
      </c>
      <c r="L445">
        <v>0</v>
      </c>
      <c r="M445">
        <v>38.722000000000001</v>
      </c>
      <c r="N445">
        <v>0.49299999999999999</v>
      </c>
      <c r="P445" s="1">
        <f t="shared" si="29"/>
        <v>10.75611111111111</v>
      </c>
      <c r="Q445" s="3">
        <f t="shared" si="27"/>
        <v>1.1416666666666586</v>
      </c>
      <c r="R445" s="3">
        <f t="shared" si="28"/>
        <v>0.23305555555555557</v>
      </c>
      <c r="S445" s="3">
        <f t="shared" si="30"/>
        <v>0.23020202020202019</v>
      </c>
    </row>
    <row r="446" spans="1:19" x14ac:dyDescent="0.25">
      <c r="A446" t="s">
        <v>16</v>
      </c>
      <c r="C446">
        <v>52.048096700000002</v>
      </c>
      <c r="D446">
        <v>-0.57195030000000002</v>
      </c>
      <c r="E446">
        <v>4</v>
      </c>
      <c r="F446">
        <v>4</v>
      </c>
      <c r="G446">
        <v>2022</v>
      </c>
      <c r="H446">
        <v>13</v>
      </c>
      <c r="I446">
        <v>56</v>
      </c>
      <c r="J446">
        <v>0.3</v>
      </c>
      <c r="K446">
        <v>43.07</v>
      </c>
      <c r="L446">
        <v>0</v>
      </c>
      <c r="M446">
        <v>39.106999999999999</v>
      </c>
      <c r="N446">
        <v>0.497</v>
      </c>
      <c r="P446" s="1">
        <f t="shared" si="29"/>
        <v>10.863055555555556</v>
      </c>
      <c r="Q446" s="3">
        <f t="shared" si="27"/>
        <v>1.0694444444444606</v>
      </c>
      <c r="R446" s="3">
        <f t="shared" si="28"/>
        <v>0.28805555555555529</v>
      </c>
      <c r="S446" s="3">
        <f t="shared" si="30"/>
        <v>0.23464646464646466</v>
      </c>
    </row>
    <row r="447" spans="1:19" x14ac:dyDescent="0.25">
      <c r="A447" t="s">
        <v>16</v>
      </c>
      <c r="C447">
        <v>52.048087000000002</v>
      </c>
      <c r="D447">
        <v>-0.57194929999999999</v>
      </c>
      <c r="E447">
        <v>4</v>
      </c>
      <c r="F447">
        <v>4</v>
      </c>
      <c r="G447">
        <v>2022</v>
      </c>
      <c r="H447">
        <v>13</v>
      </c>
      <c r="I447">
        <v>56</v>
      </c>
      <c r="J447">
        <v>0.4</v>
      </c>
      <c r="K447">
        <v>43.09</v>
      </c>
      <c r="L447">
        <v>0</v>
      </c>
      <c r="M447">
        <v>39.143000000000001</v>
      </c>
      <c r="N447">
        <v>0.51100000000000001</v>
      </c>
      <c r="P447" s="1">
        <f t="shared" si="29"/>
        <v>10.873055555555556</v>
      </c>
      <c r="Q447" s="3">
        <f t="shared" si="27"/>
        <v>9.9999999999997868E-2</v>
      </c>
      <c r="R447" s="3">
        <f t="shared" si="28"/>
        <v>0.16888888888888864</v>
      </c>
      <c r="S447" s="3">
        <f t="shared" si="30"/>
        <v>0.23762626262626263</v>
      </c>
    </row>
    <row r="448" spans="1:19" x14ac:dyDescent="0.25">
      <c r="A448" t="s">
        <v>16</v>
      </c>
      <c r="C448">
        <v>52.048076999999999</v>
      </c>
      <c r="D448">
        <v>-0.57194860000000003</v>
      </c>
      <c r="E448">
        <v>4</v>
      </c>
      <c r="F448">
        <v>4</v>
      </c>
      <c r="G448">
        <v>2022</v>
      </c>
      <c r="H448">
        <v>13</v>
      </c>
      <c r="I448">
        <v>56</v>
      </c>
      <c r="J448">
        <v>0.5</v>
      </c>
      <c r="K448">
        <v>43.07</v>
      </c>
      <c r="L448">
        <v>0</v>
      </c>
      <c r="M448">
        <v>39.570999999999998</v>
      </c>
      <c r="N448">
        <v>0.5</v>
      </c>
      <c r="P448" s="1">
        <f t="shared" si="29"/>
        <v>10.991944444444444</v>
      </c>
      <c r="Q448" s="3">
        <f t="shared" si="27"/>
        <v>1.1888888888888793</v>
      </c>
      <c r="R448" s="3">
        <f t="shared" si="28"/>
        <v>0.30222222222222328</v>
      </c>
      <c r="S448" s="3">
        <f t="shared" si="30"/>
        <v>0.23217171717171714</v>
      </c>
    </row>
    <row r="449" spans="1:19" x14ac:dyDescent="0.25">
      <c r="A449" t="s">
        <v>16</v>
      </c>
      <c r="C449">
        <v>52.048067199999998</v>
      </c>
      <c r="D449">
        <v>-0.57194769999999995</v>
      </c>
      <c r="E449">
        <v>4</v>
      </c>
      <c r="F449">
        <v>4</v>
      </c>
      <c r="G449">
        <v>2022</v>
      </c>
      <c r="H449">
        <v>13</v>
      </c>
      <c r="I449">
        <v>56</v>
      </c>
      <c r="J449">
        <v>0.6</v>
      </c>
      <c r="K449">
        <v>43.12</v>
      </c>
      <c r="L449">
        <v>0</v>
      </c>
      <c r="M449">
        <v>39.74</v>
      </c>
      <c r="N449">
        <v>0.5</v>
      </c>
      <c r="P449" s="1">
        <f t="shared" si="29"/>
        <v>11.03888888888889</v>
      </c>
      <c r="Q449" s="3">
        <f t="shared" si="27"/>
        <v>0.46944444444445566</v>
      </c>
      <c r="R449" s="3">
        <f t="shared" si="28"/>
        <v>0.34194444444444372</v>
      </c>
      <c r="S449" s="3">
        <f t="shared" si="30"/>
        <v>0.21989898989898987</v>
      </c>
    </row>
    <row r="450" spans="1:19" x14ac:dyDescent="0.25">
      <c r="A450" t="s">
        <v>16</v>
      </c>
      <c r="C450">
        <v>52.048057200000002</v>
      </c>
      <c r="D450">
        <v>-0.57194659999999997</v>
      </c>
      <c r="E450">
        <v>4</v>
      </c>
      <c r="F450">
        <v>4</v>
      </c>
      <c r="G450">
        <v>2022</v>
      </c>
      <c r="H450">
        <v>13</v>
      </c>
      <c r="I450">
        <v>56</v>
      </c>
      <c r="J450">
        <v>0.7</v>
      </c>
      <c r="K450">
        <v>43.15</v>
      </c>
      <c r="L450">
        <v>0</v>
      </c>
      <c r="M450">
        <v>40.103999999999999</v>
      </c>
      <c r="N450">
        <v>0.50800000000000001</v>
      </c>
      <c r="P450" s="1">
        <f t="shared" si="29"/>
        <v>11.14</v>
      </c>
      <c r="Q450" s="3">
        <f t="shared" si="27"/>
        <v>1.0111111111111093</v>
      </c>
      <c r="R450" s="3">
        <f t="shared" si="28"/>
        <v>0.29500000000000171</v>
      </c>
      <c r="S450" s="3">
        <f t="shared" si="30"/>
        <v>0.21191919191919179</v>
      </c>
    </row>
    <row r="451" spans="1:19" x14ac:dyDescent="0.25">
      <c r="A451" t="s">
        <v>16</v>
      </c>
      <c r="C451">
        <v>52.048047199999999</v>
      </c>
      <c r="D451">
        <v>-0.57194560000000005</v>
      </c>
      <c r="E451">
        <v>4</v>
      </c>
      <c r="F451">
        <v>4</v>
      </c>
      <c r="G451">
        <v>2022</v>
      </c>
      <c r="H451">
        <v>13</v>
      </c>
      <c r="I451">
        <v>56</v>
      </c>
      <c r="J451">
        <v>0.8</v>
      </c>
      <c r="K451">
        <v>43.15</v>
      </c>
      <c r="L451">
        <v>0</v>
      </c>
      <c r="M451">
        <v>40.110999999999997</v>
      </c>
      <c r="N451">
        <v>0.504</v>
      </c>
      <c r="P451" s="1">
        <f t="shared" si="29"/>
        <v>11.141944444444444</v>
      </c>
      <c r="Q451" s="3">
        <f t="shared" si="27"/>
        <v>1.9444444444438602E-2</v>
      </c>
      <c r="R451" s="3">
        <f t="shared" si="28"/>
        <v>0.15499999999999936</v>
      </c>
      <c r="S451" s="3">
        <f t="shared" si="30"/>
        <v>0.19537878787878782</v>
      </c>
    </row>
    <row r="452" spans="1:19" x14ac:dyDescent="0.25">
      <c r="A452" t="s">
        <v>16</v>
      </c>
      <c r="C452">
        <v>52.048037299999997</v>
      </c>
      <c r="D452">
        <v>-0.57194449999999997</v>
      </c>
      <c r="E452">
        <v>4</v>
      </c>
      <c r="F452">
        <v>4</v>
      </c>
      <c r="G452">
        <v>2022</v>
      </c>
      <c r="H452">
        <v>13</v>
      </c>
      <c r="I452">
        <v>56</v>
      </c>
      <c r="J452">
        <v>0.9</v>
      </c>
      <c r="K452">
        <v>43.16</v>
      </c>
      <c r="L452">
        <v>0</v>
      </c>
      <c r="M452">
        <v>39.816000000000003</v>
      </c>
      <c r="N452">
        <v>0.49299999999999999</v>
      </c>
      <c r="P452" s="1">
        <f t="shared" si="29"/>
        <v>11.06</v>
      </c>
      <c r="Q452" s="3">
        <f t="shared" si="27"/>
        <v>-0.81944444444443931</v>
      </c>
      <c r="R452" s="3">
        <f t="shared" si="28"/>
        <v>0.23888888888888893</v>
      </c>
      <c r="S452" s="3">
        <f t="shared" si="30"/>
        <v>0.17737373737373732</v>
      </c>
    </row>
    <row r="453" spans="1:19" x14ac:dyDescent="0.25">
      <c r="A453" t="s">
        <v>16</v>
      </c>
      <c r="C453">
        <v>52.048027300000001</v>
      </c>
      <c r="D453">
        <v>-0.57194330000000004</v>
      </c>
      <c r="E453">
        <v>4</v>
      </c>
      <c r="F453">
        <v>4</v>
      </c>
      <c r="G453">
        <v>2022</v>
      </c>
      <c r="H453">
        <v>13</v>
      </c>
      <c r="I453">
        <v>56</v>
      </c>
      <c r="J453">
        <v>1</v>
      </c>
      <c r="K453">
        <v>43.14</v>
      </c>
      <c r="L453">
        <v>0</v>
      </c>
      <c r="M453">
        <v>39.856000000000002</v>
      </c>
      <c r="N453">
        <v>0.49</v>
      </c>
      <c r="P453" s="1">
        <f t="shared" si="29"/>
        <v>11.071111111111112</v>
      </c>
      <c r="Q453" s="3">
        <f t="shared" ref="Q453:Q516" si="31">10*($P453-$P452)</f>
        <v>0.11111111111111072</v>
      </c>
      <c r="R453" s="3">
        <f t="shared" si="28"/>
        <v>9.9999999999999645E-2</v>
      </c>
      <c r="S453" s="3">
        <f t="shared" si="30"/>
        <v>0.17027777777777767</v>
      </c>
    </row>
    <row r="454" spans="1:19" x14ac:dyDescent="0.25">
      <c r="A454" t="s">
        <v>16</v>
      </c>
      <c r="C454">
        <v>52.0480175</v>
      </c>
      <c r="D454">
        <v>-0.57194230000000001</v>
      </c>
      <c r="E454">
        <v>4</v>
      </c>
      <c r="F454">
        <v>4</v>
      </c>
      <c r="G454">
        <v>2022</v>
      </c>
      <c r="H454">
        <v>13</v>
      </c>
      <c r="I454">
        <v>56</v>
      </c>
      <c r="J454">
        <v>1.1000000000000001</v>
      </c>
      <c r="K454">
        <v>43.14</v>
      </c>
      <c r="L454">
        <v>0</v>
      </c>
      <c r="M454">
        <v>39.542000000000002</v>
      </c>
      <c r="N454">
        <v>0.48199999999999998</v>
      </c>
      <c r="P454" s="1">
        <f t="shared" si="29"/>
        <v>10.983888888888888</v>
      </c>
      <c r="Q454" s="3">
        <f t="shared" si="31"/>
        <v>-0.87222222222223422</v>
      </c>
      <c r="R454" s="3">
        <f t="shared" si="28"/>
        <v>0.14805555555555472</v>
      </c>
      <c r="S454" s="3">
        <f t="shared" si="30"/>
        <v>0.14436868686868676</v>
      </c>
    </row>
    <row r="455" spans="1:19" x14ac:dyDescent="0.25">
      <c r="A455" t="s">
        <v>16</v>
      </c>
      <c r="C455">
        <v>52.048007599999998</v>
      </c>
      <c r="D455">
        <v>-0.57194100000000003</v>
      </c>
      <c r="E455">
        <v>4</v>
      </c>
      <c r="F455">
        <v>4</v>
      </c>
      <c r="G455">
        <v>2022</v>
      </c>
      <c r="H455">
        <v>13</v>
      </c>
      <c r="I455">
        <v>56</v>
      </c>
      <c r="J455">
        <v>1.2</v>
      </c>
      <c r="K455">
        <v>43.15</v>
      </c>
      <c r="L455">
        <v>0</v>
      </c>
      <c r="M455">
        <v>39.783999999999999</v>
      </c>
      <c r="N455">
        <v>0.47899999999999998</v>
      </c>
      <c r="P455" s="1">
        <f t="shared" si="29"/>
        <v>11.051111111111112</v>
      </c>
      <c r="Q455" s="3">
        <f t="shared" si="31"/>
        <v>0.67222222222223849</v>
      </c>
      <c r="R455" s="3">
        <f t="shared" si="28"/>
        <v>5.9999999999998721E-2</v>
      </c>
      <c r="S455" s="3">
        <f t="shared" si="30"/>
        <v>0.11517676767676752</v>
      </c>
    </row>
    <row r="456" spans="1:19" x14ac:dyDescent="0.25">
      <c r="A456" t="s">
        <v>16</v>
      </c>
      <c r="C456">
        <v>52.047997700000003</v>
      </c>
      <c r="D456">
        <v>-0.57193950000000005</v>
      </c>
      <c r="E456">
        <v>4</v>
      </c>
      <c r="F456">
        <v>4</v>
      </c>
      <c r="G456">
        <v>2022</v>
      </c>
      <c r="H456">
        <v>13</v>
      </c>
      <c r="I456">
        <v>56</v>
      </c>
      <c r="J456">
        <v>1.3</v>
      </c>
      <c r="K456">
        <v>43.14</v>
      </c>
      <c r="L456">
        <v>0</v>
      </c>
      <c r="M456">
        <v>39.664999999999999</v>
      </c>
      <c r="N456">
        <v>0.47499999999999998</v>
      </c>
      <c r="P456" s="1">
        <f t="shared" si="29"/>
        <v>11.018055555555556</v>
      </c>
      <c r="Q456" s="3">
        <f t="shared" si="31"/>
        <v>-0.33055555555556282</v>
      </c>
      <c r="R456" s="3">
        <f t="shared" si="28"/>
        <v>5.1111111111111995E-2</v>
      </c>
      <c r="S456" s="3">
        <f t="shared" si="30"/>
        <v>0.10227272727272695</v>
      </c>
    </row>
    <row r="457" spans="1:19" x14ac:dyDescent="0.25">
      <c r="A457" t="s">
        <v>16</v>
      </c>
      <c r="C457">
        <v>52.047987599999999</v>
      </c>
      <c r="D457">
        <v>-0.57193819999999995</v>
      </c>
      <c r="E457">
        <v>4</v>
      </c>
      <c r="F457">
        <v>4</v>
      </c>
      <c r="G457">
        <v>2022</v>
      </c>
      <c r="H457">
        <v>13</v>
      </c>
      <c r="I457">
        <v>56</v>
      </c>
      <c r="J457">
        <v>1.4</v>
      </c>
      <c r="K457">
        <v>43.11</v>
      </c>
      <c r="L457">
        <v>0</v>
      </c>
      <c r="M457">
        <v>40.003</v>
      </c>
      <c r="N457">
        <v>0.46800000000000003</v>
      </c>
      <c r="P457" s="1">
        <f t="shared" si="29"/>
        <v>11.111944444444445</v>
      </c>
      <c r="Q457" s="3">
        <f t="shared" si="31"/>
        <v>0.93888888888889355</v>
      </c>
      <c r="R457" s="3">
        <f t="shared" ref="R457:R520" si="32">($P462-$P452)</f>
        <v>8.9999999999999858E-2</v>
      </c>
      <c r="S457" s="3">
        <f t="shared" si="30"/>
        <v>0.10318181818181783</v>
      </c>
    </row>
    <row r="458" spans="1:19" x14ac:dyDescent="0.25">
      <c r="A458" t="s">
        <v>16</v>
      </c>
      <c r="C458">
        <v>52.047977699999997</v>
      </c>
      <c r="D458">
        <v>-0.57193660000000002</v>
      </c>
      <c r="E458">
        <v>4</v>
      </c>
      <c r="F458">
        <v>4</v>
      </c>
      <c r="G458">
        <v>2022</v>
      </c>
      <c r="H458">
        <v>13</v>
      </c>
      <c r="I458">
        <v>56</v>
      </c>
      <c r="J458">
        <v>1.5</v>
      </c>
      <c r="K458">
        <v>43.11</v>
      </c>
      <c r="L458">
        <v>0</v>
      </c>
      <c r="M458">
        <v>39.930999999999997</v>
      </c>
      <c r="N458">
        <v>0.47499999999999998</v>
      </c>
      <c r="P458" s="1">
        <f t="shared" si="29"/>
        <v>11.091944444444444</v>
      </c>
      <c r="Q458" s="3">
        <f t="shared" si="31"/>
        <v>-0.2000000000000135</v>
      </c>
      <c r="R458" s="3">
        <f t="shared" si="32"/>
        <v>9.0833333333332433E-2</v>
      </c>
      <c r="S458" s="3">
        <f t="shared" si="30"/>
        <v>0.10373737373737348</v>
      </c>
    </row>
    <row r="459" spans="1:19" x14ac:dyDescent="0.25">
      <c r="A459" t="s">
        <v>16</v>
      </c>
      <c r="C459">
        <v>52.0479676</v>
      </c>
      <c r="D459">
        <v>-0.57193470000000002</v>
      </c>
      <c r="E459">
        <v>4</v>
      </c>
      <c r="F459">
        <v>4</v>
      </c>
      <c r="G459">
        <v>2022</v>
      </c>
      <c r="H459">
        <v>13</v>
      </c>
      <c r="I459">
        <v>56</v>
      </c>
      <c r="J459">
        <v>1.6</v>
      </c>
      <c r="K459">
        <v>43.09</v>
      </c>
      <c r="L459">
        <v>0</v>
      </c>
      <c r="M459">
        <v>40.273000000000003</v>
      </c>
      <c r="N459">
        <v>0.48199999999999998</v>
      </c>
      <c r="P459" s="1">
        <f t="shared" si="29"/>
        <v>11.186944444444444</v>
      </c>
      <c r="Q459" s="3">
        <f t="shared" si="31"/>
        <v>0.95000000000000639</v>
      </c>
      <c r="R459" s="3">
        <f t="shared" si="32"/>
        <v>1.7222222222223138E-2</v>
      </c>
      <c r="S459" s="3">
        <f t="shared" si="30"/>
        <v>0.11492424242424222</v>
      </c>
    </row>
    <row r="460" spans="1:19" x14ac:dyDescent="0.25">
      <c r="A460" t="s">
        <v>16</v>
      </c>
      <c r="C460">
        <v>52.047957500000003</v>
      </c>
      <c r="D460">
        <v>-0.57193280000000002</v>
      </c>
      <c r="E460">
        <v>4</v>
      </c>
      <c r="F460">
        <v>4</v>
      </c>
      <c r="G460">
        <v>2022</v>
      </c>
      <c r="H460">
        <v>13</v>
      </c>
      <c r="I460">
        <v>56</v>
      </c>
      <c r="J460">
        <v>1.7</v>
      </c>
      <c r="K460">
        <v>43.06</v>
      </c>
      <c r="L460">
        <v>0</v>
      </c>
      <c r="M460">
        <v>40.32</v>
      </c>
      <c r="N460">
        <v>0.47499999999999998</v>
      </c>
      <c r="P460" s="1">
        <f t="shared" si="29"/>
        <v>11.2</v>
      </c>
      <c r="Q460" s="3">
        <f t="shared" si="31"/>
        <v>0.13055555555554932</v>
      </c>
      <c r="R460" s="3">
        <f t="shared" si="32"/>
        <v>2.0833333333332149E-2</v>
      </c>
      <c r="S460" s="3">
        <f t="shared" si="30"/>
        <v>0.11891414141414135</v>
      </c>
    </row>
    <row r="461" spans="1:19" x14ac:dyDescent="0.25">
      <c r="A461" t="s">
        <v>16</v>
      </c>
      <c r="C461">
        <v>52.047947499999999</v>
      </c>
      <c r="D461">
        <v>-0.57193079999999996</v>
      </c>
      <c r="E461">
        <v>4</v>
      </c>
      <c r="F461">
        <v>4</v>
      </c>
      <c r="G461">
        <v>2022</v>
      </c>
      <c r="H461">
        <v>13</v>
      </c>
      <c r="I461">
        <v>56</v>
      </c>
      <c r="J461">
        <v>1.8</v>
      </c>
      <c r="K461">
        <v>43.05</v>
      </c>
      <c r="L461">
        <v>0</v>
      </c>
      <c r="M461">
        <v>40.295000000000002</v>
      </c>
      <c r="N461">
        <v>0.47499999999999998</v>
      </c>
      <c r="P461" s="1">
        <f t="shared" si="29"/>
        <v>11.193055555555556</v>
      </c>
      <c r="Q461" s="3">
        <f t="shared" si="31"/>
        <v>-6.9444444444428655E-2</v>
      </c>
      <c r="R461" s="3">
        <f t="shared" si="32"/>
        <v>0.1530555555555555</v>
      </c>
      <c r="S461" s="3">
        <f t="shared" si="30"/>
        <v>0.13926767676767682</v>
      </c>
    </row>
    <row r="462" spans="1:19" x14ac:dyDescent="0.25">
      <c r="A462" t="s">
        <v>16</v>
      </c>
      <c r="C462">
        <v>52.047937500000003</v>
      </c>
      <c r="D462">
        <v>-0.57192900000000002</v>
      </c>
      <c r="E462">
        <v>4</v>
      </c>
      <c r="F462">
        <v>4</v>
      </c>
      <c r="G462">
        <v>2022</v>
      </c>
      <c r="H462">
        <v>13</v>
      </c>
      <c r="I462">
        <v>56</v>
      </c>
      <c r="J462">
        <v>1.9</v>
      </c>
      <c r="K462">
        <v>43.03</v>
      </c>
      <c r="L462">
        <v>0</v>
      </c>
      <c r="M462">
        <v>40.14</v>
      </c>
      <c r="N462">
        <v>0.47899999999999998</v>
      </c>
      <c r="P462" s="1">
        <f t="shared" si="29"/>
        <v>11.15</v>
      </c>
      <c r="Q462" s="3">
        <f t="shared" si="31"/>
        <v>-0.43055555555556069</v>
      </c>
      <c r="R462" s="3">
        <f t="shared" si="32"/>
        <v>0.16499999999999915</v>
      </c>
      <c r="S462" s="3">
        <f t="shared" si="30"/>
        <v>0.14744949494949483</v>
      </c>
    </row>
    <row r="463" spans="1:19" x14ac:dyDescent="0.25">
      <c r="A463" t="s">
        <v>16</v>
      </c>
      <c r="C463">
        <v>52.047927399999999</v>
      </c>
      <c r="D463">
        <v>-0.57192739999999997</v>
      </c>
      <c r="E463">
        <v>4</v>
      </c>
      <c r="F463">
        <v>4</v>
      </c>
      <c r="G463">
        <v>2022</v>
      </c>
      <c r="H463">
        <v>13</v>
      </c>
      <c r="I463">
        <v>56</v>
      </c>
      <c r="J463">
        <v>2</v>
      </c>
      <c r="K463">
        <v>43.01</v>
      </c>
      <c r="L463">
        <v>0</v>
      </c>
      <c r="M463">
        <v>40.183</v>
      </c>
      <c r="N463">
        <v>0.49</v>
      </c>
      <c r="P463" s="1">
        <f t="shared" si="29"/>
        <v>11.161944444444444</v>
      </c>
      <c r="Q463" s="3">
        <f t="shared" si="31"/>
        <v>0.11944444444443647</v>
      </c>
      <c r="R463" s="3">
        <f t="shared" si="32"/>
        <v>0.24500000000000099</v>
      </c>
      <c r="S463" s="3">
        <f t="shared" si="30"/>
        <v>0.12737373737373725</v>
      </c>
    </row>
    <row r="464" spans="1:19" x14ac:dyDescent="0.25">
      <c r="A464" t="s">
        <v>16</v>
      </c>
      <c r="C464">
        <v>52.047917699999999</v>
      </c>
      <c r="D464">
        <v>-0.57192589999999999</v>
      </c>
      <c r="E464">
        <v>4</v>
      </c>
      <c r="F464">
        <v>4</v>
      </c>
      <c r="G464">
        <v>2022</v>
      </c>
      <c r="H464">
        <v>13</v>
      </c>
      <c r="I464">
        <v>56</v>
      </c>
      <c r="J464">
        <v>2.1</v>
      </c>
      <c r="K464">
        <v>43.02</v>
      </c>
      <c r="L464">
        <v>0</v>
      </c>
      <c r="M464">
        <v>39.603999999999999</v>
      </c>
      <c r="N464">
        <v>0.49299999999999999</v>
      </c>
      <c r="P464" s="1">
        <f t="shared" si="29"/>
        <v>11.001111111111111</v>
      </c>
      <c r="Q464" s="3">
        <f t="shared" si="31"/>
        <v>-1.6083333333333272</v>
      </c>
      <c r="R464" s="3">
        <f t="shared" si="32"/>
        <v>0.22305555555555578</v>
      </c>
      <c r="S464" s="3">
        <f t="shared" si="30"/>
        <v>0.11128787878787866</v>
      </c>
    </row>
    <row r="465" spans="1:19" x14ac:dyDescent="0.25">
      <c r="A465" t="s">
        <v>16</v>
      </c>
      <c r="C465">
        <v>52.047907700000003</v>
      </c>
      <c r="D465">
        <v>-0.5719244</v>
      </c>
      <c r="E465">
        <v>4</v>
      </c>
      <c r="F465">
        <v>4</v>
      </c>
      <c r="G465">
        <v>2022</v>
      </c>
      <c r="H465">
        <v>13</v>
      </c>
      <c r="I465">
        <v>56</v>
      </c>
      <c r="J465">
        <v>2.2000000000000002</v>
      </c>
      <c r="K465">
        <v>43.01</v>
      </c>
      <c r="L465">
        <v>0</v>
      </c>
      <c r="M465">
        <v>39.859000000000002</v>
      </c>
      <c r="N465">
        <v>0.48599999999999999</v>
      </c>
      <c r="P465" s="1">
        <f t="shared" si="29"/>
        <v>11.071944444444444</v>
      </c>
      <c r="Q465" s="3">
        <f t="shared" si="31"/>
        <v>0.7083333333333286</v>
      </c>
      <c r="R465" s="3">
        <f t="shared" si="32"/>
        <v>0.19194444444444514</v>
      </c>
      <c r="S465" s="3">
        <f t="shared" si="30"/>
        <v>9.3005050505050271E-2</v>
      </c>
    </row>
    <row r="466" spans="1:19" x14ac:dyDescent="0.25">
      <c r="A466" t="s">
        <v>16</v>
      </c>
      <c r="C466">
        <v>52.047897800000001</v>
      </c>
      <c r="D466">
        <v>-0.57192279999999995</v>
      </c>
      <c r="E466">
        <v>4</v>
      </c>
      <c r="F466">
        <v>4</v>
      </c>
      <c r="G466">
        <v>2022</v>
      </c>
      <c r="H466">
        <v>13</v>
      </c>
      <c r="I466">
        <v>56</v>
      </c>
      <c r="J466">
        <v>2.2999999999999998</v>
      </c>
      <c r="K466">
        <v>43.05</v>
      </c>
      <c r="L466">
        <v>0</v>
      </c>
      <c r="M466">
        <v>40.216000000000001</v>
      </c>
      <c r="N466">
        <v>0.48199999999999998</v>
      </c>
      <c r="P466" s="1">
        <f t="shared" ref="P466:P523" si="33">M466*1000/3600</f>
        <v>11.171111111111111</v>
      </c>
      <c r="Q466" s="3">
        <f t="shared" si="31"/>
        <v>0.99166666666667069</v>
      </c>
      <c r="R466" s="3">
        <f t="shared" si="32"/>
        <v>0.28388888888888886</v>
      </c>
      <c r="S466" s="3">
        <f t="shared" si="30"/>
        <v>6.0454545454545379E-2</v>
      </c>
    </row>
    <row r="467" spans="1:19" x14ac:dyDescent="0.25">
      <c r="A467" t="s">
        <v>16</v>
      </c>
      <c r="C467">
        <v>52.047887699999997</v>
      </c>
      <c r="D467">
        <v>-0.57192120000000002</v>
      </c>
      <c r="E467">
        <v>4</v>
      </c>
      <c r="F467">
        <v>4</v>
      </c>
      <c r="G467">
        <v>2022</v>
      </c>
      <c r="H467">
        <v>13</v>
      </c>
      <c r="I467">
        <v>56</v>
      </c>
      <c r="J467">
        <v>2.4</v>
      </c>
      <c r="K467">
        <v>43.08</v>
      </c>
      <c r="L467">
        <v>0</v>
      </c>
      <c r="M467">
        <v>40.597000000000001</v>
      </c>
      <c r="N467">
        <v>0.48599999999999999</v>
      </c>
      <c r="P467" s="1">
        <f t="shared" si="33"/>
        <v>11.276944444444444</v>
      </c>
      <c r="Q467" s="3">
        <f t="shared" si="31"/>
        <v>1.05833333333333</v>
      </c>
      <c r="R467" s="3">
        <f t="shared" si="32"/>
        <v>0.14111111111111008</v>
      </c>
      <c r="S467" s="3">
        <f t="shared" ref="S467:S523" si="34">AVERAGE(R462:R472)</f>
        <v>7.7272727272726435E-3</v>
      </c>
    </row>
    <row r="468" spans="1:19" x14ac:dyDescent="0.25">
      <c r="A468" t="s">
        <v>16</v>
      </c>
      <c r="C468">
        <v>52.047877700000001</v>
      </c>
      <c r="D468">
        <v>-0.57191930000000002</v>
      </c>
      <c r="E468">
        <v>4</v>
      </c>
      <c r="F468">
        <v>4</v>
      </c>
      <c r="G468">
        <v>2022</v>
      </c>
      <c r="H468">
        <v>13</v>
      </c>
      <c r="I468">
        <v>56</v>
      </c>
      <c r="J468">
        <v>2.5</v>
      </c>
      <c r="K468">
        <v>43.11</v>
      </c>
      <c r="L468">
        <v>0</v>
      </c>
      <c r="M468">
        <v>40.813000000000002</v>
      </c>
      <c r="N468">
        <v>0.48599999999999999</v>
      </c>
      <c r="P468" s="1">
        <f t="shared" si="33"/>
        <v>11.336944444444445</v>
      </c>
      <c r="Q468" s="3">
        <f t="shared" si="31"/>
        <v>0.60000000000000497</v>
      </c>
      <c r="R468" s="3">
        <f t="shared" si="32"/>
        <v>-0.13083333333333336</v>
      </c>
      <c r="S468" s="3">
        <f t="shared" si="34"/>
        <v>-4.6540404040404132E-2</v>
      </c>
    </row>
    <row r="469" spans="1:19" x14ac:dyDescent="0.25">
      <c r="A469" t="s">
        <v>16</v>
      </c>
      <c r="C469">
        <v>52.047867599999996</v>
      </c>
      <c r="D469">
        <v>-0.57191729999999996</v>
      </c>
      <c r="E469">
        <v>4</v>
      </c>
      <c r="F469">
        <v>4</v>
      </c>
      <c r="G469">
        <v>2022</v>
      </c>
      <c r="H469">
        <v>13</v>
      </c>
      <c r="I469">
        <v>56</v>
      </c>
      <c r="J469">
        <v>2.6</v>
      </c>
      <c r="K469">
        <v>43.16</v>
      </c>
      <c r="L469">
        <v>0</v>
      </c>
      <c r="M469">
        <v>41.076000000000001</v>
      </c>
      <c r="N469">
        <v>0.48599999999999999</v>
      </c>
      <c r="P469" s="1">
        <f t="shared" si="33"/>
        <v>11.41</v>
      </c>
      <c r="Q469" s="3">
        <f t="shared" si="31"/>
        <v>0.73055555555555429</v>
      </c>
      <c r="R469" s="3">
        <f t="shared" si="32"/>
        <v>-8.6111111111112137E-2</v>
      </c>
      <c r="S469" s="3">
        <f t="shared" si="34"/>
        <v>-0.1104545454545456</v>
      </c>
    </row>
    <row r="470" spans="1:19" x14ac:dyDescent="0.25">
      <c r="A470" t="s">
        <v>16</v>
      </c>
      <c r="C470">
        <v>52.047857700000002</v>
      </c>
      <c r="D470">
        <v>-0.57191499999999995</v>
      </c>
      <c r="E470">
        <v>4</v>
      </c>
      <c r="F470">
        <v>4</v>
      </c>
      <c r="G470">
        <v>2022</v>
      </c>
      <c r="H470">
        <v>13</v>
      </c>
      <c r="I470">
        <v>56</v>
      </c>
      <c r="J470">
        <v>2.7</v>
      </c>
      <c r="K470">
        <v>43.21</v>
      </c>
      <c r="L470">
        <v>0</v>
      </c>
      <c r="M470">
        <v>41.011000000000003</v>
      </c>
      <c r="N470">
        <v>0.47899999999999998</v>
      </c>
      <c r="P470" s="1">
        <f t="shared" si="33"/>
        <v>11.391944444444444</v>
      </c>
      <c r="Q470" s="3">
        <f t="shared" si="31"/>
        <v>-0.18055555555555713</v>
      </c>
      <c r="R470" s="3">
        <f t="shared" si="32"/>
        <v>-0.18388888888888921</v>
      </c>
      <c r="S470" s="3">
        <f t="shared" si="34"/>
        <v>-0.17636363636363647</v>
      </c>
    </row>
    <row r="471" spans="1:19" x14ac:dyDescent="0.25">
      <c r="A471" t="s">
        <v>16</v>
      </c>
      <c r="C471">
        <v>52.047847599999997</v>
      </c>
      <c r="D471">
        <v>-0.57191219999999998</v>
      </c>
      <c r="E471">
        <v>4</v>
      </c>
      <c r="F471">
        <v>4</v>
      </c>
      <c r="G471">
        <v>2022</v>
      </c>
      <c r="H471">
        <v>13</v>
      </c>
      <c r="I471">
        <v>56</v>
      </c>
      <c r="J471">
        <v>2.8</v>
      </c>
      <c r="K471">
        <v>43.23</v>
      </c>
      <c r="L471">
        <v>0</v>
      </c>
      <c r="M471">
        <v>41.317</v>
      </c>
      <c r="N471">
        <v>0.48199999999999998</v>
      </c>
      <c r="P471" s="1">
        <f t="shared" si="33"/>
        <v>11.476944444444445</v>
      </c>
      <c r="Q471" s="3">
        <f t="shared" si="31"/>
        <v>0.85000000000000853</v>
      </c>
      <c r="R471" s="3">
        <f t="shared" si="32"/>
        <v>-0.33722222222222165</v>
      </c>
      <c r="S471" s="3">
        <f t="shared" si="34"/>
        <v>-0.2529797979797983</v>
      </c>
    </row>
    <row r="472" spans="1:19" x14ac:dyDescent="0.25">
      <c r="A472" t="s">
        <v>16</v>
      </c>
      <c r="C472">
        <v>52.0478375</v>
      </c>
      <c r="D472">
        <v>-0.57190969999999997</v>
      </c>
      <c r="E472">
        <v>4</v>
      </c>
      <c r="F472">
        <v>4</v>
      </c>
      <c r="G472">
        <v>2022</v>
      </c>
      <c r="H472">
        <v>13</v>
      </c>
      <c r="I472">
        <v>56</v>
      </c>
      <c r="J472">
        <v>2.9</v>
      </c>
      <c r="K472">
        <v>43.2</v>
      </c>
      <c r="L472">
        <v>0</v>
      </c>
      <c r="M472">
        <v>40.648000000000003</v>
      </c>
      <c r="N472">
        <v>0.48599999999999999</v>
      </c>
      <c r="P472" s="1">
        <f t="shared" si="33"/>
        <v>11.29111111111111</v>
      </c>
      <c r="Q472" s="3">
        <f t="shared" si="31"/>
        <v>-1.8583333333333485</v>
      </c>
      <c r="R472" s="3">
        <f t="shared" si="32"/>
        <v>-0.42694444444444457</v>
      </c>
      <c r="S472" s="3">
        <f t="shared" si="34"/>
        <v>-0.32053030303030333</v>
      </c>
    </row>
    <row r="473" spans="1:19" x14ac:dyDescent="0.25">
      <c r="A473" t="s">
        <v>16</v>
      </c>
      <c r="C473">
        <v>52.047827599999998</v>
      </c>
      <c r="D473">
        <v>-0.57190759999999996</v>
      </c>
      <c r="E473">
        <v>4</v>
      </c>
      <c r="F473">
        <v>4</v>
      </c>
      <c r="G473">
        <v>2022</v>
      </c>
      <c r="H473">
        <v>13</v>
      </c>
      <c r="I473">
        <v>56</v>
      </c>
      <c r="J473">
        <v>3</v>
      </c>
      <c r="K473">
        <v>43.18</v>
      </c>
      <c r="L473">
        <v>0</v>
      </c>
      <c r="M473">
        <v>39.712000000000003</v>
      </c>
      <c r="N473">
        <v>0.48599999999999999</v>
      </c>
      <c r="P473" s="1">
        <f t="shared" si="33"/>
        <v>11.031111111111111</v>
      </c>
      <c r="Q473" s="3">
        <f t="shared" si="31"/>
        <v>-2.5999999999999979</v>
      </c>
      <c r="R473" s="3">
        <f t="shared" si="32"/>
        <v>-0.43194444444444535</v>
      </c>
      <c r="S473" s="3">
        <f t="shared" si="34"/>
        <v>-0.36856060606060626</v>
      </c>
    </row>
    <row r="474" spans="1:19" x14ac:dyDescent="0.25">
      <c r="A474" t="s">
        <v>16</v>
      </c>
      <c r="C474">
        <v>52.047817799999997</v>
      </c>
      <c r="D474">
        <v>-0.57190589999999997</v>
      </c>
      <c r="E474">
        <v>4</v>
      </c>
      <c r="F474">
        <v>4</v>
      </c>
      <c r="G474">
        <v>2022</v>
      </c>
      <c r="H474">
        <v>13</v>
      </c>
      <c r="I474">
        <v>56</v>
      </c>
      <c r="J474">
        <v>3.1</v>
      </c>
      <c r="K474">
        <v>43.16</v>
      </c>
      <c r="L474">
        <v>0</v>
      </c>
      <c r="M474">
        <v>39.293999999999997</v>
      </c>
      <c r="N474">
        <v>0.48199999999999998</v>
      </c>
      <c r="P474" s="1">
        <f t="shared" si="33"/>
        <v>10.914999999999999</v>
      </c>
      <c r="Q474" s="3">
        <f t="shared" si="31"/>
        <v>-1.161111111111115</v>
      </c>
      <c r="R474" s="3">
        <f t="shared" si="32"/>
        <v>-0.45805555555555522</v>
      </c>
      <c r="S474" s="3">
        <f t="shared" si="34"/>
        <v>-0.3693939393939395</v>
      </c>
    </row>
    <row r="475" spans="1:19" x14ac:dyDescent="0.25">
      <c r="A475" t="s">
        <v>16</v>
      </c>
      <c r="C475">
        <v>52.047807900000002</v>
      </c>
      <c r="D475">
        <v>-0.57190410000000003</v>
      </c>
      <c r="E475">
        <v>4</v>
      </c>
      <c r="F475">
        <v>4</v>
      </c>
      <c r="G475">
        <v>2022</v>
      </c>
      <c r="H475">
        <v>13</v>
      </c>
      <c r="I475">
        <v>56</v>
      </c>
      <c r="J475">
        <v>3.2</v>
      </c>
      <c r="K475">
        <v>43.12</v>
      </c>
      <c r="L475">
        <v>0</v>
      </c>
      <c r="M475">
        <v>39.197000000000003</v>
      </c>
      <c r="N475">
        <v>0.48199999999999998</v>
      </c>
      <c r="P475" s="1">
        <f t="shared" si="33"/>
        <v>10.888055555555555</v>
      </c>
      <c r="Q475" s="3">
        <f t="shared" si="31"/>
        <v>-0.26944444444444215</v>
      </c>
      <c r="R475" s="3">
        <f t="shared" si="32"/>
        <v>-0.50194444444444386</v>
      </c>
      <c r="S475" s="3">
        <f t="shared" si="34"/>
        <v>-0.36421717171717172</v>
      </c>
    </row>
    <row r="476" spans="1:19" x14ac:dyDescent="0.25">
      <c r="A476" t="s">
        <v>16</v>
      </c>
      <c r="C476">
        <v>52.047798200000003</v>
      </c>
      <c r="D476">
        <v>-0.57190249999999998</v>
      </c>
      <c r="E476">
        <v>4</v>
      </c>
      <c r="F476">
        <v>4</v>
      </c>
      <c r="G476">
        <v>2022</v>
      </c>
      <c r="H476">
        <v>13</v>
      </c>
      <c r="I476">
        <v>56</v>
      </c>
      <c r="J476">
        <v>3.3</v>
      </c>
      <c r="K476">
        <v>43.09</v>
      </c>
      <c r="L476">
        <v>0</v>
      </c>
      <c r="M476">
        <v>39.002000000000002</v>
      </c>
      <c r="N476">
        <v>0.48599999999999999</v>
      </c>
      <c r="P476" s="1">
        <f t="shared" si="33"/>
        <v>10.83388888888889</v>
      </c>
      <c r="Q476" s="3">
        <f t="shared" si="31"/>
        <v>-0.54166666666665364</v>
      </c>
      <c r="R476" s="3">
        <f t="shared" si="32"/>
        <v>-0.65083333333333471</v>
      </c>
      <c r="S476" s="3">
        <f t="shared" si="34"/>
        <v>-0.33676767676767677</v>
      </c>
    </row>
    <row r="477" spans="1:19" x14ac:dyDescent="0.25">
      <c r="A477" t="s">
        <v>16</v>
      </c>
      <c r="C477">
        <v>52.047788300000001</v>
      </c>
      <c r="D477">
        <v>-0.5719012</v>
      </c>
      <c r="E477">
        <v>4</v>
      </c>
      <c r="F477">
        <v>4</v>
      </c>
      <c r="G477">
        <v>2022</v>
      </c>
      <c r="H477">
        <v>13</v>
      </c>
      <c r="I477">
        <v>56</v>
      </c>
      <c r="J477">
        <v>3.4</v>
      </c>
      <c r="K477">
        <v>43.05</v>
      </c>
      <c r="L477">
        <v>0</v>
      </c>
      <c r="M477">
        <v>39.06</v>
      </c>
      <c r="N477">
        <v>0.48199999999999998</v>
      </c>
      <c r="P477" s="1">
        <f t="shared" si="33"/>
        <v>10.85</v>
      </c>
      <c r="Q477" s="3">
        <f t="shared" si="31"/>
        <v>0.16111111111110077</v>
      </c>
      <c r="R477" s="3">
        <f t="shared" si="32"/>
        <v>-0.4591666666666665</v>
      </c>
      <c r="S477" s="3">
        <f t="shared" si="34"/>
        <v>-0.2925757575757576</v>
      </c>
    </row>
    <row r="478" spans="1:19" x14ac:dyDescent="0.25">
      <c r="A478" t="s">
        <v>16</v>
      </c>
      <c r="C478">
        <v>52.047778399999999</v>
      </c>
      <c r="D478">
        <v>-0.57190010000000002</v>
      </c>
      <c r="E478">
        <v>4</v>
      </c>
      <c r="F478">
        <v>4</v>
      </c>
      <c r="G478">
        <v>2022</v>
      </c>
      <c r="H478">
        <v>13</v>
      </c>
      <c r="I478">
        <v>56</v>
      </c>
      <c r="J478">
        <v>3.5</v>
      </c>
      <c r="K478">
        <v>43</v>
      </c>
      <c r="L478">
        <v>0</v>
      </c>
      <c r="M478">
        <v>39.258000000000003</v>
      </c>
      <c r="N478">
        <v>0.47499999999999998</v>
      </c>
      <c r="P478" s="1">
        <f t="shared" si="33"/>
        <v>10.904999999999999</v>
      </c>
      <c r="Q478" s="3">
        <f t="shared" si="31"/>
        <v>0.54999999999999716</v>
      </c>
      <c r="R478" s="3">
        <f t="shared" si="32"/>
        <v>-0.38722222222222236</v>
      </c>
      <c r="S478" s="3">
        <f t="shared" si="34"/>
        <v>-0.22585858585858579</v>
      </c>
    </row>
    <row r="479" spans="1:19" x14ac:dyDescent="0.25">
      <c r="A479" t="s">
        <v>16</v>
      </c>
      <c r="C479">
        <v>52.047768400000002</v>
      </c>
      <c r="D479">
        <v>-0.57189900000000005</v>
      </c>
      <c r="E479">
        <v>4</v>
      </c>
      <c r="F479">
        <v>4</v>
      </c>
      <c r="G479">
        <v>2022</v>
      </c>
      <c r="H479">
        <v>13</v>
      </c>
      <c r="I479">
        <v>56</v>
      </c>
      <c r="J479">
        <v>3.6</v>
      </c>
      <c r="K479">
        <v>42.98</v>
      </c>
      <c r="L479">
        <v>0</v>
      </c>
      <c r="M479">
        <v>39.427</v>
      </c>
      <c r="N479">
        <v>0.48199999999999998</v>
      </c>
      <c r="P479" s="1">
        <f t="shared" si="33"/>
        <v>10.951944444444445</v>
      </c>
      <c r="Q479" s="3">
        <f t="shared" si="31"/>
        <v>0.46944444444445566</v>
      </c>
      <c r="R479" s="3">
        <f t="shared" si="32"/>
        <v>-0.13999999999999879</v>
      </c>
      <c r="S479" s="3">
        <f t="shared" si="34"/>
        <v>-0.14585858585858572</v>
      </c>
    </row>
    <row r="480" spans="1:19" x14ac:dyDescent="0.25">
      <c r="A480" t="s">
        <v>16</v>
      </c>
      <c r="C480">
        <v>52.047758600000002</v>
      </c>
      <c r="D480">
        <v>-0.57189840000000003</v>
      </c>
      <c r="E480">
        <v>4</v>
      </c>
      <c r="F480">
        <v>4</v>
      </c>
      <c r="G480">
        <v>2022</v>
      </c>
      <c r="H480">
        <v>13</v>
      </c>
      <c r="I480">
        <v>56</v>
      </c>
      <c r="J480">
        <v>3.7</v>
      </c>
      <c r="K480">
        <v>42.95</v>
      </c>
      <c r="L480">
        <v>0</v>
      </c>
      <c r="M480">
        <v>39.204000000000001</v>
      </c>
      <c r="N480">
        <v>0.497</v>
      </c>
      <c r="P480" s="1">
        <f t="shared" si="33"/>
        <v>10.89</v>
      </c>
      <c r="Q480" s="3">
        <f t="shared" si="31"/>
        <v>-0.61944444444444358</v>
      </c>
      <c r="R480" s="3">
        <f t="shared" si="32"/>
        <v>-2.9166666666666785E-2</v>
      </c>
      <c r="S480" s="3">
        <f t="shared" si="34"/>
        <v>-4.8863636363636331E-2</v>
      </c>
    </row>
    <row r="481" spans="1:19" x14ac:dyDescent="0.25">
      <c r="A481" t="s">
        <v>16</v>
      </c>
      <c r="C481">
        <v>52.047748800000001</v>
      </c>
      <c r="D481">
        <v>-0.57189809999999996</v>
      </c>
      <c r="E481">
        <v>4</v>
      </c>
      <c r="F481">
        <v>4</v>
      </c>
      <c r="G481">
        <v>2022</v>
      </c>
      <c r="H481">
        <v>13</v>
      </c>
      <c r="I481">
        <v>56</v>
      </c>
      <c r="J481">
        <v>3.8</v>
      </c>
      <c r="K481">
        <v>42.93</v>
      </c>
      <c r="L481">
        <v>0</v>
      </c>
      <c r="M481">
        <v>38.973999999999997</v>
      </c>
      <c r="N481">
        <v>0.497</v>
      </c>
      <c r="P481" s="1">
        <f t="shared" si="33"/>
        <v>10.826111111111111</v>
      </c>
      <c r="Q481" s="3">
        <f t="shared" si="31"/>
        <v>-0.63888888888889994</v>
      </c>
      <c r="R481" s="3">
        <f t="shared" si="32"/>
        <v>0.11805555555555536</v>
      </c>
      <c r="S481" s="3">
        <f t="shared" si="34"/>
        <v>2.4494949494949448E-2</v>
      </c>
    </row>
    <row r="482" spans="1:19" x14ac:dyDescent="0.25">
      <c r="A482" t="s">
        <v>16</v>
      </c>
      <c r="C482">
        <v>52.047739</v>
      </c>
      <c r="D482">
        <v>-0.57189820000000002</v>
      </c>
      <c r="E482">
        <v>4</v>
      </c>
      <c r="F482">
        <v>4</v>
      </c>
      <c r="G482">
        <v>2022</v>
      </c>
      <c r="H482">
        <v>13</v>
      </c>
      <c r="I482">
        <v>56</v>
      </c>
      <c r="J482">
        <v>3.9</v>
      </c>
      <c r="K482">
        <v>42.92</v>
      </c>
      <c r="L482">
        <v>0</v>
      </c>
      <c r="M482">
        <v>38.994999999999997</v>
      </c>
      <c r="N482">
        <v>0.51800000000000002</v>
      </c>
      <c r="P482" s="1">
        <f t="shared" si="33"/>
        <v>10.831944444444444</v>
      </c>
      <c r="Q482" s="3">
        <f t="shared" si="31"/>
        <v>5.833333333333357E-2</v>
      </c>
      <c r="R482" s="3">
        <f t="shared" si="32"/>
        <v>0.14888888888888907</v>
      </c>
      <c r="S482" s="3">
        <f t="shared" si="34"/>
        <v>9.0303030303030371E-2</v>
      </c>
    </row>
    <row r="483" spans="1:19" x14ac:dyDescent="0.25">
      <c r="A483" t="s">
        <v>16</v>
      </c>
      <c r="C483">
        <v>52.047729500000003</v>
      </c>
      <c r="D483">
        <v>-0.57189849999999998</v>
      </c>
      <c r="E483">
        <v>4</v>
      </c>
      <c r="F483">
        <v>4</v>
      </c>
      <c r="G483">
        <v>2022</v>
      </c>
      <c r="H483">
        <v>13</v>
      </c>
      <c r="I483">
        <v>56</v>
      </c>
      <c r="J483">
        <v>4</v>
      </c>
      <c r="K483">
        <v>42.92</v>
      </c>
      <c r="L483">
        <v>0</v>
      </c>
      <c r="M483">
        <v>38.317999999999998</v>
      </c>
      <c r="N483">
        <v>0.52600000000000002</v>
      </c>
      <c r="P483" s="1">
        <f t="shared" si="33"/>
        <v>10.643888888888888</v>
      </c>
      <c r="Q483" s="3">
        <f t="shared" si="31"/>
        <v>-1.8805555555555564</v>
      </c>
      <c r="R483" s="3">
        <f t="shared" si="32"/>
        <v>0.30694444444444535</v>
      </c>
      <c r="S483" s="3">
        <f t="shared" si="34"/>
        <v>0.14861111111111117</v>
      </c>
    </row>
    <row r="484" spans="1:19" x14ac:dyDescent="0.25">
      <c r="A484" t="s">
        <v>16</v>
      </c>
      <c r="C484">
        <v>52.047719800000003</v>
      </c>
      <c r="D484">
        <v>-0.57189909999999999</v>
      </c>
      <c r="E484">
        <v>4</v>
      </c>
      <c r="F484">
        <v>4</v>
      </c>
      <c r="G484">
        <v>2022</v>
      </c>
      <c r="H484">
        <v>13</v>
      </c>
      <c r="I484">
        <v>56</v>
      </c>
      <c r="J484">
        <v>4.0999999999999996</v>
      </c>
      <c r="K484">
        <v>42.92</v>
      </c>
      <c r="L484">
        <v>0</v>
      </c>
      <c r="M484">
        <v>38.79</v>
      </c>
      <c r="N484">
        <v>0.53600000000000003</v>
      </c>
      <c r="P484" s="1">
        <f t="shared" si="33"/>
        <v>10.775</v>
      </c>
      <c r="Q484" s="3">
        <f t="shared" si="31"/>
        <v>1.3111111111111207</v>
      </c>
      <c r="R484" s="3">
        <f t="shared" si="32"/>
        <v>0.44805555555555543</v>
      </c>
      <c r="S484" s="3">
        <f t="shared" si="34"/>
        <v>0.18881313131313135</v>
      </c>
    </row>
    <row r="485" spans="1:19" x14ac:dyDescent="0.25">
      <c r="A485" t="s">
        <v>16</v>
      </c>
      <c r="C485">
        <v>52.047710100000003</v>
      </c>
      <c r="D485">
        <v>-0.57189939999999995</v>
      </c>
      <c r="E485">
        <v>4</v>
      </c>
      <c r="F485">
        <v>4</v>
      </c>
      <c r="G485">
        <v>2022</v>
      </c>
      <c r="H485">
        <v>13</v>
      </c>
      <c r="I485">
        <v>56</v>
      </c>
      <c r="J485">
        <v>4.2</v>
      </c>
      <c r="K485">
        <v>42.96</v>
      </c>
      <c r="L485">
        <v>0</v>
      </c>
      <c r="M485">
        <v>39.091999999999999</v>
      </c>
      <c r="N485">
        <v>0.54400000000000004</v>
      </c>
      <c r="P485" s="1">
        <f t="shared" si="33"/>
        <v>10.858888888888888</v>
      </c>
      <c r="Q485" s="3">
        <f t="shared" si="31"/>
        <v>0.83888888888887791</v>
      </c>
      <c r="R485" s="3">
        <f t="shared" si="32"/>
        <v>0.60888888888888815</v>
      </c>
      <c r="S485" s="3">
        <f t="shared" si="34"/>
        <v>0.19300505050505057</v>
      </c>
    </row>
    <row r="486" spans="1:19" x14ac:dyDescent="0.25">
      <c r="A486" t="s">
        <v>16</v>
      </c>
      <c r="C486">
        <v>52.047700300000002</v>
      </c>
      <c r="D486">
        <v>-0.57189950000000001</v>
      </c>
      <c r="E486">
        <v>4</v>
      </c>
      <c r="F486">
        <v>4</v>
      </c>
      <c r="G486">
        <v>2022</v>
      </c>
      <c r="H486">
        <v>13</v>
      </c>
      <c r="I486">
        <v>56</v>
      </c>
      <c r="J486">
        <v>4.3</v>
      </c>
      <c r="K486">
        <v>42.99</v>
      </c>
      <c r="L486">
        <v>0</v>
      </c>
      <c r="M486">
        <v>39.427</v>
      </c>
      <c r="N486">
        <v>0.55400000000000005</v>
      </c>
      <c r="P486" s="1">
        <f t="shared" si="33"/>
        <v>10.951944444444445</v>
      </c>
      <c r="Q486" s="3">
        <f t="shared" si="31"/>
        <v>0.93055555555556779</v>
      </c>
      <c r="R486" s="3">
        <f t="shared" si="32"/>
        <v>0.30499999999999972</v>
      </c>
      <c r="S486" s="3">
        <f t="shared" si="34"/>
        <v>0.15719696969696964</v>
      </c>
    </row>
    <row r="487" spans="1:19" x14ac:dyDescent="0.25">
      <c r="A487" t="s">
        <v>16</v>
      </c>
      <c r="C487">
        <v>52.047690500000002</v>
      </c>
      <c r="D487">
        <v>-0.57189999999999996</v>
      </c>
      <c r="E487">
        <v>4</v>
      </c>
      <c r="F487">
        <v>4</v>
      </c>
      <c r="G487">
        <v>2022</v>
      </c>
      <c r="H487">
        <v>13</v>
      </c>
      <c r="I487">
        <v>56</v>
      </c>
      <c r="J487">
        <v>4.4000000000000004</v>
      </c>
      <c r="K487">
        <v>43.02</v>
      </c>
      <c r="L487">
        <v>0</v>
      </c>
      <c r="M487">
        <v>39.595999999999997</v>
      </c>
      <c r="N487">
        <v>0.55100000000000005</v>
      </c>
      <c r="P487" s="1">
        <f t="shared" si="33"/>
        <v>10.998888888888889</v>
      </c>
      <c r="Q487" s="3">
        <f t="shared" si="31"/>
        <v>0.46944444444443789</v>
      </c>
      <c r="R487" s="3">
        <f t="shared" si="32"/>
        <v>7.3055555555555429E-2</v>
      </c>
      <c r="S487" s="3">
        <f t="shared" si="34"/>
        <v>0.10257575757575763</v>
      </c>
    </row>
    <row r="488" spans="1:19" x14ac:dyDescent="0.25">
      <c r="A488" t="s">
        <v>16</v>
      </c>
      <c r="C488">
        <v>52.047680700000001</v>
      </c>
      <c r="D488">
        <v>-0.57189979999999996</v>
      </c>
      <c r="E488">
        <v>4</v>
      </c>
      <c r="F488">
        <v>4</v>
      </c>
      <c r="G488">
        <v>2022</v>
      </c>
      <c r="H488">
        <v>13</v>
      </c>
      <c r="I488">
        <v>56</v>
      </c>
      <c r="J488">
        <v>4.5</v>
      </c>
      <c r="K488">
        <v>43.1</v>
      </c>
      <c r="L488">
        <v>0</v>
      </c>
      <c r="M488">
        <v>40.363</v>
      </c>
      <c r="N488">
        <v>0.51800000000000002</v>
      </c>
      <c r="P488" s="1">
        <f t="shared" si="33"/>
        <v>11.211944444444445</v>
      </c>
      <c r="Q488" s="3">
        <f t="shared" si="31"/>
        <v>2.13055555555556</v>
      </c>
      <c r="R488" s="3">
        <f t="shared" si="32"/>
        <v>0.18222222222222229</v>
      </c>
      <c r="S488" s="3">
        <f t="shared" si="34"/>
        <v>4.1313131313131309E-2</v>
      </c>
    </row>
    <row r="489" spans="1:19" x14ac:dyDescent="0.25">
      <c r="A489" t="s">
        <v>16</v>
      </c>
      <c r="C489">
        <v>52.047670599999996</v>
      </c>
      <c r="D489">
        <v>-0.57189909999999999</v>
      </c>
      <c r="E489">
        <v>4</v>
      </c>
      <c r="F489">
        <v>4</v>
      </c>
      <c r="G489">
        <v>2022</v>
      </c>
      <c r="H489">
        <v>13</v>
      </c>
      <c r="I489">
        <v>56</v>
      </c>
      <c r="J489">
        <v>4.5999999999999996</v>
      </c>
      <c r="K489">
        <v>43.17</v>
      </c>
      <c r="L489">
        <v>0</v>
      </c>
      <c r="M489">
        <v>41.04</v>
      </c>
      <c r="N489">
        <v>0.497</v>
      </c>
      <c r="P489" s="1">
        <f t="shared" si="33"/>
        <v>11.4</v>
      </c>
      <c r="Q489" s="3">
        <f t="shared" si="31"/>
        <v>1.8805555555555564</v>
      </c>
      <c r="R489" s="3">
        <f t="shared" si="32"/>
        <v>5.4999999999999716E-2</v>
      </c>
      <c r="S489" s="3">
        <f t="shared" si="34"/>
        <v>-4.449494949494967E-2</v>
      </c>
    </row>
    <row r="490" spans="1:19" x14ac:dyDescent="0.25">
      <c r="A490" t="s">
        <v>16</v>
      </c>
      <c r="C490">
        <v>52.047660399999998</v>
      </c>
      <c r="D490">
        <v>-0.57189809999999996</v>
      </c>
      <c r="E490">
        <v>4</v>
      </c>
      <c r="F490">
        <v>4</v>
      </c>
      <c r="G490">
        <v>2022</v>
      </c>
      <c r="H490">
        <v>13</v>
      </c>
      <c r="I490">
        <v>56</v>
      </c>
      <c r="J490">
        <v>4.7</v>
      </c>
      <c r="K490">
        <v>43.21</v>
      </c>
      <c r="L490">
        <v>0</v>
      </c>
      <c r="M490">
        <v>41.396000000000001</v>
      </c>
      <c r="N490">
        <v>0.47899999999999998</v>
      </c>
      <c r="P490" s="1">
        <f t="shared" si="33"/>
        <v>11.498888888888889</v>
      </c>
      <c r="Q490" s="3">
        <f t="shared" si="31"/>
        <v>0.9888888888888836</v>
      </c>
      <c r="R490" s="3">
        <f t="shared" si="32"/>
        <v>-9.3888888888887578E-2</v>
      </c>
      <c r="S490" s="3">
        <f t="shared" si="34"/>
        <v>-0.14830808080808097</v>
      </c>
    </row>
    <row r="491" spans="1:19" x14ac:dyDescent="0.25">
      <c r="A491" t="s">
        <v>16</v>
      </c>
      <c r="C491">
        <v>52.047650599999997</v>
      </c>
      <c r="D491">
        <v>-0.57189730000000005</v>
      </c>
      <c r="E491">
        <v>4</v>
      </c>
      <c r="F491">
        <v>4</v>
      </c>
      <c r="G491">
        <v>2022</v>
      </c>
      <c r="H491">
        <v>13</v>
      </c>
      <c r="I491">
        <v>56</v>
      </c>
      <c r="J491">
        <v>4.8</v>
      </c>
      <c r="K491">
        <v>43.24</v>
      </c>
      <c r="L491">
        <v>0</v>
      </c>
      <c r="M491">
        <v>40.072000000000003</v>
      </c>
      <c r="N491">
        <v>0.49</v>
      </c>
      <c r="P491" s="1">
        <f t="shared" si="33"/>
        <v>11.13111111111111</v>
      </c>
      <c r="Q491" s="3">
        <f t="shared" si="31"/>
        <v>-3.6777777777777843</v>
      </c>
      <c r="R491" s="3">
        <f t="shared" si="32"/>
        <v>-0.42305555555555685</v>
      </c>
      <c r="S491" s="3">
        <f t="shared" si="34"/>
        <v>-0.24712121212121216</v>
      </c>
    </row>
    <row r="492" spans="1:19" x14ac:dyDescent="0.25">
      <c r="A492" t="s">
        <v>16</v>
      </c>
      <c r="C492">
        <v>52.047640800000003</v>
      </c>
      <c r="D492">
        <v>-0.57189699999999999</v>
      </c>
      <c r="E492">
        <v>4</v>
      </c>
      <c r="F492">
        <v>4</v>
      </c>
      <c r="G492">
        <v>2022</v>
      </c>
      <c r="H492">
        <v>13</v>
      </c>
      <c r="I492">
        <v>56</v>
      </c>
      <c r="J492">
        <v>4.9000000000000004</v>
      </c>
      <c r="K492">
        <v>43.23</v>
      </c>
      <c r="L492">
        <v>0</v>
      </c>
      <c r="M492">
        <v>39.258000000000003</v>
      </c>
      <c r="N492">
        <v>0.497</v>
      </c>
      <c r="P492" s="1">
        <f t="shared" si="33"/>
        <v>10.904999999999999</v>
      </c>
      <c r="Q492" s="3">
        <f t="shared" si="31"/>
        <v>-2.2611111111111093</v>
      </c>
      <c r="R492" s="3">
        <f t="shared" si="32"/>
        <v>-0.48277777777777686</v>
      </c>
      <c r="S492" s="3">
        <f t="shared" si="34"/>
        <v>-0.31275252525252512</v>
      </c>
    </row>
    <row r="493" spans="1:19" x14ac:dyDescent="0.25">
      <c r="A493" t="s">
        <v>16</v>
      </c>
      <c r="C493">
        <v>52.047631099999997</v>
      </c>
      <c r="D493">
        <v>-0.57189650000000003</v>
      </c>
      <c r="E493">
        <v>4</v>
      </c>
      <c r="F493">
        <v>4</v>
      </c>
      <c r="G493">
        <v>2022</v>
      </c>
      <c r="H493">
        <v>13</v>
      </c>
      <c r="I493">
        <v>56</v>
      </c>
      <c r="J493">
        <v>5</v>
      </c>
      <c r="K493">
        <v>43.23</v>
      </c>
      <c r="L493">
        <v>0</v>
      </c>
      <c r="M493">
        <v>38.973999999999997</v>
      </c>
      <c r="N493">
        <v>0.50800000000000001</v>
      </c>
      <c r="P493" s="1">
        <f t="shared" si="33"/>
        <v>10.826111111111111</v>
      </c>
      <c r="Q493" s="3">
        <f t="shared" si="31"/>
        <v>-0.78888888888888786</v>
      </c>
      <c r="R493" s="3">
        <f t="shared" si="32"/>
        <v>-0.52500000000000036</v>
      </c>
      <c r="S493" s="3">
        <f t="shared" si="34"/>
        <v>-0.34459595959595934</v>
      </c>
    </row>
    <row r="494" spans="1:19" x14ac:dyDescent="0.25">
      <c r="A494" t="s">
        <v>16</v>
      </c>
      <c r="C494">
        <v>52.047621399999997</v>
      </c>
      <c r="D494">
        <v>-0.57189590000000001</v>
      </c>
      <c r="E494">
        <v>4</v>
      </c>
      <c r="F494">
        <v>4</v>
      </c>
      <c r="G494">
        <v>2022</v>
      </c>
      <c r="H494">
        <v>13</v>
      </c>
      <c r="I494">
        <v>56</v>
      </c>
      <c r="J494">
        <v>5.0999999999999996</v>
      </c>
      <c r="K494">
        <v>43.24</v>
      </c>
      <c r="L494">
        <v>0</v>
      </c>
      <c r="M494">
        <v>38.988</v>
      </c>
      <c r="N494">
        <v>0.5</v>
      </c>
      <c r="P494" s="1">
        <f t="shared" si="33"/>
        <v>10.83</v>
      </c>
      <c r="Q494" s="3">
        <f t="shared" si="31"/>
        <v>3.8888888888894968E-2</v>
      </c>
      <c r="R494" s="3">
        <f t="shared" si="32"/>
        <v>-0.63694444444444542</v>
      </c>
      <c r="S494" s="3">
        <f t="shared" si="34"/>
        <v>-0.3792424242424241</v>
      </c>
    </row>
    <row r="495" spans="1:19" x14ac:dyDescent="0.25">
      <c r="A495" t="s">
        <v>16</v>
      </c>
      <c r="C495">
        <v>52.047611699999997</v>
      </c>
      <c r="D495">
        <v>-0.5718955</v>
      </c>
      <c r="E495">
        <v>4</v>
      </c>
      <c r="F495">
        <v>4</v>
      </c>
      <c r="G495">
        <v>2022</v>
      </c>
      <c r="H495">
        <v>13</v>
      </c>
      <c r="I495">
        <v>56</v>
      </c>
      <c r="J495">
        <v>5.2</v>
      </c>
      <c r="K495">
        <v>43.22</v>
      </c>
      <c r="L495">
        <v>0</v>
      </c>
      <c r="M495">
        <v>38.753999999999998</v>
      </c>
      <c r="N495">
        <v>0.49299999999999999</v>
      </c>
      <c r="P495" s="1">
        <f t="shared" si="33"/>
        <v>10.765000000000001</v>
      </c>
      <c r="Q495" s="3">
        <f t="shared" si="31"/>
        <v>-0.64999999999999503</v>
      </c>
      <c r="R495" s="3">
        <f t="shared" si="32"/>
        <v>-0.693888888888889</v>
      </c>
      <c r="S495" s="3">
        <f t="shared" si="34"/>
        <v>-0.41042929292929275</v>
      </c>
    </row>
    <row r="496" spans="1:19" x14ac:dyDescent="0.25">
      <c r="A496" t="s">
        <v>16</v>
      </c>
      <c r="C496">
        <v>52.0476022</v>
      </c>
      <c r="D496">
        <v>-0.5718953</v>
      </c>
      <c r="E496">
        <v>4</v>
      </c>
      <c r="F496">
        <v>4</v>
      </c>
      <c r="G496">
        <v>2022</v>
      </c>
      <c r="H496">
        <v>13</v>
      </c>
      <c r="I496">
        <v>56</v>
      </c>
      <c r="J496">
        <v>5.3</v>
      </c>
      <c r="K496">
        <v>43.18</v>
      </c>
      <c r="L496">
        <v>0</v>
      </c>
      <c r="M496">
        <v>37.904000000000003</v>
      </c>
      <c r="N496">
        <v>0.49</v>
      </c>
      <c r="P496" s="1">
        <f t="shared" si="33"/>
        <v>10.528888888888888</v>
      </c>
      <c r="Q496" s="3">
        <f t="shared" si="31"/>
        <v>-2.3611111111111249</v>
      </c>
      <c r="R496" s="3">
        <f t="shared" si="32"/>
        <v>-0.47805555555555479</v>
      </c>
      <c r="S496" s="3">
        <f t="shared" si="34"/>
        <v>-0.39851010101010087</v>
      </c>
    </row>
    <row r="497" spans="1:19" x14ac:dyDescent="0.25">
      <c r="A497" t="s">
        <v>16</v>
      </c>
      <c r="C497">
        <v>52.047592600000002</v>
      </c>
      <c r="D497">
        <v>-0.5718953</v>
      </c>
      <c r="E497">
        <v>4</v>
      </c>
      <c r="F497">
        <v>4</v>
      </c>
      <c r="G497">
        <v>2022</v>
      </c>
      <c r="H497">
        <v>13</v>
      </c>
      <c r="I497">
        <v>56</v>
      </c>
      <c r="J497">
        <v>5.4</v>
      </c>
      <c r="K497">
        <v>43.16</v>
      </c>
      <c r="L497">
        <v>0</v>
      </c>
      <c r="M497">
        <v>37.857999999999997</v>
      </c>
      <c r="N497">
        <v>0.48599999999999999</v>
      </c>
      <c r="P497" s="1">
        <f t="shared" si="33"/>
        <v>10.516111111111112</v>
      </c>
      <c r="Q497" s="3">
        <f t="shared" si="31"/>
        <v>-0.12777777777776222</v>
      </c>
      <c r="R497" s="3">
        <f t="shared" si="32"/>
        <v>-0.41694444444444301</v>
      </c>
      <c r="S497" s="3">
        <f t="shared" si="34"/>
        <v>-0.36161616161616145</v>
      </c>
    </row>
    <row r="498" spans="1:19" x14ac:dyDescent="0.25">
      <c r="A498" t="s">
        <v>16</v>
      </c>
      <c r="C498">
        <v>52.047583000000003</v>
      </c>
      <c r="D498">
        <v>-0.57189509999999999</v>
      </c>
      <c r="E498">
        <v>4</v>
      </c>
      <c r="F498">
        <v>4</v>
      </c>
      <c r="G498">
        <v>2022</v>
      </c>
      <c r="H498">
        <v>13</v>
      </c>
      <c r="I498">
        <v>56</v>
      </c>
      <c r="J498">
        <v>5.5</v>
      </c>
      <c r="K498">
        <v>43.16</v>
      </c>
      <c r="L498">
        <v>0</v>
      </c>
      <c r="M498">
        <v>38.472999999999999</v>
      </c>
      <c r="N498">
        <v>0.48199999999999998</v>
      </c>
      <c r="P498" s="1">
        <f t="shared" si="33"/>
        <v>10.686944444444444</v>
      </c>
      <c r="Q498" s="3">
        <f t="shared" si="31"/>
        <v>1.708333333333325</v>
      </c>
      <c r="R498" s="3">
        <f t="shared" si="32"/>
        <v>-0.27722222222222115</v>
      </c>
      <c r="S498" s="3">
        <f t="shared" si="34"/>
        <v>-0.34053030303030291</v>
      </c>
    </row>
    <row r="499" spans="1:19" x14ac:dyDescent="0.25">
      <c r="A499" t="s">
        <v>16</v>
      </c>
      <c r="C499">
        <v>52.047573200000002</v>
      </c>
      <c r="D499">
        <v>-0.57189480000000004</v>
      </c>
      <c r="E499">
        <v>4</v>
      </c>
      <c r="F499">
        <v>4</v>
      </c>
      <c r="G499">
        <v>2022</v>
      </c>
      <c r="H499">
        <v>13</v>
      </c>
      <c r="I499">
        <v>56</v>
      </c>
      <c r="J499">
        <v>5.6</v>
      </c>
      <c r="K499">
        <v>43.14</v>
      </c>
      <c r="L499">
        <v>0</v>
      </c>
      <c r="M499">
        <v>38.747</v>
      </c>
      <c r="N499">
        <v>0.48599999999999999</v>
      </c>
      <c r="P499" s="1">
        <f t="shared" si="33"/>
        <v>10.763055555555555</v>
      </c>
      <c r="Q499" s="3">
        <f t="shared" si="31"/>
        <v>0.76111111111110574</v>
      </c>
      <c r="R499" s="3">
        <f t="shared" si="32"/>
        <v>-0.19888888888888978</v>
      </c>
      <c r="S499" s="3">
        <f t="shared" si="34"/>
        <v>-0.32462121212121192</v>
      </c>
    </row>
    <row r="500" spans="1:19" x14ac:dyDescent="0.25">
      <c r="A500" t="s">
        <v>16</v>
      </c>
      <c r="C500">
        <v>52.047563400000001</v>
      </c>
      <c r="D500">
        <v>-0.57189449999999997</v>
      </c>
      <c r="E500">
        <v>4</v>
      </c>
      <c r="F500">
        <v>4</v>
      </c>
      <c r="G500">
        <v>2022</v>
      </c>
      <c r="H500">
        <v>13</v>
      </c>
      <c r="I500">
        <v>56</v>
      </c>
      <c r="J500">
        <v>5.7</v>
      </c>
      <c r="K500">
        <v>43.12</v>
      </c>
      <c r="L500">
        <v>0</v>
      </c>
      <c r="M500">
        <v>38.898000000000003</v>
      </c>
      <c r="N500">
        <v>0.49</v>
      </c>
      <c r="P500" s="1">
        <f t="shared" si="33"/>
        <v>10.805</v>
      </c>
      <c r="Q500" s="3">
        <f t="shared" si="31"/>
        <v>0.41944444444444784</v>
      </c>
      <c r="R500" s="3">
        <f t="shared" si="32"/>
        <v>-0.28805555555555529</v>
      </c>
      <c r="S500" s="3">
        <f t="shared" si="34"/>
        <v>-0.29626262626262589</v>
      </c>
    </row>
    <row r="501" spans="1:19" x14ac:dyDescent="0.25">
      <c r="A501" t="s">
        <v>16</v>
      </c>
      <c r="C501">
        <v>52.047553600000001</v>
      </c>
      <c r="D501">
        <v>-0.57189440000000002</v>
      </c>
      <c r="E501">
        <v>4</v>
      </c>
      <c r="F501">
        <v>4</v>
      </c>
      <c r="G501">
        <v>2022</v>
      </c>
      <c r="H501">
        <v>13</v>
      </c>
      <c r="I501">
        <v>56</v>
      </c>
      <c r="J501">
        <v>5.8</v>
      </c>
      <c r="K501">
        <v>43.05</v>
      </c>
      <c r="L501">
        <v>0</v>
      </c>
      <c r="M501">
        <v>38.350999999999999</v>
      </c>
      <c r="N501">
        <v>0.47899999999999998</v>
      </c>
      <c r="P501" s="1">
        <f t="shared" si="33"/>
        <v>10.653055555555556</v>
      </c>
      <c r="Q501" s="3">
        <f t="shared" si="31"/>
        <v>-1.5194444444444422</v>
      </c>
      <c r="R501" s="3">
        <f t="shared" si="32"/>
        <v>3.7222222222222712E-2</v>
      </c>
      <c r="S501" s="3">
        <f t="shared" si="34"/>
        <v>-0.23873737373737344</v>
      </c>
    </row>
    <row r="502" spans="1:19" x14ac:dyDescent="0.25">
      <c r="A502" t="s">
        <v>16</v>
      </c>
      <c r="C502">
        <v>52.047544199999997</v>
      </c>
      <c r="D502">
        <v>-0.57189440000000002</v>
      </c>
      <c r="E502">
        <v>4</v>
      </c>
      <c r="F502">
        <v>4</v>
      </c>
      <c r="G502">
        <v>2022</v>
      </c>
      <c r="H502">
        <v>13</v>
      </c>
      <c r="I502">
        <v>56</v>
      </c>
      <c r="J502">
        <v>5.9</v>
      </c>
      <c r="K502">
        <v>43.03</v>
      </c>
      <c r="L502">
        <v>0</v>
      </c>
      <c r="M502">
        <v>37.756999999999998</v>
      </c>
      <c r="N502">
        <v>0.48199999999999998</v>
      </c>
      <c r="P502" s="1">
        <f t="shared" si="33"/>
        <v>10.488055555555556</v>
      </c>
      <c r="Q502" s="3">
        <f t="shared" si="31"/>
        <v>-1.6499999999999915</v>
      </c>
      <c r="R502" s="3">
        <f t="shared" si="32"/>
        <v>-1.7222222222223138E-2</v>
      </c>
      <c r="S502" s="3">
        <f t="shared" si="34"/>
        <v>-0.17128787878787868</v>
      </c>
    </row>
    <row r="503" spans="1:19" x14ac:dyDescent="0.25">
      <c r="A503" t="s">
        <v>16</v>
      </c>
      <c r="C503">
        <v>52.047534499999998</v>
      </c>
      <c r="D503">
        <v>-0.57189480000000004</v>
      </c>
      <c r="E503">
        <v>4</v>
      </c>
      <c r="F503">
        <v>4</v>
      </c>
      <c r="G503">
        <v>2022</v>
      </c>
      <c r="H503">
        <v>13</v>
      </c>
      <c r="I503">
        <v>56</v>
      </c>
      <c r="J503">
        <v>6</v>
      </c>
      <c r="K503">
        <v>42.99</v>
      </c>
      <c r="L503">
        <v>0</v>
      </c>
      <c r="M503">
        <v>37.975999999999999</v>
      </c>
      <c r="N503">
        <v>0.5</v>
      </c>
      <c r="P503" s="1">
        <f t="shared" si="33"/>
        <v>10.548888888888889</v>
      </c>
      <c r="Q503" s="3">
        <f t="shared" si="31"/>
        <v>0.60833333333333073</v>
      </c>
      <c r="R503" s="3">
        <f t="shared" si="32"/>
        <v>-0.25083333333333258</v>
      </c>
      <c r="S503" s="3">
        <f t="shared" si="34"/>
        <v>-0.10727272727272741</v>
      </c>
    </row>
    <row r="504" spans="1:19" x14ac:dyDescent="0.25">
      <c r="A504" t="s">
        <v>16</v>
      </c>
      <c r="C504">
        <v>52.047524899999999</v>
      </c>
      <c r="D504">
        <v>-0.57189489999999998</v>
      </c>
      <c r="E504">
        <v>4</v>
      </c>
      <c r="F504">
        <v>4</v>
      </c>
      <c r="G504">
        <v>2022</v>
      </c>
      <c r="H504">
        <v>13</v>
      </c>
      <c r="I504">
        <v>56</v>
      </c>
      <c r="J504">
        <v>6.1</v>
      </c>
      <c r="K504">
        <v>42.96</v>
      </c>
      <c r="L504">
        <v>0</v>
      </c>
      <c r="M504">
        <v>38.271999999999998</v>
      </c>
      <c r="N504">
        <v>0.497</v>
      </c>
      <c r="P504" s="1">
        <f t="shared" si="33"/>
        <v>10.63111111111111</v>
      </c>
      <c r="Q504" s="3">
        <f t="shared" si="31"/>
        <v>0.82222222222220864</v>
      </c>
      <c r="R504" s="3">
        <f t="shared" si="32"/>
        <v>-0.34999999999999964</v>
      </c>
      <c r="S504" s="3">
        <f t="shared" si="34"/>
        <v>-8.9898989898990062E-2</v>
      </c>
    </row>
    <row r="505" spans="1:19" x14ac:dyDescent="0.25">
      <c r="A505" t="s">
        <v>16</v>
      </c>
      <c r="C505">
        <v>52.047515400000002</v>
      </c>
      <c r="D505">
        <v>-0.57189540000000005</v>
      </c>
      <c r="E505">
        <v>4</v>
      </c>
      <c r="F505">
        <v>4</v>
      </c>
      <c r="G505">
        <v>2022</v>
      </c>
      <c r="H505">
        <v>13</v>
      </c>
      <c r="I505">
        <v>56</v>
      </c>
      <c r="J505">
        <v>6.2</v>
      </c>
      <c r="K505">
        <v>42.93</v>
      </c>
      <c r="L505">
        <v>0</v>
      </c>
      <c r="M505">
        <v>37.716999999999999</v>
      </c>
      <c r="N505">
        <v>0.51100000000000001</v>
      </c>
      <c r="P505" s="1">
        <f t="shared" si="33"/>
        <v>10.476944444444445</v>
      </c>
      <c r="Q505" s="3">
        <f t="shared" si="31"/>
        <v>-1.5416666666666501</v>
      </c>
      <c r="R505" s="3">
        <f t="shared" si="32"/>
        <v>-0.32499999999999929</v>
      </c>
      <c r="S505" s="3">
        <f t="shared" si="34"/>
        <v>-7.5454545454545621E-2</v>
      </c>
    </row>
    <row r="506" spans="1:19" x14ac:dyDescent="0.25">
      <c r="A506" t="s">
        <v>16</v>
      </c>
      <c r="C506">
        <v>52.047505800000003</v>
      </c>
      <c r="D506">
        <v>-0.57189599999999996</v>
      </c>
      <c r="E506">
        <v>4</v>
      </c>
      <c r="F506">
        <v>4</v>
      </c>
      <c r="G506">
        <v>2022</v>
      </c>
      <c r="H506">
        <v>13</v>
      </c>
      <c r="I506">
        <v>56</v>
      </c>
      <c r="J506">
        <v>6.3</v>
      </c>
      <c r="K506">
        <v>42.9</v>
      </c>
      <c r="L506">
        <v>0</v>
      </c>
      <c r="M506">
        <v>38.037999999999997</v>
      </c>
      <c r="N506">
        <v>0.51100000000000001</v>
      </c>
      <c r="P506" s="1">
        <f t="shared" si="33"/>
        <v>10.566111111111111</v>
      </c>
      <c r="Q506" s="3">
        <f t="shared" si="31"/>
        <v>0.89166666666665506</v>
      </c>
      <c r="R506" s="3">
        <f t="shared" si="32"/>
        <v>-6.1111111111111782E-2</v>
      </c>
      <c r="S506" s="3">
        <f t="shared" si="34"/>
        <v>-5.7373737373737459E-2</v>
      </c>
    </row>
    <row r="507" spans="1:19" x14ac:dyDescent="0.25">
      <c r="A507" t="s">
        <v>16</v>
      </c>
      <c r="C507">
        <v>52.0474964</v>
      </c>
      <c r="D507">
        <v>-0.57189659999999998</v>
      </c>
      <c r="E507">
        <v>4</v>
      </c>
      <c r="F507">
        <v>4</v>
      </c>
      <c r="G507">
        <v>2022</v>
      </c>
      <c r="H507">
        <v>13</v>
      </c>
      <c r="I507">
        <v>56</v>
      </c>
      <c r="J507">
        <v>6.4</v>
      </c>
      <c r="K507">
        <v>42.89</v>
      </c>
      <c r="L507">
        <v>0</v>
      </c>
      <c r="M507">
        <v>37.795999999999999</v>
      </c>
      <c r="N507">
        <v>0.52600000000000002</v>
      </c>
      <c r="P507" s="1">
        <f t="shared" si="33"/>
        <v>10.498888888888889</v>
      </c>
      <c r="Q507" s="3">
        <f t="shared" si="31"/>
        <v>-0.67222222222222072</v>
      </c>
      <c r="R507" s="3">
        <f t="shared" si="32"/>
        <v>0.26388888888888751</v>
      </c>
      <c r="S507" s="3">
        <f t="shared" si="34"/>
        <v>-9.7020202020202173E-2</v>
      </c>
    </row>
    <row r="508" spans="1:19" x14ac:dyDescent="0.25">
      <c r="A508" t="s">
        <v>16</v>
      </c>
      <c r="C508">
        <v>52.047486999999997</v>
      </c>
      <c r="D508">
        <v>-0.57189730000000005</v>
      </c>
      <c r="E508">
        <v>4</v>
      </c>
      <c r="F508">
        <v>4</v>
      </c>
      <c r="G508">
        <v>2022</v>
      </c>
      <c r="H508">
        <v>13</v>
      </c>
      <c r="I508">
        <v>56</v>
      </c>
      <c r="J508">
        <v>6.5</v>
      </c>
      <c r="K508">
        <v>42.88</v>
      </c>
      <c r="L508">
        <v>0</v>
      </c>
      <c r="M508">
        <v>37.57</v>
      </c>
      <c r="N508">
        <v>0.52900000000000003</v>
      </c>
      <c r="P508" s="1">
        <f t="shared" si="33"/>
        <v>10.436111111111112</v>
      </c>
      <c r="Q508" s="3">
        <f t="shared" si="31"/>
        <v>-0.62777777777776933</v>
      </c>
      <c r="R508" s="3">
        <f t="shared" si="32"/>
        <v>0.28722222222222094</v>
      </c>
      <c r="S508" s="3">
        <f t="shared" si="34"/>
        <v>-0.12590909090909105</v>
      </c>
    </row>
    <row r="509" spans="1:19" x14ac:dyDescent="0.25">
      <c r="A509" t="s">
        <v>16</v>
      </c>
      <c r="C509">
        <v>52.047477700000002</v>
      </c>
      <c r="D509">
        <v>-0.57189829999999997</v>
      </c>
      <c r="E509">
        <v>4</v>
      </c>
      <c r="F509">
        <v>4</v>
      </c>
      <c r="G509">
        <v>2022</v>
      </c>
      <c r="H509">
        <v>13</v>
      </c>
      <c r="I509">
        <v>56</v>
      </c>
      <c r="J509">
        <v>6.6</v>
      </c>
      <c r="K509">
        <v>42.88</v>
      </c>
      <c r="L509">
        <v>0</v>
      </c>
      <c r="M509">
        <v>37.487000000000002</v>
      </c>
      <c r="N509">
        <v>0.52900000000000003</v>
      </c>
      <c r="P509" s="1">
        <f t="shared" si="33"/>
        <v>10.413055555555555</v>
      </c>
      <c r="Q509" s="3">
        <f t="shared" si="31"/>
        <v>-0.23055555555556495</v>
      </c>
      <c r="R509" s="3">
        <f t="shared" si="32"/>
        <v>-8.6111111111110361E-2</v>
      </c>
      <c r="S509" s="3">
        <f t="shared" si="34"/>
        <v>-0.15719696969696981</v>
      </c>
    </row>
    <row r="510" spans="1:19" x14ac:dyDescent="0.25">
      <c r="A510" t="s">
        <v>16</v>
      </c>
      <c r="C510">
        <v>52.047468299999998</v>
      </c>
      <c r="D510">
        <v>-0.57189950000000001</v>
      </c>
      <c r="E510">
        <v>4</v>
      </c>
      <c r="F510">
        <v>4</v>
      </c>
      <c r="G510">
        <v>2022</v>
      </c>
      <c r="H510">
        <v>13</v>
      </c>
      <c r="I510">
        <v>56</v>
      </c>
      <c r="J510">
        <v>6.7</v>
      </c>
      <c r="K510">
        <v>42.87</v>
      </c>
      <c r="L510">
        <v>0</v>
      </c>
      <c r="M510">
        <v>37.728000000000002</v>
      </c>
      <c r="N510">
        <v>0.54</v>
      </c>
      <c r="P510" s="1">
        <f t="shared" si="33"/>
        <v>10.48</v>
      </c>
      <c r="Q510" s="3">
        <f t="shared" si="31"/>
        <v>0.66944444444445139</v>
      </c>
      <c r="R510" s="3">
        <f t="shared" si="32"/>
        <v>-4.0000000000000924E-2</v>
      </c>
      <c r="S510" s="3">
        <f t="shared" si="34"/>
        <v>-0.18474747474747488</v>
      </c>
    </row>
    <row r="511" spans="1:19" x14ac:dyDescent="0.25">
      <c r="A511" t="s">
        <v>16</v>
      </c>
      <c r="C511">
        <v>52.047458900000002</v>
      </c>
      <c r="D511">
        <v>-0.57190050000000003</v>
      </c>
      <c r="E511">
        <v>4</v>
      </c>
      <c r="F511">
        <v>4</v>
      </c>
      <c r="G511">
        <v>2022</v>
      </c>
      <c r="H511">
        <v>13</v>
      </c>
      <c r="I511">
        <v>56</v>
      </c>
      <c r="J511">
        <v>6.8</v>
      </c>
      <c r="K511">
        <v>42.92</v>
      </c>
      <c r="L511">
        <v>0</v>
      </c>
      <c r="M511">
        <v>38.131</v>
      </c>
      <c r="N511">
        <v>0.53600000000000003</v>
      </c>
      <c r="P511" s="1">
        <f t="shared" si="33"/>
        <v>10.591944444444444</v>
      </c>
      <c r="Q511" s="3">
        <f t="shared" si="31"/>
        <v>1.1194444444444329</v>
      </c>
      <c r="R511" s="3">
        <f t="shared" si="32"/>
        <v>-8.9166666666665506E-2</v>
      </c>
      <c r="S511" s="3">
        <f t="shared" si="34"/>
        <v>-0.22792929292929304</v>
      </c>
    </row>
    <row r="512" spans="1:19" x14ac:dyDescent="0.25">
      <c r="A512" t="s">
        <v>16</v>
      </c>
      <c r="C512">
        <v>52.047449399999998</v>
      </c>
      <c r="D512">
        <v>-0.57190149999999995</v>
      </c>
      <c r="E512">
        <v>4</v>
      </c>
      <c r="F512">
        <v>4</v>
      </c>
      <c r="G512">
        <v>2022</v>
      </c>
      <c r="H512">
        <v>13</v>
      </c>
      <c r="I512">
        <v>56</v>
      </c>
      <c r="J512">
        <v>6.9</v>
      </c>
      <c r="K512">
        <v>42.98</v>
      </c>
      <c r="L512">
        <v>0</v>
      </c>
      <c r="M512">
        <v>38.707000000000001</v>
      </c>
      <c r="N512">
        <v>0.52200000000000002</v>
      </c>
      <c r="P512" s="1">
        <f t="shared" si="33"/>
        <v>10.751944444444444</v>
      </c>
      <c r="Q512" s="3">
        <f t="shared" si="31"/>
        <v>1.6000000000000014</v>
      </c>
      <c r="R512" s="3">
        <f t="shared" si="32"/>
        <v>-0.39888888888888907</v>
      </c>
      <c r="S512" s="3">
        <f t="shared" si="34"/>
        <v>-0.32108585858585864</v>
      </c>
    </row>
    <row r="513" spans="1:19" x14ac:dyDescent="0.25">
      <c r="A513" t="s">
        <v>16</v>
      </c>
      <c r="C513">
        <v>52.047439799999999</v>
      </c>
      <c r="D513">
        <v>-0.57190220000000003</v>
      </c>
      <c r="E513">
        <v>4</v>
      </c>
      <c r="F513">
        <v>4</v>
      </c>
      <c r="G513">
        <v>2022</v>
      </c>
      <c r="H513">
        <v>13</v>
      </c>
      <c r="I513">
        <v>56</v>
      </c>
      <c r="J513">
        <v>7</v>
      </c>
      <c r="K513">
        <v>43.03</v>
      </c>
      <c r="L513">
        <v>0</v>
      </c>
      <c r="M513">
        <v>39.01</v>
      </c>
      <c r="N513">
        <v>0.5</v>
      </c>
      <c r="P513" s="1">
        <f t="shared" si="33"/>
        <v>10.83611111111111</v>
      </c>
      <c r="Q513" s="3">
        <f t="shared" si="31"/>
        <v>0.84166666666666501</v>
      </c>
      <c r="R513" s="3">
        <f t="shared" si="32"/>
        <v>-0.33500000000000085</v>
      </c>
      <c r="S513" s="3">
        <f t="shared" si="34"/>
        <v>-0.47444444444444434</v>
      </c>
    </row>
    <row r="514" spans="1:19" x14ac:dyDescent="0.25">
      <c r="A514" t="s">
        <v>16</v>
      </c>
      <c r="C514">
        <v>52.047430400000003</v>
      </c>
      <c r="D514">
        <v>-0.57190260000000004</v>
      </c>
      <c r="E514">
        <v>4</v>
      </c>
      <c r="F514">
        <v>4</v>
      </c>
      <c r="G514">
        <v>2022</v>
      </c>
      <c r="H514">
        <v>13</v>
      </c>
      <c r="I514">
        <v>56</v>
      </c>
      <c r="J514">
        <v>7.1</v>
      </c>
      <c r="K514">
        <v>43</v>
      </c>
      <c r="L514">
        <v>0</v>
      </c>
      <c r="M514">
        <v>37.962000000000003</v>
      </c>
      <c r="N514">
        <v>0.49299999999999999</v>
      </c>
      <c r="P514" s="1">
        <f t="shared" si="33"/>
        <v>10.545</v>
      </c>
      <c r="Q514" s="3">
        <f t="shared" si="31"/>
        <v>-2.9111111111111043</v>
      </c>
      <c r="R514" s="3">
        <f t="shared" si="32"/>
        <v>-0.59499999999999886</v>
      </c>
      <c r="S514" s="3"/>
    </row>
    <row r="515" spans="1:19" x14ac:dyDescent="0.25">
      <c r="A515" t="s">
        <v>16</v>
      </c>
      <c r="C515">
        <v>52.047421</v>
      </c>
      <c r="D515">
        <v>-0.57190319999999994</v>
      </c>
      <c r="E515">
        <v>4</v>
      </c>
      <c r="F515">
        <v>4</v>
      </c>
      <c r="G515">
        <v>2022</v>
      </c>
      <c r="H515">
        <v>13</v>
      </c>
      <c r="I515">
        <v>56</v>
      </c>
      <c r="J515">
        <v>7.2</v>
      </c>
      <c r="K515">
        <v>42.96</v>
      </c>
      <c r="L515">
        <v>0</v>
      </c>
      <c r="M515">
        <v>37.573</v>
      </c>
      <c r="N515">
        <v>0.51800000000000002</v>
      </c>
      <c r="P515" s="1">
        <f t="shared" si="33"/>
        <v>10.436944444444444</v>
      </c>
      <c r="Q515" s="3">
        <f t="shared" si="31"/>
        <v>-1.0805555555555557</v>
      </c>
      <c r="R515" s="3">
        <f t="shared" si="32"/>
        <v>-0.6530555555555555</v>
      </c>
      <c r="S515" s="3"/>
    </row>
    <row r="516" spans="1:19" x14ac:dyDescent="0.25">
      <c r="A516" t="s">
        <v>16</v>
      </c>
      <c r="C516">
        <v>52.047411500000003</v>
      </c>
      <c r="D516">
        <v>-0.57190379999999996</v>
      </c>
      <c r="E516">
        <v>4</v>
      </c>
      <c r="F516">
        <v>4</v>
      </c>
      <c r="G516">
        <v>2022</v>
      </c>
      <c r="H516">
        <v>13</v>
      </c>
      <c r="I516">
        <v>56</v>
      </c>
      <c r="J516">
        <v>7.3</v>
      </c>
      <c r="K516">
        <v>42.94</v>
      </c>
      <c r="L516">
        <v>0</v>
      </c>
      <c r="M516">
        <v>37.716999999999999</v>
      </c>
      <c r="N516">
        <v>0.53300000000000003</v>
      </c>
      <c r="P516" s="1">
        <f t="shared" si="33"/>
        <v>10.476944444444445</v>
      </c>
      <c r="Q516" s="3">
        <f t="shared" si="31"/>
        <v>0.40000000000000924</v>
      </c>
      <c r="R516" s="3">
        <f t="shared" si="32"/>
        <v>-0.79999999999999893</v>
      </c>
      <c r="S516" s="3"/>
    </row>
    <row r="517" spans="1:19" x14ac:dyDescent="0.25">
      <c r="A517" t="s">
        <v>16</v>
      </c>
      <c r="C517">
        <v>52.047402400000003</v>
      </c>
      <c r="D517">
        <v>-0.57190459999999999</v>
      </c>
      <c r="E517">
        <v>4</v>
      </c>
      <c r="F517">
        <v>4</v>
      </c>
      <c r="G517">
        <v>2022</v>
      </c>
      <c r="H517">
        <v>13</v>
      </c>
      <c r="I517">
        <v>56</v>
      </c>
      <c r="J517">
        <v>7.4</v>
      </c>
      <c r="K517">
        <v>42.89</v>
      </c>
      <c r="L517">
        <v>0</v>
      </c>
      <c r="M517">
        <v>36.36</v>
      </c>
      <c r="N517">
        <v>0.51500000000000001</v>
      </c>
      <c r="P517" s="1">
        <f t="shared" si="33"/>
        <v>10.1</v>
      </c>
      <c r="Q517" s="3">
        <f t="shared" ref="Q517:Q523" si="35">10*($P517-$P516)</f>
        <v>-3.7694444444444564</v>
      </c>
      <c r="R517" s="3">
        <f t="shared" si="32"/>
        <v>-1.0858333333333334</v>
      </c>
      <c r="S517" s="3"/>
    </row>
    <row r="518" spans="1:19" x14ac:dyDescent="0.25">
      <c r="A518" t="s">
        <v>16</v>
      </c>
      <c r="C518">
        <v>52.047393300000003</v>
      </c>
      <c r="D518">
        <v>-0.57190580000000002</v>
      </c>
      <c r="E518">
        <v>4</v>
      </c>
      <c r="F518">
        <v>4</v>
      </c>
      <c r="G518">
        <v>2022</v>
      </c>
      <c r="H518">
        <v>13</v>
      </c>
      <c r="I518">
        <v>56</v>
      </c>
      <c r="J518">
        <v>7.5</v>
      </c>
      <c r="K518">
        <v>42.87</v>
      </c>
      <c r="L518">
        <v>0</v>
      </c>
      <c r="M518">
        <v>36.363999999999997</v>
      </c>
      <c r="N518">
        <v>0.51500000000000001</v>
      </c>
      <c r="P518" s="1">
        <f t="shared" si="33"/>
        <v>10.101111111111111</v>
      </c>
      <c r="Q518" s="3">
        <f t="shared" si="35"/>
        <v>1.1111111111112848E-2</v>
      </c>
      <c r="R518" s="3">
        <f t="shared" si="32"/>
        <v>-1.4230555555555551</v>
      </c>
      <c r="S518" s="3"/>
    </row>
    <row r="519" spans="1:19" x14ac:dyDescent="0.25">
      <c r="A519" t="s">
        <v>16</v>
      </c>
      <c r="C519">
        <v>52.047384700000002</v>
      </c>
      <c r="D519">
        <v>-0.57190739999999995</v>
      </c>
      <c r="E519">
        <v>4</v>
      </c>
      <c r="F519">
        <v>4</v>
      </c>
      <c r="G519">
        <v>2022</v>
      </c>
      <c r="H519">
        <v>13</v>
      </c>
      <c r="I519">
        <v>56</v>
      </c>
      <c r="J519">
        <v>7.6</v>
      </c>
      <c r="K519">
        <v>42.9</v>
      </c>
      <c r="L519">
        <v>0</v>
      </c>
      <c r="M519">
        <v>35.344999999999999</v>
      </c>
      <c r="N519">
        <v>0.51800000000000002</v>
      </c>
      <c r="P519" s="1">
        <f t="shared" si="33"/>
        <v>9.8180555555555564</v>
      </c>
      <c r="Q519" s="3">
        <f t="shared" si="35"/>
        <v>-2.8305555555555451</v>
      </c>
      <c r="R519" s="3"/>
      <c r="S519" s="3"/>
    </row>
    <row r="520" spans="1:19" x14ac:dyDescent="0.25">
      <c r="A520" t="s">
        <v>16</v>
      </c>
      <c r="C520">
        <v>52.047375799999998</v>
      </c>
      <c r="D520">
        <v>-0.57190830000000004</v>
      </c>
      <c r="E520">
        <v>4</v>
      </c>
      <c r="F520">
        <v>4</v>
      </c>
      <c r="G520">
        <v>2022</v>
      </c>
      <c r="H520">
        <v>13</v>
      </c>
      <c r="I520">
        <v>56</v>
      </c>
      <c r="J520">
        <v>7.7</v>
      </c>
      <c r="K520">
        <v>42.88</v>
      </c>
      <c r="L520">
        <v>0</v>
      </c>
      <c r="M520">
        <v>35.377000000000002</v>
      </c>
      <c r="N520">
        <v>0.52600000000000002</v>
      </c>
      <c r="P520" s="1">
        <f t="shared" si="33"/>
        <v>9.8269444444444449</v>
      </c>
      <c r="Q520" s="3">
        <f t="shared" si="35"/>
        <v>8.888888888888502E-2</v>
      </c>
      <c r="R520" s="3"/>
      <c r="S520" s="3"/>
    </row>
    <row r="521" spans="1:19" x14ac:dyDescent="0.25">
      <c r="A521" t="s">
        <v>16</v>
      </c>
      <c r="C521">
        <v>52.0473669</v>
      </c>
      <c r="D521">
        <v>-0.571909</v>
      </c>
      <c r="E521">
        <v>4</v>
      </c>
      <c r="F521">
        <v>4</v>
      </c>
      <c r="G521">
        <v>2022</v>
      </c>
      <c r="H521">
        <v>13</v>
      </c>
      <c r="I521">
        <v>56</v>
      </c>
      <c r="J521">
        <v>7.8</v>
      </c>
      <c r="K521">
        <v>42.83</v>
      </c>
      <c r="L521">
        <v>0</v>
      </c>
      <c r="M521">
        <v>35.250999999999998</v>
      </c>
      <c r="N521">
        <v>0.52600000000000002</v>
      </c>
      <c r="P521" s="1">
        <f t="shared" si="33"/>
        <v>9.7919444444444448</v>
      </c>
      <c r="Q521" s="3">
        <f t="shared" si="35"/>
        <v>-0.35000000000000142</v>
      </c>
      <c r="R521" s="3"/>
      <c r="S521" s="3"/>
    </row>
    <row r="522" spans="1:19" x14ac:dyDescent="0.25">
      <c r="A522" t="s">
        <v>16</v>
      </c>
      <c r="C522">
        <v>52.0473584</v>
      </c>
      <c r="D522">
        <v>-0.57190980000000002</v>
      </c>
      <c r="E522">
        <v>4</v>
      </c>
      <c r="F522">
        <v>4</v>
      </c>
      <c r="G522">
        <v>2022</v>
      </c>
      <c r="H522">
        <v>13</v>
      </c>
      <c r="I522">
        <v>56</v>
      </c>
      <c r="J522">
        <v>7.9</v>
      </c>
      <c r="K522">
        <v>42.88</v>
      </c>
      <c r="L522">
        <v>0</v>
      </c>
      <c r="M522">
        <v>34.798000000000002</v>
      </c>
      <c r="N522">
        <v>0.52200000000000002</v>
      </c>
      <c r="P522" s="1">
        <f t="shared" si="33"/>
        <v>9.6661111111111104</v>
      </c>
      <c r="Q522" s="3">
        <f t="shared" si="35"/>
        <v>-1.2583333333333435</v>
      </c>
      <c r="R522" s="3"/>
      <c r="S522" s="3"/>
    </row>
    <row r="523" spans="1:19" x14ac:dyDescent="0.25">
      <c r="A523" t="s">
        <v>16</v>
      </c>
      <c r="C523">
        <v>52.047350100000003</v>
      </c>
      <c r="D523">
        <v>-0.57191060000000005</v>
      </c>
      <c r="E523">
        <v>4</v>
      </c>
      <c r="F523">
        <v>4</v>
      </c>
      <c r="G523">
        <v>2022</v>
      </c>
      <c r="H523">
        <v>13</v>
      </c>
      <c r="I523">
        <v>56</v>
      </c>
      <c r="J523">
        <v>8</v>
      </c>
      <c r="K523">
        <v>42.88</v>
      </c>
      <c r="L523">
        <v>0</v>
      </c>
      <c r="M523">
        <v>33.887</v>
      </c>
      <c r="N523">
        <v>0.51100000000000001</v>
      </c>
      <c r="P523" s="1">
        <f t="shared" si="33"/>
        <v>9.4130555555555553</v>
      </c>
      <c r="Q523" s="3">
        <f t="shared" si="35"/>
        <v>-2.5305555555555515</v>
      </c>
      <c r="R523" s="3"/>
      <c r="S523" s="3"/>
    </row>
    <row r="525" spans="1:19" x14ac:dyDescent="0.25">
      <c r="O525" t="s">
        <v>18</v>
      </c>
      <c r="P525" s="1">
        <f>MAX(P13:P523)</f>
        <v>13.35</v>
      </c>
      <c r="Q525" s="1">
        <f>MAX(Q13:Q523)</f>
        <v>11.241666666666674</v>
      </c>
      <c r="S525" s="1"/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alpha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George</dc:creator>
  <cp:lastModifiedBy>Michael George</cp:lastModifiedBy>
  <dcterms:created xsi:type="dcterms:W3CDTF">2022-04-06T10:11:11Z</dcterms:created>
  <dcterms:modified xsi:type="dcterms:W3CDTF">2022-04-06T10:43:16Z</dcterms:modified>
</cp:coreProperties>
</file>